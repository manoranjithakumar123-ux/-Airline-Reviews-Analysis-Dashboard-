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https://d.docs.live.net/c91c960ddd5e2e80/Documents/"/>
    </mc:Choice>
  </mc:AlternateContent>
  <xr:revisionPtr revIDLastSave="0" documentId="8_{73A6A870-63C8-487F-A530-2D28164F6E33}" xr6:coauthVersionLast="47" xr6:coauthVersionMax="47" xr10:uidLastSave="{00000000-0000-0000-0000-000000000000}"/>
  <bookViews>
    <workbookView xWindow="-110" yWindow="-110" windowWidth="19420" windowHeight="10300" firstSheet="5" activeTab="5" xr2:uid="{4C3ED587-807A-47D0-AE73-385427374A21}"/>
  </bookViews>
  <sheets>
    <sheet name="Sheet1" sheetId="11" state="hidden" r:id="rId1"/>
    <sheet name="Sheet2" sheetId="12" state="hidden" r:id="rId2"/>
    <sheet name="Sheet3" sheetId="13" state="hidden" r:id="rId3"/>
    <sheet name="Sheet4" sheetId="14" state="hidden" r:id="rId4"/>
    <sheet name="Sheet5" sheetId="15" state="hidden" r:id="rId5"/>
    <sheet name="Indian Airlane " sheetId="1" r:id="rId6"/>
    <sheet name="Pivot table" sheetId="2" state="hidden" r:id="rId7"/>
    <sheet name="Visual" sheetId="3" r:id="rId8"/>
  </sheets>
  <definedNames>
    <definedName name="_xlnm._FilterDatabase" localSheetId="5" hidden="1">'Indian Airlane '!$A$1:$J$2211</definedName>
    <definedName name="Slicer_AirLine_Nam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1" l="1"/>
  <c r="I4" i="1"/>
  <c r="C2" i="1"/>
  <c r="J2213" i="1" a="1"/>
  <c r="J2213" i="1" s="1"/>
  <c r="J4424" i="1" s="1"/>
  <c r="X3" i="1"/>
  <c r="A2212" i="1"/>
  <c r="X4" i="1"/>
  <c r="I3" i="1"/>
  <c r="I5" i="1"/>
  <c r="I6"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<sst xmlns="http://schemas.openxmlformats.org/spreadsheetml/2006/main" count="11146" uniqueCount="4301">
  <si>
    <t>AirLine_Name</t>
  </si>
  <si>
    <t>Title</t>
  </si>
  <si>
    <t>Name</t>
  </si>
  <si>
    <t>Date</t>
  </si>
  <si>
    <t>Recommond</t>
  </si>
  <si>
    <t>AirAsia India</t>
  </si>
  <si>
    <t>"crew were welcoming"</t>
  </si>
  <si>
    <t>V Bakshi</t>
  </si>
  <si>
    <t>14th October 2023</t>
  </si>
  <si>
    <t>yes</t>
  </si>
  <si>
    <t>"furious and disappointed"</t>
  </si>
  <si>
    <t>G Oscar</t>
  </si>
  <si>
    <t>no</t>
  </si>
  <si>
    <t>"amazing service and support"</t>
  </si>
  <si>
    <t>Rahul Verma</t>
  </si>
  <si>
    <t>"Waste of time and money"</t>
  </si>
  <si>
    <t>G Akron</t>
  </si>
  <si>
    <t>"thumbs up to boarding crew"</t>
  </si>
  <si>
    <t>Sirajudeen Jawahar ali</t>
  </si>
  <si>
    <t>"Services were good"</t>
  </si>
  <si>
    <t>Arpita Chatterjee</t>
  </si>
  <si>
    <t>"thank entire staff of Air Asia"</t>
  </si>
  <si>
    <t>Sharayu Parab</t>
  </si>
  <si>
    <t>"impressed with her fluency"</t>
  </si>
  <si>
    <t>N Padesh</t>
  </si>
  <si>
    <t>"completely unacceptable behaviour"</t>
  </si>
  <si>
    <t>V Krishnan</t>
  </si>
  <si>
    <t>"hospitality and customer delight"</t>
  </si>
  <si>
    <t>Kartika Rai</t>
  </si>
  <si>
    <t>"customer service was excellent"</t>
  </si>
  <si>
    <t>S Haraye</t>
  </si>
  <si>
    <t>7th April 2023</t>
  </si>
  <si>
    <t>"exceptionally great service"</t>
  </si>
  <si>
    <t>J Verlin</t>
  </si>
  <si>
    <t>"Overall not a bad experience"</t>
  </si>
  <si>
    <t>Rahul Anand</t>
  </si>
  <si>
    <t>"most congested seating"</t>
  </si>
  <si>
    <t>"most congested seating configuration I found in India"</t>
  </si>
  <si>
    <t>"the staff was not cooperative"</t>
  </si>
  <si>
    <t>Ankur Arora</t>
  </si>
  <si>
    <t>"Worst customer service"</t>
  </si>
  <si>
    <t>S Jarmeer</t>
  </si>
  <si>
    <t>"had worst experience ever"</t>
  </si>
  <si>
    <t>R Majesa</t>
  </si>
  <si>
    <t>"none of them had received calls"</t>
  </si>
  <si>
    <t>N Barun</t>
  </si>
  <si>
    <t>"Thanks to his generous behaviour"</t>
  </si>
  <si>
    <t>Amit Das</t>
  </si>
  <si>
    <t>"staff was good"</t>
  </si>
  <si>
    <t>Kinshuk Kumar</t>
  </si>
  <si>
    <t>29th September 2022</t>
  </si>
  <si>
    <t>"It was a great experience"</t>
  </si>
  <si>
    <t>Hashokmi Kamkara</t>
  </si>
  <si>
    <t>"Terrible experience with check in"</t>
  </si>
  <si>
    <t>S Hanecas</t>
  </si>
  <si>
    <t>"Awesome polite cabin crew"</t>
  </si>
  <si>
    <t>D Jasana</t>
  </si>
  <si>
    <t>"such a lovely staff"</t>
  </si>
  <si>
    <t>S Payal</t>
  </si>
  <si>
    <t>"Boarding was delayed by 30 min"</t>
  </si>
  <si>
    <t>Pooja Bisht</t>
  </si>
  <si>
    <t>"Overall a good flight"</t>
  </si>
  <si>
    <t>R Vanush</t>
  </si>
  <si>
    <t>"my experience was not pleasant"</t>
  </si>
  <si>
    <t>Ravi Chithajhallu</t>
  </si>
  <si>
    <t>"thankful to them"</t>
  </si>
  <si>
    <t>Saurav Kumar</t>
  </si>
  <si>
    <t>"allow normal size sports equipment"</t>
  </si>
  <si>
    <t>Madhavi Mishra</t>
  </si>
  <si>
    <t>"Will never choose it again"</t>
  </si>
  <si>
    <t>Swati Pandey</t>
  </si>
  <si>
    <t>26th June 2022</t>
  </si>
  <si>
    <t>"we will not travel with you any more"</t>
  </si>
  <si>
    <t>Chinmay Deshpande</t>
  </si>
  <si>
    <t>"very serious concern about baggage"</t>
  </si>
  <si>
    <t>N Tharkude</t>
  </si>
  <si>
    <t>"for the first time and now I really regret my decision"</t>
  </si>
  <si>
    <t>K Laghari</t>
  </si>
  <si>
    <t>"Very disappointed with AirAsia India"</t>
  </si>
  <si>
    <t>C Halchar</t>
  </si>
  <si>
    <t>!"I am done with AirAsia India"</t>
  </si>
  <si>
    <t>Arunima Singh</t>
  </si>
  <si>
    <t>"The crew were friendly and welcoming"</t>
  </si>
  <si>
    <t>H Shavun</t>
  </si>
  <si>
    <t>"This has been a terrible experience"</t>
  </si>
  <si>
    <t>Sayandip Ghosh</t>
  </si>
  <si>
    <t>"a very nice and unexpected touch"</t>
  </si>
  <si>
    <t>S Shavun</t>
  </si>
  <si>
    <t>"service offered were horrible"</t>
  </si>
  <si>
    <t>M Maltafan</t>
  </si>
  <si>
    <t>"the worst airline you can board"</t>
  </si>
  <si>
    <t>S Marpati</t>
  </si>
  <si>
    <t>11th December 2021</t>
  </si>
  <si>
    <t>"charge you for every ounce of luggage"</t>
  </si>
  <si>
    <t>Y Hardikar</t>
  </si>
  <si>
    <t>"the refund amount is low"</t>
  </si>
  <si>
    <t>Snehitha Vundi</t>
  </si>
  <si>
    <t>"never recommend AirAsia India"</t>
  </si>
  <si>
    <t>Nilesh Singh</t>
  </si>
  <si>
    <t>"seat pitch is something that needs to be kept in mind"</t>
  </si>
  <si>
    <t>V Agarwal</t>
  </si>
  <si>
    <t>"wait in Pune airport for 7 hrs"</t>
  </si>
  <si>
    <t>Deeksha Rajpoot</t>
  </si>
  <si>
    <t>"overall flight went well"</t>
  </si>
  <si>
    <t>V Purna</t>
  </si>
  <si>
    <t>"insisted on redistributing the luggage"</t>
  </si>
  <si>
    <t>Divya Garg</t>
  </si>
  <si>
    <t>"received my refund after 6 weeks"</t>
  </si>
  <si>
    <t>K Khan</t>
  </si>
  <si>
    <t>"Wonderful and attentive crew members"</t>
  </si>
  <si>
    <t>Vimi Raikhan</t>
  </si>
  <si>
    <t>"share the pleasant experience I had"</t>
  </si>
  <si>
    <t>Santosh Battepati</t>
  </si>
  <si>
    <t>26th February 2021</t>
  </si>
  <si>
    <t>"Kudos to the entire team!"</t>
  </si>
  <si>
    <t>Swastika Gurung</t>
  </si>
  <si>
    <t>"I cancelled the ticket"</t>
  </si>
  <si>
    <t>Ankit Gautam</t>
  </si>
  <si>
    <t>"applied for cancellation"</t>
  </si>
  <si>
    <t>Sakshi Chandwani</t>
  </si>
  <si>
    <t>"staff didnâ€™t let board"</t>
  </si>
  <si>
    <t>R K Shrivastaw</t>
  </si>
  <si>
    <t>"refund in the form of credit points "</t>
  </si>
  <si>
    <t>Deepak Dahale</t>
  </si>
  <si>
    <t>"no telephone service outside India"</t>
  </si>
  <si>
    <t>Manpreet Kaur</t>
  </si>
  <si>
    <t>"cabin bag bigger than permitted size"</t>
  </si>
  <si>
    <t>S Snehil</t>
  </si>
  <si>
    <t>"cancellation charges will apply"</t>
  </si>
  <si>
    <t>Ganesh Radhakrishnan</t>
  </si>
  <si>
    <t>"I was pleasantly surprised"</t>
  </si>
  <si>
    <t>Naushaad Ginwalla</t>
  </si>
  <si>
    <t>"even changed the seat"</t>
  </si>
  <si>
    <t>Shakeel Bakshi</t>
  </si>
  <si>
    <t>17th February 2020</t>
  </si>
  <si>
    <t>"the flight was quite nice"</t>
  </si>
  <si>
    <t>R Vashun</t>
  </si>
  <si>
    <t>"Need to learn a lot"</t>
  </si>
  <si>
    <t>Praveen Elavarasan</t>
  </si>
  <si>
    <t>"Made me pay more for luggage"</t>
  </si>
  <si>
    <t>Kulwinder Deol</t>
  </si>
  <si>
    <t>"delayed for 2 hours initially"</t>
  </si>
  <si>
    <t>Anamika Singh</t>
  </si>
  <si>
    <t>"charge for rescheduling"</t>
  </si>
  <si>
    <t>L Shamali</t>
  </si>
  <si>
    <t>"rescheduled the flight"</t>
  </si>
  <si>
    <t>M Weares</t>
  </si>
  <si>
    <t>"want the refund of prebooked meal"</t>
  </si>
  <si>
    <t>PBahalli</t>
  </si>
  <si>
    <t>"Rs 4000 for 2kgs extra hand luggage"</t>
  </si>
  <si>
    <t>R Hashini</t>
  </si>
  <si>
    <t>"Extremely poor services"</t>
  </si>
  <si>
    <t>Shudhanshu Shekhar</t>
  </si>
  <si>
    <t>"Very frustrating experience"</t>
  </si>
  <si>
    <t>G Ranil</t>
  </si>
  <si>
    <t>27th October 2019</t>
  </si>
  <si>
    <t>"crew were very proactive and good"</t>
  </si>
  <si>
    <t>"smooth take-off and landing"</t>
  </si>
  <si>
    <t>Sarita Shetty</t>
  </si>
  <si>
    <t>"wonderful customer support"</t>
  </si>
  <si>
    <t>G Reddy</t>
  </si>
  <si>
    <t>"didn't offer refund"</t>
  </si>
  <si>
    <t>Deepapriya Vishwanathan</t>
  </si>
  <si>
    <t>"very bad experience"</t>
  </si>
  <si>
    <t>Basavaraj Bagewadi</t>
  </si>
  <si>
    <t>"chaos at the airport"</t>
  </si>
  <si>
    <t>R Manirya</t>
  </si>
  <si>
    <t>"not informing the customers"</t>
  </si>
  <si>
    <t>D Bahnav</t>
  </si>
  <si>
    <t>"a pretty unpleasant flight"</t>
  </si>
  <si>
    <t>Nikhil Menon</t>
  </si>
  <si>
    <t>"couldnâ€™t find my baggage"</t>
  </si>
  <si>
    <t>Johnu Marattil</t>
  </si>
  <si>
    <t>"virtual assistant is of no use"</t>
  </si>
  <si>
    <t>A Danyan</t>
  </si>
  <si>
    <t>12th June 2019</t>
  </si>
  <si>
    <t>"One of the best experiences "</t>
  </si>
  <si>
    <t>G Yoyo</t>
  </si>
  <si>
    <t>"pay more for a couple of extra kgs"</t>
  </si>
  <si>
    <t>A Sharawisha</t>
  </si>
  <si>
    <t>"delayed for 4 hours"</t>
  </si>
  <si>
    <t>Jyoti Prakash Nanda</t>
  </si>
  <si>
    <t>"Clean aircraft and helpful crew"</t>
  </si>
  <si>
    <t>K Reddy</t>
  </si>
  <si>
    <t>"Gate changed 5 times"</t>
  </si>
  <si>
    <t>R Prakasa</t>
  </si>
  <si>
    <t>AirAsia India customer review</t>
  </si>
  <si>
    <t>Soumik Dam</t>
  </si>
  <si>
    <t>"were all so warm and helpful"</t>
  </si>
  <si>
    <t>Priya Basaiawmoit</t>
  </si>
  <si>
    <t>"ground staff were well trained"</t>
  </si>
  <si>
    <t>Rishad Patell</t>
  </si>
  <si>
    <t>"amazing, good and polite"</t>
  </si>
  <si>
    <t>Chandni Biju</t>
  </si>
  <si>
    <t>"got rescheduled again"</t>
  </si>
  <si>
    <t>Vivek Kumar</t>
  </si>
  <si>
    <t>24th November 2018</t>
  </si>
  <si>
    <t>"service was very good"</t>
  </si>
  <si>
    <t>M Kalesima</t>
  </si>
  <si>
    <t>"not at all comfortable"</t>
  </si>
  <si>
    <t>Prachi Rajpuria</t>
  </si>
  <si>
    <t>"low quality of service"</t>
  </si>
  <si>
    <t>R Barishi</t>
  </si>
  <si>
    <t>"I had to cancel my trip"</t>
  </si>
  <si>
    <t>James Koruthu</t>
  </si>
  <si>
    <t>"Never ever go with AirAsia"</t>
  </si>
  <si>
    <t>P Adan</t>
  </si>
  <si>
    <t>"like to applaud the staff"</t>
  </si>
  <si>
    <t>R Tharjit</t>
  </si>
  <si>
    <t>"Poor seating arrangement"</t>
  </si>
  <si>
    <t>S Kantarya</t>
  </si>
  <si>
    <t>"option in paid seats"</t>
  </si>
  <si>
    <t>R Chandry</t>
  </si>
  <si>
    <t>"seats at different places"</t>
  </si>
  <si>
    <t>Vivek Pal</t>
  </si>
  <si>
    <t>"really cheap tricks"</t>
  </si>
  <si>
    <t>Sandhya Mungara</t>
  </si>
  <si>
    <t>14th May 2018</t>
  </si>
  <si>
    <t>"staff are inefficient"</t>
  </si>
  <si>
    <t>Sayuj Jaganath</t>
  </si>
  <si>
    <t>"main problem price of food and drink"</t>
  </si>
  <si>
    <t>Deepak Kurumoju</t>
  </si>
  <si>
    <t>"arrival was not on time"</t>
  </si>
  <si>
    <t>S Sahi</t>
  </si>
  <si>
    <t>"Seat comfort was good"</t>
  </si>
  <si>
    <t>J Dimutta</t>
  </si>
  <si>
    <t>"seat was really comfortable"</t>
  </si>
  <si>
    <t>Subhradeep Kanjilal</t>
  </si>
  <si>
    <t>"got delayed for 2.5 hours"</t>
  </si>
  <si>
    <t>V Harante</t>
  </si>
  <si>
    <t>"prefer AirAsia for my next trip"</t>
  </si>
  <si>
    <t>P Priyadarshi</t>
  </si>
  <si>
    <t>"missed my International flight"</t>
  </si>
  <si>
    <t>S Kamani</t>
  </si>
  <si>
    <t>"no more check in baggage allowed"</t>
  </si>
  <si>
    <t>Sushree Bishwal</t>
  </si>
  <si>
    <t>"baggage got left behind"</t>
  </si>
  <si>
    <t>S Bamistry</t>
  </si>
  <si>
    <t>20th October 2017</t>
  </si>
  <si>
    <t>"happy with the travel"</t>
  </si>
  <si>
    <t>Rajasekhar Tolety</t>
  </si>
  <si>
    <t>"was quite impressed"</t>
  </si>
  <si>
    <t>L Vishakha</t>
  </si>
  <si>
    <t>"never to travel via Air Asia again"</t>
  </si>
  <si>
    <t>Arpit Narang</t>
  </si>
  <si>
    <t>"no option to pick a seat"</t>
  </si>
  <si>
    <t>Midhun Biju</t>
  </si>
  <si>
    <t>"paying almost nothing for the tickets"</t>
  </si>
  <si>
    <t>A Sudita</t>
  </si>
  <si>
    <t>"such a bad experience"</t>
  </si>
  <si>
    <t>R Jain</t>
  </si>
  <si>
    <t>"demanded seat charges"</t>
  </si>
  <si>
    <t>Dinesh Arora</t>
  </si>
  <si>
    <t>"not assisting on delays"</t>
  </si>
  <si>
    <t>S Mohan</t>
  </si>
  <si>
    <t>"reasonable low-fare airline"</t>
  </si>
  <si>
    <t>Hemanth Uppada</t>
  </si>
  <si>
    <t>AirIndia</t>
  </si>
  <si>
    <t>â€œFor the price paid flight was pretty goodâ€</t>
  </si>
  <si>
    <t>T Reddy</t>
  </si>
  <si>
    <t>26th September 2024</t>
  </si>
  <si>
    <t>"the experience was extremely poor"</t>
  </si>
  <si>
    <t>Joshua Heath</t>
  </si>
  <si>
    <t>"incompetence of this airline"</t>
  </si>
  <si>
    <t>Alex Simion</t>
  </si>
  <si>
    <t>"disappointed in Air India service"</t>
  </si>
  <si>
    <t>Mahesh Sharma</t>
  </si>
  <si>
    <t>"made me buy a new ticket"</t>
  </si>
  <si>
    <t>Meenakshi Shrivastava</t>
  </si>
  <si>
    <t>"I had the worst experience"</t>
  </si>
  <si>
    <t>Harpreet Kaur</t>
  </si>
  <si>
    <t>"14.5 hour flight no entertainment"</t>
  </si>
  <si>
    <t>Mahesh Reddy</t>
  </si>
  <si>
    <t>â€œWe wonâ€™t forget it!â€</t>
  </si>
  <si>
    <t>Negine Vatani</t>
  </si>
  <si>
    <t>"worst of my flying experience"</t>
  </si>
  <si>
    <t>Amit Sood</t>
  </si>
  <si>
    <t>â€œservice is just getting worse and worseâ€</t>
  </si>
  <si>
    <t>P Cooper</t>
  </si>
  <si>
    <t>"service they provide is beyond the worst"</t>
  </si>
  <si>
    <t>J Morten</t>
  </si>
  <si>
    <t>11th September 2024</t>
  </si>
  <si>
    <t>"I have asked for compensation"</t>
  </si>
  <si>
    <t>P Hashel</t>
  </si>
  <si>
    <t>"18 hour delay"</t>
  </si>
  <si>
    <t>Jean-Claude Albrecht</t>
  </si>
  <si>
    <t>"Annoying, frustrating and sad experience "</t>
  </si>
  <si>
    <t>J Vogelmann</t>
  </si>
  <si>
    <t>"ancient angled flat seat"</t>
  </si>
  <si>
    <t>Dilip Kumar</t>
  </si>
  <si>
    <t>"equipment is super old"</t>
  </si>
  <si>
    <t>Vihar Deshpande</t>
  </si>
  <si>
    <t>"crew were quite nice and friendly"</t>
  </si>
  <si>
    <t>N Hashun</t>
  </si>
  <si>
    <t>"seats wont recline and handles broken"</t>
  </si>
  <si>
    <t>Chandan Prakash</t>
  </si>
  <si>
    <t>"customer care is -1"</t>
  </si>
  <si>
    <t>M Sharp</t>
  </si>
  <si>
    <t>"embarrassing and unacceptable"</t>
  </si>
  <si>
    <t>R Maltin</t>
  </si>
  <si>
    <t>"Air India still has lot of work to do"</t>
  </si>
  <si>
    <t>N Vankash</t>
  </si>
  <si>
    <t>27th August 2024</t>
  </si>
  <si>
    <t>"Worst airline available"</t>
  </si>
  <si>
    <t>Tanmoy Mukherjee</t>
  </si>
  <si>
    <t>"the worst experience"</t>
  </si>
  <si>
    <t>Seema Malik</t>
  </si>
  <si>
    <t>"it was a horrible experience"</t>
  </si>
  <si>
    <t>Sharika Qureshi</t>
  </si>
  <si>
    <t>"bags were delayed by 2+ weeks"</t>
  </si>
  <si>
    <t>T Garmina</t>
  </si>
  <si>
    <t>"No concern for consumers"</t>
  </si>
  <si>
    <t>N Darten</t>
  </si>
  <si>
    <t>"12hour flight without a working screen"</t>
  </si>
  <si>
    <t>Johanna Gomez</t>
  </si>
  <si>
    <t>"Get your act together"</t>
  </si>
  <si>
    <t>C Ranaja</t>
  </si>
  <si>
    <t>"Avoid flying Air India"</t>
  </si>
  <si>
    <t>Noel Francis Lukwaro</t>
  </si>
  <si>
    <t>"didn't bother refunding my money"</t>
  </si>
  <si>
    <t>Ashna John</t>
  </si>
  <si>
    <t>"Air India do not care"</t>
  </si>
  <si>
    <t>J Horsman</t>
  </si>
  <si>
    <t>19th July 2024</t>
  </si>
  <si>
    <t>"no proper information to the travellers"</t>
  </si>
  <si>
    <t>Devinder Pal Singh</t>
  </si>
  <si>
    <t>"give you the torture treatment"</t>
  </si>
  <si>
    <t>Varun Pasricha</t>
  </si>
  <si>
    <t>" I was really disappointed"</t>
  </si>
  <si>
    <t>Gursharan Chhabra</t>
  </si>
  <si>
    <t>"never fly Air India again"</t>
  </si>
  <si>
    <t>J McCarthy</t>
  </si>
  <si>
    <t>"beyond useless and unhelpful"</t>
  </si>
  <si>
    <t>Eb Binney</t>
  </si>
  <si>
    <t>"charged me for the weight of my duty-free"</t>
  </si>
  <si>
    <t>Birendra Chaudhary</t>
  </si>
  <si>
    <t>â€œNo value for moneyâ€</t>
  </si>
  <si>
    <t>Nitin, Timsi Malhotra</t>
  </si>
  <si>
    <t>â€œFood was great as alwaysâ€</t>
  </si>
  <si>
    <t>A Edmondson</t>
  </si>
  <si>
    <t>"Very unhappy with the service"</t>
  </si>
  <si>
    <t>D Parsham</t>
  </si>
  <si>
    <t>"express my deep disappointment"</t>
  </si>
  <si>
    <t>Dan Leffler</t>
  </si>
  <si>
    <t>19th June 2024</t>
  </si>
  <si>
    <t>â€œstaff was polite and helpfulâ€</t>
  </si>
  <si>
    <t>Puneet Dua</t>
  </si>
  <si>
    <t>"boarding experience was tiring"</t>
  </si>
  <si>
    <t>P Kamardan</t>
  </si>
  <si>
    <t>"Totally messed up airline"</t>
  </si>
  <si>
    <t>Kunal Sood</t>
  </si>
  <si>
    <t>"16 hour flight without entertainment"</t>
  </si>
  <si>
    <t>K Vydehi</t>
  </si>
  <si>
    <t>"Horrible experience during check in"</t>
  </si>
  <si>
    <t>R Hashali</t>
  </si>
  <si>
    <t>"will not recommend"</t>
  </si>
  <si>
    <t>R Ramalakshman</t>
  </si>
  <si>
    <t>"snack service was not up to par"</t>
  </si>
  <si>
    <t>S Leety</t>
  </si>
  <si>
    <t>"Every service needs deep review"</t>
  </si>
  <si>
    <t>Gautam Chakraborty</t>
  </si>
  <si>
    <t>"charging for carrying a laptop bag"</t>
  </si>
  <si>
    <t>M Manos</t>
  </si>
  <si>
    <t>"The worst company ever"</t>
  </si>
  <si>
    <t>E Lameyre</t>
  </si>
  <si>
    <t>17th May 2024</t>
  </si>
  <si>
    <t>â€œCustomer Service is the worstâ€</t>
  </si>
  <si>
    <t>K Rai</t>
  </si>
  <si>
    <t>"please avoid Air India"</t>
  </si>
  <si>
    <t>Manju Chandran</t>
  </si>
  <si>
    <t>"pathetic service and attitude"</t>
  </si>
  <si>
    <t>Sreejith Pillai</t>
  </si>
  <si>
    <t>â€œpoor management and bad decisionsâ€</t>
  </si>
  <si>
    <t>O Shaw</t>
  </si>
  <si>
    <t>" disaster from start to finish"</t>
  </si>
  <si>
    <t>R Parjun</t>
  </si>
  <si>
    <t>"worst experience Iâ€™ve had"</t>
  </si>
  <si>
    <t>Chris Dangelo</t>
  </si>
  <si>
    <t>"3 toilets out of order"</t>
  </si>
  <si>
    <t>S Ram</t>
  </si>
  <si>
    <t>â€œnot the customer service we expectâ€</t>
  </si>
  <si>
    <t>Aniruddha Agnihotri</t>
  </si>
  <si>
    <t>"terrible customer service experience"</t>
  </si>
  <si>
    <t>Shivani Bhandari</t>
  </si>
  <si>
    <t>"Worst Staff behaviour"</t>
  </si>
  <si>
    <t>S Maybu</t>
  </si>
  <si>
    <t>29th April 2024</t>
  </si>
  <si>
    <t>"no in flight entertainment"</t>
  </si>
  <si>
    <t>Sam Reed</t>
  </si>
  <si>
    <t>N Harsun</t>
  </si>
  <si>
    <t>Air India customer review</t>
  </si>
  <si>
    <t>Alok Mishra</t>
  </si>
  <si>
    <t>â€œnothing short of a nightmareâ€</t>
  </si>
  <si>
    <t>Maya Koren Kofman</t>
  </si>
  <si>
    <t>"ridiculous customer service"</t>
  </si>
  <si>
    <t>S Furman</t>
  </si>
  <si>
    <t>"No working entertainment"</t>
  </si>
  <si>
    <t>Sallie Palanivel</t>
  </si>
  <si>
    <t>"a pretty routine flight"</t>
  </si>
  <si>
    <t>H Varsun</t>
  </si>
  <si>
    <t>"The flight was quite nice"</t>
  </si>
  <si>
    <t>"seat back was in a catastrophic state"</t>
  </si>
  <si>
    <t>N Marten</t>
  </si>
  <si>
    <t>"One way my IFE was not working"</t>
  </si>
  <si>
    <t>Rajiv Jaggi</t>
  </si>
  <si>
    <t>11th April 2024</t>
  </si>
  <si>
    <t>"Will not fly on them again"</t>
  </si>
  <si>
    <t>Nakul Sharma</t>
  </si>
  <si>
    <t>â€œTerrible experienceâ€</t>
  </si>
  <si>
    <t>O Norris</t>
  </si>
  <si>
    <t>"the disgrace to the country"</t>
  </si>
  <si>
    <t>G Purvat</t>
  </si>
  <si>
    <t>"not in any way attentive"</t>
  </si>
  <si>
    <t>Richard Samra</t>
  </si>
  <si>
    <t>"Overall had a good experience"</t>
  </si>
  <si>
    <t>V Harsun</t>
  </si>
  <si>
    <t>"Entertainment was not working"</t>
  </si>
  <si>
    <t>G Halden</t>
  </si>
  <si>
    <t>"disheartening to see such discrepancies"</t>
  </si>
  <si>
    <t>S Lansali</t>
  </si>
  <si>
    <t>"Worst trip in a business class ever"</t>
  </si>
  <si>
    <t>R Garjen</t>
  </si>
  <si>
    <t>"Worst experience!"</t>
  </si>
  <si>
    <t>S Hartens</t>
  </si>
  <si>
    <t>"change the gates any time"</t>
  </si>
  <si>
    <t>Jitendra Prasad</t>
  </si>
  <si>
    <t>16th March 2024</t>
  </si>
  <si>
    <t>"unprofessional and uncooperative"</t>
  </si>
  <si>
    <t>B Paneyas</t>
  </si>
  <si>
    <t>"Air India lost my luggage"</t>
  </si>
  <si>
    <t>Gulmira Chamoli</t>
  </si>
  <si>
    <t>"Excellent leg room"</t>
  </si>
  <si>
    <t>Usha Nair</t>
  </si>
  <si>
    <t>"very unenjoyable flight"</t>
  </si>
  <si>
    <t>K Cheung</t>
  </si>
  <si>
    <t>"No light button for reading too"</t>
  </si>
  <si>
    <t>"worst international flight experience"</t>
  </si>
  <si>
    <t>Nidhi Nigam</t>
  </si>
  <si>
    <t>â€œNothing was workingâ€</t>
  </si>
  <si>
    <t>Alex Parvati</t>
  </si>
  <si>
    <t>"a nightmare that might haunt me"</t>
  </si>
  <si>
    <t>Anjana Dhrestha</t>
  </si>
  <si>
    <t>â€œgood decent serviceâ€</t>
  </si>
  <si>
    <t>Kishor Bhattarai</t>
  </si>
  <si>
    <t>B Hanullar</t>
  </si>
  <si>
    <t>3rd March 2024</t>
  </si>
  <si>
    <t>â€œdidn't offer any kind of compensationâ€</t>
  </si>
  <si>
    <t>R Davidson</t>
  </si>
  <si>
    <t>"Very disappointed"</t>
  </si>
  <si>
    <t>T Parshi</t>
  </si>
  <si>
    <t>"extremely dissatisfied with Air India"</t>
  </si>
  <si>
    <t>G Halat</t>
  </si>
  <si>
    <t>"I asked for compensation"</t>
  </si>
  <si>
    <t>Sven Olsson</t>
  </si>
  <si>
    <t>"Itâ€™s a bad experience"</t>
  </si>
  <si>
    <t>Simran Singh</t>
  </si>
  <si>
    <t>"Very polite cabin crew"</t>
  </si>
  <si>
    <t>V Agrawl</t>
  </si>
  <si>
    <t>"horrible, dirty and old"</t>
  </si>
  <si>
    <t>A Dunand</t>
  </si>
  <si>
    <t>"Our worst flying experience"</t>
  </si>
  <si>
    <t>D Haysan</t>
  </si>
  <si>
    <t>â€œa fabulous experienceâ€œ</t>
  </si>
  <si>
    <t>Pankaj Mandhyan</t>
  </si>
  <si>
    <t>"Excellent crew, polite and professional"</t>
  </si>
  <si>
    <t>J Lane</t>
  </si>
  <si>
    <t>2nd February 2024</t>
  </si>
  <si>
    <t>"Absolutely the worst flight"</t>
  </si>
  <si>
    <t>Gurjot Singh</t>
  </si>
  <si>
    <t>"My worst flying experience"</t>
  </si>
  <si>
    <t>Mohammed Imran Ameer Amza</t>
  </si>
  <si>
    <t>"A very bad experience"</t>
  </si>
  <si>
    <t>Akshay Jain</t>
  </si>
  <si>
    <t>"experience left much to be desired"</t>
  </si>
  <si>
    <t>Maduri Asokan</t>
  </si>
  <si>
    <t>â€œhad a very pleasant experienceâ€</t>
  </si>
  <si>
    <t>P Reddy</t>
  </si>
  <si>
    <t>"Total waste of your money"</t>
  </si>
  <si>
    <t>N Harsul</t>
  </si>
  <si>
    <t>"outstanding service provided"</t>
  </si>
  <si>
    <t>Sanjay Deshmukh</t>
  </si>
  <si>
    <t>"the seats are falling apart"</t>
  </si>
  <si>
    <t>L Han</t>
  </si>
  <si>
    <t>"clean and comfortable seats"</t>
  </si>
  <si>
    <t>D Kadin</t>
  </si>
  <si>
    <t>"25kg check in Baggage"</t>
  </si>
  <si>
    <t>B Kadin</t>
  </si>
  <si>
    <t>3rd January 2024</t>
  </si>
  <si>
    <t>"Avoid like a Plague"</t>
  </si>
  <si>
    <t>Umesh Sharma</t>
  </si>
  <si>
    <t>"Both my flights were delayed"</t>
  </si>
  <si>
    <t>Daniel Miles</t>
  </si>
  <si>
    <t>"did not enjoy the flight"</t>
  </si>
  <si>
    <t>Sukhbir Bolina</t>
  </si>
  <si>
    <t>"cancelled our flight just 2 hours prior"</t>
  </si>
  <si>
    <t>Gauri Shetty</t>
  </si>
  <si>
    <t>"terrible airline"</t>
  </si>
  <si>
    <t>S Walden</t>
  </si>
  <si>
    <t>"wouldn't recommend this nasty airline"</t>
  </si>
  <si>
    <t>Rav Dan</t>
  </si>
  <si>
    <t>"Do not expect a comfortable seat"</t>
  </si>
  <si>
    <t>D Marshan</t>
  </si>
  <si>
    <t>â€œfly another carrierâ€</t>
  </si>
  <si>
    <t>A Passi</t>
  </si>
  <si>
    <t>"a disappointing experience"</t>
  </si>
  <si>
    <t>Prasad Vinnakota</t>
  </si>
  <si>
    <t>â€œflight was delayed by 14 hrsâ€</t>
  </si>
  <si>
    <t>Amar Yadav</t>
  </si>
  <si>
    <t>5th December 2023</t>
  </si>
  <si>
    <t>â€œWorst airline everâ€</t>
  </si>
  <si>
    <t>Prathamesh Pradhan</t>
  </si>
  <si>
    <t>"attempting to profit $700 from me"</t>
  </si>
  <si>
    <t>Christian Metcalf</t>
  </si>
  <si>
    <t>â€œinfotainment system wasnâ€™t workingâ€</t>
  </si>
  <si>
    <t>D Reddy</t>
  </si>
  <si>
    <t>â€œdirty toilets, tray table and stained seatsâ€</t>
  </si>
  <si>
    <t>A Kaushik</t>
  </si>
  <si>
    <t>"customer service was terrible"</t>
  </si>
  <si>
    <t>Keshav Baral</t>
  </si>
  <si>
    <t>â€œthey have done a commendable jobâ€</t>
  </si>
  <si>
    <t>Puja Bhowmick</t>
  </si>
  <si>
    <t>"lack the concept of hospitality"</t>
  </si>
  <si>
    <t>H Hashimur</t>
  </si>
  <si>
    <t>â€œexperience with Air India was challengingâ€</t>
  </si>
  <si>
    <t>Bhawana Thaker</t>
  </si>
  <si>
    <t>â€œcrew were quite nice and soothingâ€</t>
  </si>
  <si>
    <t>V Mehta</t>
  </si>
  <si>
    <t>"experience was much worse than ever before"</t>
  </si>
  <si>
    <t>Mercy Manjaly</t>
  </si>
  <si>
    <t>21st November 2023</t>
  </si>
  <si>
    <t>"Just a terrible experience"</t>
  </si>
  <si>
    <t>Oliver Vavro</t>
  </si>
  <si>
    <t>"experienced excellent service"</t>
  </si>
  <si>
    <t>N Malhotra</t>
  </si>
  <si>
    <t>"disappoints on international routes"</t>
  </si>
  <si>
    <t>"Comfortable seating"</t>
  </si>
  <si>
    <t>Surinder Gandhi</t>
  </si>
  <si>
    <t>"Pathetic airline"</t>
  </si>
  <si>
    <t>Radhakrishnan Nair</t>
  </si>
  <si>
    <t>"No entertainment at all"</t>
  </si>
  <si>
    <t>Russell Huntington</t>
  </si>
  <si>
    <t>"a very humiliating experience"</t>
  </si>
  <si>
    <t>C Cherry Modi Saraogi</t>
  </si>
  <si>
    <t>â€œthe soft product was markedly improvedâ€</t>
  </si>
  <si>
    <t>V Reddy</t>
  </si>
  <si>
    <t>"the worst Iâ€™ve travelled"</t>
  </si>
  <si>
    <t>S Gavenka</t>
  </si>
  <si>
    <t>"never expected or experienced such a difficult flight"</t>
  </si>
  <si>
    <t>Lakshmi Kudalore</t>
  </si>
  <si>
    <t>27th October 2023</t>
  </si>
  <si>
    <t>"like a never ending nightmare"</t>
  </si>
  <si>
    <t>K Singh</t>
  </si>
  <si>
    <t>"I was just refunded taxes"</t>
  </si>
  <si>
    <t>Rajiv Patel</t>
  </si>
  <si>
    <t>"whole food experience was disgusting"</t>
  </si>
  <si>
    <t>Kaminiben Joshi</t>
  </si>
  <si>
    <t>"half of the screens weren't working"</t>
  </si>
  <si>
    <t>Pravesh Dhanola</t>
  </si>
  <si>
    <t>"The worst airline to fly"</t>
  </si>
  <si>
    <t>S Jaival</t>
  </si>
  <si>
    <t>"nothing is right"</t>
  </si>
  <si>
    <t>J Latshi</t>
  </si>
  <si>
    <t>"entire experience left us deeply disappointed"</t>
  </si>
  <si>
    <t>M Kulkarni</t>
  </si>
  <si>
    <t>"Spend your money on other airlines"</t>
  </si>
  <si>
    <t>S Harjeet</t>
  </si>
  <si>
    <t>"Be aware of this airline"</t>
  </si>
  <si>
    <t>S Singh</t>
  </si>
  <si>
    <t>"Not a good experience"</t>
  </si>
  <si>
    <t>Saurabh Wahal</t>
  </si>
  <si>
    <t>9th October 2023</t>
  </si>
  <si>
    <t>"deep disappointment and frustration"</t>
  </si>
  <si>
    <t>Ravinder Kaur</t>
  </si>
  <si>
    <t>"pay 14,000 INR because of extra luggage"</t>
  </si>
  <si>
    <t>Prachi Keemtani</t>
  </si>
  <si>
    <t>"a very disappointing experience"</t>
  </si>
  <si>
    <t>Deepak Sharma</t>
  </si>
  <si>
    <t>"seats were worn out, uncomfortable"</t>
  </si>
  <si>
    <t>N Panir</t>
  </si>
  <si>
    <t>"Staff on both flights were poorly trained"</t>
  </si>
  <si>
    <t>Johnâ€‹ Arnold</t>
  </si>
  <si>
    <t>"No lounge or compensation was given"</t>
  </si>
  <si>
    <t>Harjinder Singh</t>
  </si>
  <si>
    <t>"the most horrible airline"</t>
  </si>
  <si>
    <t>Hallie Flappie</t>
  </si>
  <si>
    <t>"they need to make some changes"</t>
  </si>
  <si>
    <t>Vijaya Duvvuri</t>
  </si>
  <si>
    <t>"Pathetic service"</t>
  </si>
  <si>
    <t>C Janjua</t>
  </si>
  <si>
    <t>"experience is very bad"</t>
  </si>
  <si>
    <t>Sanjeev Bhakri</t>
  </si>
  <si>
    <t>26th September 2023</t>
  </si>
  <si>
    <t>"site bombed when I tried to pay"</t>
  </si>
  <si>
    <t>Mike Law</t>
  </si>
  <si>
    <t>"I will never choose Air India"</t>
  </si>
  <si>
    <t>P Ranya</t>
  </si>
  <si>
    <t>"I had to spend 3 days in the airport"</t>
  </si>
  <si>
    <t>R Sharma</t>
  </si>
  <si>
    <t>"staff changed our seat numbers"</t>
  </si>
  <si>
    <t>Partha Chakraborty</t>
  </si>
  <si>
    <t>"Worst airline I traveled with"</t>
  </si>
  <si>
    <t>Shriram Tari</t>
  </si>
  <si>
    <t>"The seat was broken"</t>
  </si>
  <si>
    <t>Jayesh Iyer</t>
  </si>
  <si>
    <t>"avoid any flight with Air India"</t>
  </si>
  <si>
    <t>Yechezkel Kashi</t>
  </si>
  <si>
    <t>"it is highly inconvenient"</t>
  </si>
  <si>
    <t>Jaspreet kaur</t>
  </si>
  <si>
    <t>"a very good experience"</t>
  </si>
  <si>
    <t>S Lenton</t>
  </si>
  <si>
    <t>"Business class is not roomy"</t>
  </si>
  <si>
    <t>R Marden</t>
  </si>
  <si>
    <t>11th September 2023</t>
  </si>
  <si>
    <t>"a really comfortable and good flight"</t>
  </si>
  <si>
    <t>"This is the worst flight service"</t>
  </si>
  <si>
    <t>Srijan Thapa</t>
  </si>
  <si>
    <t>"very disappointing that they didn't help me"</t>
  </si>
  <si>
    <t>Shaista Tabassum</t>
  </si>
  <si>
    <t>"one of the worst experiences"</t>
  </si>
  <si>
    <t>Maureen Dinkins</t>
  </si>
  <si>
    <t>"everyone was sweating for nearly 2 hours"</t>
  </si>
  <si>
    <t>Barak Tunta</t>
  </si>
  <si>
    <t>"food they serve is so bad"</t>
  </si>
  <si>
    <t>Muhammed Shefeek</t>
  </si>
  <si>
    <t>"an amazing experience"</t>
  </si>
  <si>
    <t>Gagandeep Gupta</t>
  </si>
  <si>
    <t>"It's a third class flight"</t>
  </si>
  <si>
    <t>Kavitaba Zala</t>
  </si>
  <si>
    <t>H Adersh</t>
  </si>
  <si>
    <t>"a waste of money"</t>
  </si>
  <si>
    <t>Manjeet Singh</t>
  </si>
  <si>
    <t>19th August 2023</t>
  </si>
  <si>
    <t>"denied to take the bag saying that I am late"</t>
  </si>
  <si>
    <t>Anil Singhal</t>
  </si>
  <si>
    <t>"plane seemed terribly run down"</t>
  </si>
  <si>
    <t>Stuart Allen</t>
  </si>
  <si>
    <t>"soon lose their customer base"</t>
  </si>
  <si>
    <t>Haresh Sonar</t>
  </si>
  <si>
    <t>"Worst experience of my life"</t>
  </si>
  <si>
    <t>Marie Strydom</t>
  </si>
  <si>
    <t>"delayed almost 5-6 hours"</t>
  </si>
  <si>
    <t>Rajveer Kaur</t>
  </si>
  <si>
    <t>"very low cost aircraft"</t>
  </si>
  <si>
    <t>Ronen Gilady</t>
  </si>
  <si>
    <t>"IFE screens don't work"</t>
  </si>
  <si>
    <t>Gurpreet Kumar</t>
  </si>
  <si>
    <t>"Keep up the good work"</t>
  </si>
  <si>
    <t>Rajesh Nagar</t>
  </si>
  <si>
    <t>"Pathetic and unprofessional"</t>
  </si>
  <si>
    <t>M Benn</t>
  </si>
  <si>
    <t>"no different from a low-budget airline"</t>
  </si>
  <si>
    <t>S Marton</t>
  </si>
  <si>
    <t>7th August 2023</t>
  </si>
  <si>
    <t>"bathrooms on the plane were disgusting"</t>
  </si>
  <si>
    <t>D Keale</t>
  </si>
  <si>
    <t>"Horrible service"</t>
  </si>
  <si>
    <t>S Mangen</t>
  </si>
  <si>
    <t>"outstanding service from staff"</t>
  </si>
  <si>
    <t>C Paldano</t>
  </si>
  <si>
    <t>"never ever again Air India"</t>
  </si>
  <si>
    <t>Jeppe Juel Dam Sorensen</t>
  </si>
  <si>
    <t>"Disappointed to the core"</t>
  </si>
  <si>
    <t>B Watani</t>
  </si>
  <si>
    <t>"going from bad to worst"</t>
  </si>
  <si>
    <t>S Sunila</t>
  </si>
  <si>
    <t>"was given a regular meal"</t>
  </si>
  <si>
    <t>Simon Taylor</t>
  </si>
  <si>
    <t>"both times it was torture"</t>
  </si>
  <si>
    <t>Rohit Kaushal</t>
  </si>
  <si>
    <t>"flight was disgusting and dirty"</t>
  </si>
  <si>
    <t>Ann Benny Alackal</t>
  </si>
  <si>
    <t>"gotten progressively worse"</t>
  </si>
  <si>
    <t>R Singh</t>
  </si>
  <si>
    <t>18th July 2023</t>
  </si>
  <si>
    <t>"most disappointed"</t>
  </si>
  <si>
    <t>S Sethi</t>
  </si>
  <si>
    <t>"this was a welcome flight"</t>
  </si>
  <si>
    <t>Ashish Varun</t>
  </si>
  <si>
    <t>"company to really avoid"</t>
  </si>
  <si>
    <t>Nicola Mazzucchelli</t>
  </si>
  <si>
    <t>"excellent service provided by staff"</t>
  </si>
  <si>
    <t>H Harmeenan</t>
  </si>
  <si>
    <t>"entertainment did not work"</t>
  </si>
  <si>
    <t>valentine Beatini</t>
  </si>
  <si>
    <t>"The service was non-existent"</t>
  </si>
  <si>
    <t>S Jensen</t>
  </si>
  <si>
    <t>"I would still recommend"</t>
  </si>
  <si>
    <t>S Hashun</t>
  </si>
  <si>
    <t>"first and last flight with Air India"</t>
  </si>
  <si>
    <t>"Again bad experience"</t>
  </si>
  <si>
    <t>Radha Rani</t>
  </si>
  <si>
    <t>"No value for money"</t>
  </si>
  <si>
    <t>S Halkash</t>
  </si>
  <si>
    <t>5th July 2023</t>
  </si>
  <si>
    <t>"there was nobody there to help"</t>
  </si>
  <si>
    <t>N Reddy</t>
  </si>
  <si>
    <t>"Worst quality of food!</t>
  </si>
  <si>
    <t>G Madeva</t>
  </si>
  <si>
    <t>"Worst flight"</t>
  </si>
  <si>
    <t>Pavan Isekella</t>
  </si>
  <si>
    <t>"No entertainment, no call lights, no seat reclining"</t>
  </si>
  <si>
    <t>Jenson Colaco</t>
  </si>
  <si>
    <t>"A terrible nightmare"</t>
  </si>
  <si>
    <t>Sufi Azman</t>
  </si>
  <si>
    <t>"more than 45 minutes for baggage check"</t>
  </si>
  <si>
    <t>Sherin Mathew</t>
  </si>
  <si>
    <t>"top notch crew experience"</t>
  </si>
  <si>
    <t>T Sharma</t>
  </si>
  <si>
    <t>"Worst experience ever"</t>
  </si>
  <si>
    <t>Mohamed Ashrafali</t>
  </si>
  <si>
    <t>"seats are absolutely atrocious"</t>
  </si>
  <si>
    <t>S Patil</t>
  </si>
  <si>
    <t>"service is horrible"</t>
  </si>
  <si>
    <t>Mathew Joseph</t>
  </si>
  <si>
    <t>27th June 2023</t>
  </si>
  <si>
    <t>"worst customer support"</t>
  </si>
  <si>
    <t>Dhaval Parikh</t>
  </si>
  <si>
    <t>"never seen such kind of chaos"</t>
  </si>
  <si>
    <t>Sameer Vohra</t>
  </si>
  <si>
    <t>"web check-in was harrowing"</t>
  </si>
  <si>
    <t>AP Pandey</t>
  </si>
  <si>
    <t>"service and customer experience lacking"</t>
  </si>
  <si>
    <t>Bikash Chakraborty</t>
  </si>
  <si>
    <t>"Overall good customer service"</t>
  </si>
  <si>
    <t>S Payrdus</t>
  </si>
  <si>
    <t>"held passengers for nearly 4 hours"</t>
  </si>
  <si>
    <t>J Thanilake</t>
  </si>
  <si>
    <t>"seat was completely broken"</t>
  </si>
  <si>
    <t>G Varsha</t>
  </si>
  <si>
    <t>"Worst inflight experience"</t>
  </si>
  <si>
    <t>Hemant Bhadana</t>
  </si>
  <si>
    <t>"Customer service is getting worse day by day"</t>
  </si>
  <si>
    <t>Abhishek Raj</t>
  </si>
  <si>
    <t>"Good experience overall"</t>
  </si>
  <si>
    <t>Vishesh Madan</t>
  </si>
  <si>
    <t>20th June 2023</t>
  </si>
  <si>
    <t>"last time flying Air India"</t>
  </si>
  <si>
    <t>Shashi Raj</t>
  </si>
  <si>
    <t>"AI has given nothing but lousy service"</t>
  </si>
  <si>
    <t>H Norton</t>
  </si>
  <si>
    <t>"a wonderful experience"</t>
  </si>
  <si>
    <t>Namitha Jasmin</t>
  </si>
  <si>
    <t>"cabin crew not arrived"</t>
  </si>
  <si>
    <t>Neha Sharma</t>
  </si>
  <si>
    <t>"Worst flight experience"</t>
  </si>
  <si>
    <t>M Fathima</t>
  </si>
  <si>
    <t>"staff extremely kind and helpful"</t>
  </si>
  <si>
    <t>Aditya Arvandekar</t>
  </si>
  <si>
    <t>"the worst flight experience"</t>
  </si>
  <si>
    <t>Ashhar Khan</t>
  </si>
  <si>
    <t>"Seats small and uncomfortable"</t>
  </si>
  <si>
    <t>Omar Abdul Jabbar</t>
  </si>
  <si>
    <t>"book at your peril"</t>
  </si>
  <si>
    <t>Rahul Nadkarni</t>
  </si>
  <si>
    <t>"Boarding a bit messy"</t>
  </si>
  <si>
    <t>AP Ramachandran</t>
  </si>
  <si>
    <t>14th June 2023</t>
  </si>
  <si>
    <t>"staff super efficient and friendly"</t>
  </si>
  <si>
    <t>Anand Ramachandran</t>
  </si>
  <si>
    <t>"One of the worst flight experiences"</t>
  </si>
  <si>
    <t>J Palanaya</t>
  </si>
  <si>
    <t>"experienced such poor service"</t>
  </si>
  <si>
    <t>Aditya Ramakrishnan</t>
  </si>
  <si>
    <t>"Very poor flight management"</t>
  </si>
  <si>
    <t>Gayan Kanchana Gunathunga</t>
  </si>
  <si>
    <t>"Food quality horrible"</t>
  </si>
  <si>
    <t>S Hamish</t>
  </si>
  <si>
    <t>"the worst flight experience "</t>
  </si>
  <si>
    <t>Amarjit Kaur</t>
  </si>
  <si>
    <t>"delayed for more than 5 hours"</t>
  </si>
  <si>
    <t>Mani Yerragudi</t>
  </si>
  <si>
    <t>"a very good flight"</t>
  </si>
  <si>
    <t>S Vashun</t>
  </si>
  <si>
    <t>Abhay Sharma</t>
  </si>
  <si>
    <t>Chanuka Wettasinghe</t>
  </si>
  <si>
    <t>9th June 2023</t>
  </si>
  <si>
    <t>"very poor service"</t>
  </si>
  <si>
    <t>Kuldeep Sharma</t>
  </si>
  <si>
    <t>"Some seats were not reclining"</t>
  </si>
  <si>
    <t>M Herkatar</t>
  </si>
  <si>
    <t>"Horrible service by Air India"</t>
  </si>
  <si>
    <t>Vindhya Hegde</t>
  </si>
  <si>
    <t>"I asked if he could upgrade me"</t>
  </si>
  <si>
    <t>S Mansall</t>
  </si>
  <si>
    <t>"bad airline service"</t>
  </si>
  <si>
    <t>Uthra Subramanian</t>
  </si>
  <si>
    <t>"hated my overall flight experience"</t>
  </si>
  <si>
    <t>A Harnasha</t>
  </si>
  <si>
    <t>"Avoid booking Air India"</t>
  </si>
  <si>
    <t>Nisarg Gajera</t>
  </si>
  <si>
    <t>"old planes with no inflight entertainment"</t>
  </si>
  <si>
    <t>Intan Nurhati</t>
  </si>
  <si>
    <t>"One of the worst airlines"</t>
  </si>
  <si>
    <t>Lakshmi Shree</t>
  </si>
  <si>
    <t>"Very disappointing"</t>
  </si>
  <si>
    <t>Jennifer Almeida</t>
  </si>
  <si>
    <t>26th May 2023</t>
  </si>
  <si>
    <t>"irresponsible airline"</t>
  </si>
  <si>
    <t>M More</t>
  </si>
  <si>
    <t>"Pathetic experience"</t>
  </si>
  <si>
    <t>shelly chauhan</t>
  </si>
  <si>
    <t>"Seats are not at all hygienic"</t>
  </si>
  <si>
    <t>Manoj Badgujar</t>
  </si>
  <si>
    <t>"No Inflight Entertainment"</t>
  </si>
  <si>
    <t>Richard Baker</t>
  </si>
  <si>
    <t>"disappointed that I never got to fly"</t>
  </si>
  <si>
    <t>Glenn McGee</t>
  </si>
  <si>
    <t>"the flight was so horrible"</t>
  </si>
  <si>
    <t>Zulfiquar Babu</t>
  </si>
  <si>
    <t>"Such a bad experience"</t>
  </si>
  <si>
    <t>N Karinder</t>
  </si>
  <si>
    <t>"Absolutely primitive aircraft"</t>
  </si>
  <si>
    <t>Pradip Goswami</t>
  </si>
  <si>
    <t>"food was top class"</t>
  </si>
  <si>
    <t>Bakthisaran Elanagar Rangamani</t>
  </si>
  <si>
    <t>"better than the last time I flew"</t>
  </si>
  <si>
    <t>Malvica Dsouza</t>
  </si>
  <si>
    <t>3rd May 2023</t>
  </si>
  <si>
    <t>"the service was very poor"</t>
  </si>
  <si>
    <t>T Hanewardana</t>
  </si>
  <si>
    <t>"Staff new and not efficient"</t>
  </si>
  <si>
    <t>A Singh</t>
  </si>
  <si>
    <t>"never travel again with Air India"</t>
  </si>
  <si>
    <t>R Hatton</t>
  </si>
  <si>
    <t>"comment is mainly for safety concern"</t>
  </si>
  <si>
    <t>Pooja Chawla</t>
  </si>
  <si>
    <t>"it was shocking"</t>
  </si>
  <si>
    <t>Audrey Jacob</t>
  </si>
  <si>
    <t>"Would never fly again"</t>
  </si>
  <si>
    <t>R Dawson</t>
  </si>
  <si>
    <t>"not friendly to customers"</t>
  </si>
  <si>
    <t>Narendrakumar Patel</t>
  </si>
  <si>
    <t>"very bad experience in plane"</t>
  </si>
  <si>
    <t>Prathyusha Bhupathi</t>
  </si>
  <si>
    <t>"food was improved"</t>
  </si>
  <si>
    <t>John Roder</t>
  </si>
  <si>
    <t>"an excellent flight"</t>
  </si>
  <si>
    <t>N Kalamaran</t>
  </si>
  <si>
    <t>19th April 2023</t>
  </si>
  <si>
    <t>"nervous about our journey back home"</t>
  </si>
  <si>
    <t>Karishma Chandiramani</t>
  </si>
  <si>
    <t>"Terrible customer service"</t>
  </si>
  <si>
    <t>Britti Paudyal</t>
  </si>
  <si>
    <t>"entertainment non existent"</t>
  </si>
  <si>
    <t>Ravi Srinivas</t>
  </si>
  <si>
    <t>"Will not fly Air India again"</t>
  </si>
  <si>
    <t>Uminder Malhi</t>
  </si>
  <si>
    <t>"Air India are idling"</t>
  </si>
  <si>
    <t>D Agar</t>
  </si>
  <si>
    <t>"Never flying Air India again"</t>
  </si>
  <si>
    <t>Abhinav Singh</t>
  </si>
  <si>
    <t>"unfair and bad service"</t>
  </si>
  <si>
    <t>Gabriel Kamtam</t>
  </si>
  <si>
    <t>"Seat armrests are broken"</t>
  </si>
  <si>
    <t>K Hanish</t>
  </si>
  <si>
    <t>"reluctant to help in any way"</t>
  </si>
  <si>
    <t>Ashok Rastogi</t>
  </si>
  <si>
    <t>"Nothing was working at all"</t>
  </si>
  <si>
    <t>D Paneel</t>
  </si>
  <si>
    <t>4th April 2023</t>
  </si>
  <si>
    <t>"scammed me for such a huge amount"</t>
  </si>
  <si>
    <t>Aditi Gaba</t>
  </si>
  <si>
    <t>"The flight experience was horrible"</t>
  </si>
  <si>
    <t>Dipangshu Basu Chaudhuri</t>
  </si>
  <si>
    <t>"Baggage service to be improved"</t>
  </si>
  <si>
    <t>Rahul Habbu</t>
  </si>
  <si>
    <t>"Extremely disgusted by Air India"</t>
  </si>
  <si>
    <t>Abhishek Roy</t>
  </si>
  <si>
    <t>"amazing legroom"</t>
  </si>
  <si>
    <t>Shanthanu Naidu</t>
  </si>
  <si>
    <t>"IFE screen does not work"</t>
  </si>
  <si>
    <t>Naresh Nerma</t>
  </si>
  <si>
    <t>"Flight was clean and neat"</t>
  </si>
  <si>
    <t>Mukesh Maddala</t>
  </si>
  <si>
    <t>"Air India did not disappoint"</t>
  </si>
  <si>
    <t>Beverly Gordon</t>
  </si>
  <si>
    <t>"the worst I have ever flown with"</t>
  </si>
  <si>
    <t>Lee Benbow</t>
  </si>
  <si>
    <t>"not a good customer experience"</t>
  </si>
  <si>
    <t>Ravikaran Pilli</t>
  </si>
  <si>
    <t>18th March 2023</t>
  </si>
  <si>
    <t>Harmanjot Kaur</t>
  </si>
  <si>
    <t>"rude in their services"</t>
  </si>
  <si>
    <t>Sutirtha Chowdhury</t>
  </si>
  <si>
    <t>"my luggage was damaged"</t>
  </si>
  <si>
    <t>Anurag Yadav</t>
  </si>
  <si>
    <t>"I appreciate the attitude of the crew"</t>
  </si>
  <si>
    <t>Suhas Kamble</t>
  </si>
  <si>
    <t>"Appalling airline"</t>
  </si>
  <si>
    <t>S Harjesh</t>
  </si>
  <si>
    <t>"No accountability or professionalism"</t>
  </si>
  <si>
    <t>Harshit Agarwal</t>
  </si>
  <si>
    <t>"Complete disaster"</t>
  </si>
  <si>
    <t>Neeraj Jaggi</t>
  </si>
  <si>
    <t>"A total disgrace"</t>
  </si>
  <si>
    <t>Sami Saghie</t>
  </si>
  <si>
    <t>"the seats did not recline"</t>
  </si>
  <si>
    <t>Abhishek Shetty</t>
  </si>
  <si>
    <t>Swadha Vaid</t>
  </si>
  <si>
    <t>5th March 2023</t>
  </si>
  <si>
    <t>"I was very disappointed"</t>
  </si>
  <si>
    <t>S Jaylani</t>
  </si>
  <si>
    <t>"Service gone so down"</t>
  </si>
  <si>
    <t>S Hayana</t>
  </si>
  <si>
    <t>"Food was below average quality"</t>
  </si>
  <si>
    <t>R Barton</t>
  </si>
  <si>
    <t>"Not a good value for money"</t>
  </si>
  <si>
    <t>Marina Rodrigues</t>
  </si>
  <si>
    <t>"did not answer any call button"</t>
  </si>
  <si>
    <t>C Ganapathy</t>
  </si>
  <si>
    <t>"beyond a horrible experience"</t>
  </si>
  <si>
    <t>A Kaldan</t>
  </si>
  <si>
    <t>"service was quite nice"</t>
  </si>
  <si>
    <t>V Abbas</t>
  </si>
  <si>
    <t>"Very pathetic service"</t>
  </si>
  <si>
    <t>Cajetain Sequeira</t>
  </si>
  <si>
    <t>"never flying Air India again"</t>
  </si>
  <si>
    <t>S Parun</t>
  </si>
  <si>
    <t>"Cabin crew were extremely rude."</t>
  </si>
  <si>
    <t>D Paria</t>
  </si>
  <si>
    <t>25th February 2023</t>
  </si>
  <si>
    <t>"unexpected and unhappy experience"</t>
  </si>
  <si>
    <t>M Wakade</t>
  </si>
  <si>
    <t>" A big no for Air India"</t>
  </si>
  <si>
    <t>Smriti Walia</t>
  </si>
  <si>
    <t>"Long delays are just norm"</t>
  </si>
  <si>
    <t>Rajiv Rajpal</t>
  </si>
  <si>
    <t>"Horrible experience"</t>
  </si>
  <si>
    <t>Pratibha Garewal</t>
  </si>
  <si>
    <t>"do avoid at all costs"</t>
  </si>
  <si>
    <t>F Andrews</t>
  </si>
  <si>
    <t>"Disrespectful and rude cabin crew"</t>
  </si>
  <si>
    <t>T Kole</t>
  </si>
  <si>
    <t>"entertainment system not working"</t>
  </si>
  <si>
    <t>Arun Sharma</t>
  </si>
  <si>
    <t>"Seats were very uncomfortable"</t>
  </si>
  <si>
    <t>Inderpreet Singh</t>
  </si>
  <si>
    <t>"Very uncooperative airline"</t>
  </si>
  <si>
    <t>Manpreet Singh</t>
  </si>
  <si>
    <t>"such a bad flight and experience"</t>
  </si>
  <si>
    <t>Nishant Koladiya</t>
  </si>
  <si>
    <t>18th February 2023</t>
  </si>
  <si>
    <t>"So disappointing"</t>
  </si>
  <si>
    <t>Sandeep Gill</t>
  </si>
  <si>
    <t>"don't care about people"</t>
  </si>
  <si>
    <t>E Valha</t>
  </si>
  <si>
    <t>"non-customer friendly company"</t>
  </si>
  <si>
    <t>Prathima Raghava</t>
  </si>
  <si>
    <t>"a worst experience with check-in"</t>
  </si>
  <si>
    <t>R Panyat</t>
  </si>
  <si>
    <t>"Never travel with this airline"</t>
  </si>
  <si>
    <t>H Rupareliya</t>
  </si>
  <si>
    <t>"delayed for 12 hrs"</t>
  </si>
  <si>
    <t>Rajasekhara Reddy</t>
  </si>
  <si>
    <t>"Very disappointed with the service"</t>
  </si>
  <si>
    <t>Shekhar Purohit</t>
  </si>
  <si>
    <t>"Disgusting airline"</t>
  </si>
  <si>
    <t>S Patel</t>
  </si>
  <si>
    <t>"its prices are reasonable"</t>
  </si>
  <si>
    <t>R Bardin</t>
  </si>
  <si>
    <t>"wouldn't recommend to anybody"</t>
  </si>
  <si>
    <t>L Kajeluk</t>
  </si>
  <si>
    <t>27th January 2023</t>
  </si>
  <si>
    <t>"food was very bad and substandard"</t>
  </si>
  <si>
    <t>T Pelton</t>
  </si>
  <si>
    <t>"poor services and management"</t>
  </si>
  <si>
    <t>T Norton</t>
  </si>
  <si>
    <t>"comfortable seats"</t>
  </si>
  <si>
    <t>"will not fly this airline"</t>
  </si>
  <si>
    <t>J Halmas</t>
  </si>
  <si>
    <t>"bad quality of food"</t>
  </si>
  <si>
    <t>S Hadkir</t>
  </si>
  <si>
    <t>"A319 and leg room was better"</t>
  </si>
  <si>
    <t>"big difference in quality of service"</t>
  </si>
  <si>
    <t>Sharad Sapra</t>
  </si>
  <si>
    <t>"screens were not working"</t>
  </si>
  <si>
    <t>L Dalkur</t>
  </si>
  <si>
    <t>"Seats were poorly maintained"</t>
  </si>
  <si>
    <t>E Marsam</t>
  </si>
  <si>
    <t>"worst experience of my life"</t>
  </si>
  <si>
    <t>Prerna Arora</t>
  </si>
  <si>
    <t>14th January 2023</t>
  </si>
  <si>
    <t>"Customer service is very rude"</t>
  </si>
  <si>
    <t>A Nalikan</t>
  </si>
  <si>
    <t>"hygiene on these flights is horrendous"</t>
  </si>
  <si>
    <t>Sagel Patel</t>
  </si>
  <si>
    <t>"Excellent experience on board"</t>
  </si>
  <si>
    <t>Gargi Mankame</t>
  </si>
  <si>
    <t>"2 day delay in our travel plan"</t>
  </si>
  <si>
    <t>N Shantar</t>
  </si>
  <si>
    <t>"Air India is disgusting"</t>
  </si>
  <si>
    <t>Sana Patel</t>
  </si>
  <si>
    <t>"does not reflect well on the new owners"</t>
  </si>
  <si>
    <t>"check in was chaotic and unorganised"</t>
  </si>
  <si>
    <t>Rameez Qamar</t>
  </si>
  <si>
    <t>""</t>
  </si>
  <si>
    <t>Venkata Gudlavalleti</t>
  </si>
  <si>
    <t>"dirty seats and covers"</t>
  </si>
  <si>
    <t>Pratishthit Chauhan</t>
  </si>
  <si>
    <t>"Most disgusting service"</t>
  </si>
  <si>
    <t>2nd January 2023</t>
  </si>
  <si>
    <t>"staff were friendly and helpful"</t>
  </si>
  <si>
    <t>Pavani Vellal</t>
  </si>
  <si>
    <t>"please avoid this airline"</t>
  </si>
  <si>
    <t>S Garner</t>
  </si>
  <si>
    <t>"This flight was appalling"</t>
  </si>
  <si>
    <t>Kunaal Patel</t>
  </si>
  <si>
    <t>"Never using the airline again"</t>
  </si>
  <si>
    <t>S Marzon</t>
  </si>
  <si>
    <t>J Landon</t>
  </si>
  <si>
    <t>"Complete waste of money"</t>
  </si>
  <si>
    <t>"Great food and customer service"</t>
  </si>
  <si>
    <t>Ronak Gani</t>
  </si>
  <si>
    <t>"dropped the ball here big time"</t>
  </si>
  <si>
    <t>V Agar</t>
  </si>
  <si>
    <t>"outstanding hospitality"</t>
  </si>
  <si>
    <t>A Reddy</t>
  </si>
  <si>
    <t>"on time departure and arrival"</t>
  </si>
  <si>
    <t>Brian Dahl</t>
  </si>
  <si>
    <t>11th December 2022</t>
  </si>
  <si>
    <t>"I would not recommend this airline"</t>
  </si>
  <si>
    <t>Shareek Singh</t>
  </si>
  <si>
    <t>"Customer care and cabin crew are very rude and uncooperative"</t>
  </si>
  <si>
    <t>Parul Jain</t>
  </si>
  <si>
    <t>"Worst flight ever"</t>
  </si>
  <si>
    <t>Parvinder Sidhu</t>
  </si>
  <si>
    <t>"I am truly impressed"</t>
  </si>
  <si>
    <t>C Tan</t>
  </si>
  <si>
    <t>"cabin crew were absolutely delightful"</t>
  </si>
  <si>
    <t>Jagdeesh Singh Dhaliwal</t>
  </si>
  <si>
    <t>"disappointed with the Customer Care"</t>
  </si>
  <si>
    <t>Khajuria Aseem</t>
  </si>
  <si>
    <t>"Received very nice service"</t>
  </si>
  <si>
    <t>P Tayel</t>
  </si>
  <si>
    <t>"Worst flight I have even taken"</t>
  </si>
  <si>
    <t>K Gupta</t>
  </si>
  <si>
    <t>"The food was good"</t>
  </si>
  <si>
    <t>J Thornton</t>
  </si>
  <si>
    <t>"Never going to fly with them again"</t>
  </si>
  <si>
    <t>M Harsin</t>
  </si>
  <si>
    <t>19th November 2022</t>
  </si>
  <si>
    <t>"Food quality was extremely poor"</t>
  </si>
  <si>
    <t>S Sharma</t>
  </si>
  <si>
    <t>"Worst airline ever"</t>
  </si>
  <si>
    <t>Paras Garg</t>
  </si>
  <si>
    <t>"there was no decent meal available"</t>
  </si>
  <si>
    <t>M Gupta</t>
  </si>
  <si>
    <t>"Very poor service"</t>
  </si>
  <si>
    <t>Harjit Dhaliwal</t>
  </si>
  <si>
    <t>"great value for money"</t>
  </si>
  <si>
    <t>V Atwal</t>
  </si>
  <si>
    <t>"Good experience"</t>
  </si>
  <si>
    <t>"a very comfortable experience"</t>
  </si>
  <si>
    <t>Venkitarayan Pallipuram</t>
  </si>
  <si>
    <t>"ticket was cheaper by 40%"</t>
  </si>
  <si>
    <t>Ramapati Singhania</t>
  </si>
  <si>
    <t>"do not care for their customers"</t>
  </si>
  <si>
    <t>Agnes Chadi</t>
  </si>
  <si>
    <t>"seats were very uncomfortable"</t>
  </si>
  <si>
    <t>Mary Jones</t>
  </si>
  <si>
    <t>25th October 2022</t>
  </si>
  <si>
    <t>"Airport staff is not trained well"</t>
  </si>
  <si>
    <t>Lalita Basra</t>
  </si>
  <si>
    <t>2seats are broken in business class"</t>
  </si>
  <si>
    <t>Simi Seth</t>
  </si>
  <si>
    <t>"Donâ€™t fly Air India"</t>
  </si>
  <si>
    <t>Anand David Chelliah</t>
  </si>
  <si>
    <t>"very poor experience"</t>
  </si>
  <si>
    <t>J Basan</t>
  </si>
  <si>
    <t>"very customer friendly"</t>
  </si>
  <si>
    <t>Shovan Das</t>
  </si>
  <si>
    <t>"experience has been improving"</t>
  </si>
  <si>
    <t>G Patush</t>
  </si>
  <si>
    <t>"Flight is the worst"</t>
  </si>
  <si>
    <t>G Masindra</t>
  </si>
  <si>
    <t>"plane was not cleaned properly"</t>
  </si>
  <si>
    <t>T Gayal</t>
  </si>
  <si>
    <t>"Her polite behavior was amazing"</t>
  </si>
  <si>
    <t>S Shubham</t>
  </si>
  <si>
    <t>"smooth and comfortable flight"</t>
  </si>
  <si>
    <t>H Gardav</t>
  </si>
  <si>
    <t>30th September 2022</t>
  </si>
  <si>
    <t>"a great experience for us2</t>
  </si>
  <si>
    <t>Reena Makkar</t>
  </si>
  <si>
    <t>"Outdated aircraft"</t>
  </si>
  <si>
    <t>Nikhil Jasrotia</t>
  </si>
  <si>
    <t>"Will travel again"</t>
  </si>
  <si>
    <t>V Jaydel</t>
  </si>
  <si>
    <t>"Smooth experience"</t>
  </si>
  <si>
    <t>"offers 20kg baggage allowance"</t>
  </si>
  <si>
    <t>"We had the worst experience"</t>
  </si>
  <si>
    <t>Jyoti Nair</t>
  </si>
  <si>
    <t>"The airline has improved"</t>
  </si>
  <si>
    <t>Vivek Anand</t>
  </si>
  <si>
    <t>"aircraft seats were torn and dirty"</t>
  </si>
  <si>
    <t>R Hasin</t>
  </si>
  <si>
    <t>"supposedly too late for boarding"</t>
  </si>
  <si>
    <t>Vamshi Krishnan</t>
  </si>
  <si>
    <t>"won't fly Air India again"</t>
  </si>
  <si>
    <t>Advay Biswal</t>
  </si>
  <si>
    <t>15th September 2022</t>
  </si>
  <si>
    <t>"new ownership is interested in cutting costs"</t>
  </si>
  <si>
    <t>N Shavun</t>
  </si>
  <si>
    <t>"Worst flight I ever had"</t>
  </si>
  <si>
    <t>Jen Thomas</t>
  </si>
  <si>
    <t>"Leg space was also very small"</t>
  </si>
  <si>
    <t>Hussain Lokhandwala</t>
  </si>
  <si>
    <t>"Totally poor service"</t>
  </si>
  <si>
    <t>Harjinder Bamrah</t>
  </si>
  <si>
    <t>" My seat stopped reclining"</t>
  </si>
  <si>
    <t>Sahil Malhotra</t>
  </si>
  <si>
    <t>"I decided to not fly Air India again"</t>
  </si>
  <si>
    <t>Sridhar Makkena</t>
  </si>
  <si>
    <t>"Air India will certainly be my last option"</t>
  </si>
  <si>
    <t>Alpa Gandhi</t>
  </si>
  <si>
    <t>"not cleaned since many of the past flights"</t>
  </si>
  <si>
    <t>Akhilesh Joshi</t>
  </si>
  <si>
    <t>"Overall good flight"</t>
  </si>
  <si>
    <t>Amit Kumar Sanghi</t>
  </si>
  <si>
    <t>"Staff were courteous"</t>
  </si>
  <si>
    <t>20th August 2022</t>
  </si>
  <si>
    <t>"Very disappointed with Air India"</t>
  </si>
  <si>
    <t>D Vargalli</t>
  </si>
  <si>
    <t>"I would recommend"</t>
  </si>
  <si>
    <t>R Marbini</t>
  </si>
  <si>
    <t>"It was a nightmare for us"</t>
  </si>
  <si>
    <t>D Baji</t>
  </si>
  <si>
    <t>"stewards were efficient"</t>
  </si>
  <si>
    <t>Prashaant Chaudhry</t>
  </si>
  <si>
    <t>"seat is not functioning"</t>
  </si>
  <si>
    <t>Sampath Kunta</t>
  </si>
  <si>
    <t>"Crew was attentive"</t>
  </si>
  <si>
    <t>"not worth the risk of flying with them"</t>
  </si>
  <si>
    <t>Tania Sharma</t>
  </si>
  <si>
    <t>"providing low budget airline facilities"</t>
  </si>
  <si>
    <t>"first and the last time on Air India"</t>
  </si>
  <si>
    <t>Bobby Nair</t>
  </si>
  <si>
    <t>"One of the worst experience"</t>
  </si>
  <si>
    <t>Azizuddin Mohammed</t>
  </si>
  <si>
    <t>7th August 2022</t>
  </si>
  <si>
    <t>"Worst experience I have ever had"</t>
  </si>
  <si>
    <t>Mark Wilhite</t>
  </si>
  <si>
    <t>"not choose this airline"</t>
  </si>
  <si>
    <t>Deepesh Ganguli</t>
  </si>
  <si>
    <t>K Ankur</t>
  </si>
  <si>
    <t>"a dilapidated and outdated aircraft"</t>
  </si>
  <si>
    <t>S Harmaj</t>
  </si>
  <si>
    <t>"Never travel Air India"</t>
  </si>
  <si>
    <t>R Gauran</t>
  </si>
  <si>
    <t>"Absolute worst airline and service"</t>
  </si>
  <si>
    <t>S Meeta</t>
  </si>
  <si>
    <t>"Do not fly with them"</t>
  </si>
  <si>
    <t>Coline Coessens</t>
  </si>
  <si>
    <t>"This is the worst airline"</t>
  </si>
  <si>
    <t>Isha Thakur</t>
  </si>
  <si>
    <t>"It was a horror show"</t>
  </si>
  <si>
    <t>D Meares</t>
  </si>
  <si>
    <t>"I am severely disappointed"</t>
  </si>
  <si>
    <t>E Han</t>
  </si>
  <si>
    <t>9th July 2022</t>
  </si>
  <si>
    <t>"surprisingly had a pleasant experience"</t>
  </si>
  <si>
    <t>Ramesh Vureti</t>
  </si>
  <si>
    <t>"wouldn't choose to fly with Air India"</t>
  </si>
  <si>
    <t>Eleanor Vear</t>
  </si>
  <si>
    <t>"relates to my lost luggage"</t>
  </si>
  <si>
    <t>A Kajay</t>
  </si>
  <si>
    <t>"Horrible, horrible airline"</t>
  </si>
  <si>
    <t>Harmeet Singh</t>
  </si>
  <si>
    <t>"the worst customer service"</t>
  </si>
  <si>
    <t>A Marjash</t>
  </si>
  <si>
    <t>"cabin crew service was very rude"</t>
  </si>
  <si>
    <t>Amin Virani</t>
  </si>
  <si>
    <t>"the worst airline"</t>
  </si>
  <si>
    <t>P Martak</t>
  </si>
  <si>
    <t>"rude, unhelpful and unapologetic"</t>
  </si>
  <si>
    <t>L Marsden</t>
  </si>
  <si>
    <t>"I was told that flight is overbooked"</t>
  </si>
  <si>
    <t>S Havingar</t>
  </si>
  <si>
    <t>"Just appalled by the poor service"</t>
  </si>
  <si>
    <t>Ritika Periwal</t>
  </si>
  <si>
    <t>21st May 2022</t>
  </si>
  <si>
    <t>"not able to contact customer service"</t>
  </si>
  <si>
    <t>Gopa Biswas</t>
  </si>
  <si>
    <t>"Overall a poor experience"</t>
  </si>
  <si>
    <t>"first and last Air India experience"</t>
  </si>
  <si>
    <t>Amandeep Singh</t>
  </si>
  <si>
    <t>"found the flights enjoyable"</t>
  </si>
  <si>
    <t>A Nambiar</t>
  </si>
  <si>
    <t>"only 10% of the screens started working"</t>
  </si>
  <si>
    <t>Freny Zaveri</t>
  </si>
  <si>
    <t>"None of the TVs worked and no WIFI"</t>
  </si>
  <si>
    <t>Amber Teufel</t>
  </si>
  <si>
    <t>"I will never fly with Air India again"</t>
  </si>
  <si>
    <t>Sandeep Bhola</t>
  </si>
  <si>
    <t>"bad experience with this flight"</t>
  </si>
  <si>
    <t>S Garbeda</t>
  </si>
  <si>
    <t>"Horrible communication"</t>
  </si>
  <si>
    <t>C Ajit</t>
  </si>
  <si>
    <t>"be ready for a very stressful travel if you choose this Airline"</t>
  </si>
  <si>
    <t>Aditya Oza</t>
  </si>
  <si>
    <t>30th April 2022</t>
  </si>
  <si>
    <t>"Terrible customer support"</t>
  </si>
  <si>
    <t>Zaheda Saiyed</t>
  </si>
  <si>
    <t>"left stranded with very little options"</t>
  </si>
  <si>
    <t>S Kamalaya</t>
  </si>
  <si>
    <t>"entertainment screen wasn't working"</t>
  </si>
  <si>
    <t>J Fernandez</t>
  </si>
  <si>
    <t>"Not recommending anymore"</t>
  </si>
  <si>
    <t>Mohit Gheewala</t>
  </si>
  <si>
    <t>"Very disappointed by the attitude"</t>
  </si>
  <si>
    <t>Mayil Vahanan</t>
  </si>
  <si>
    <t>"She was very unprofessional"</t>
  </si>
  <si>
    <t>Shefal Sharma</t>
  </si>
  <si>
    <t>"like to appreciate the ground staff"</t>
  </si>
  <si>
    <t>Rajan Puri</t>
  </si>
  <si>
    <t>"It was the worst experience"</t>
  </si>
  <si>
    <t>M Jubi</t>
  </si>
  <si>
    <t>"this was the worst experience"</t>
  </si>
  <si>
    <t>T Ashwin</t>
  </si>
  <si>
    <t>"One of the worst experiences"</t>
  </si>
  <si>
    <t>J Havawin</t>
  </si>
  <si>
    <t>4th April 2022</t>
  </si>
  <si>
    <t>"nothing seems to have changed under the new ownership"</t>
  </si>
  <si>
    <t>Sudipto Sarkar</t>
  </si>
  <si>
    <t>"did not have pillows for passengers"</t>
  </si>
  <si>
    <t>H Karshar</t>
  </si>
  <si>
    <t>"Never again Air India in my life"</t>
  </si>
  <si>
    <t>Joseph Cherian</t>
  </si>
  <si>
    <t>"a totally chaotic experience"</t>
  </si>
  <si>
    <t>C Kathir</t>
  </si>
  <si>
    <t>"the food was the worst Iâ€™ve ever had"</t>
  </si>
  <si>
    <t>Jay Gupta</t>
  </si>
  <si>
    <t>"Absolute worst flight experience"</t>
  </si>
  <si>
    <t>S Kaur</t>
  </si>
  <si>
    <t>"an alternative flight was also not arranged"</t>
  </si>
  <si>
    <t>N Singh</t>
  </si>
  <si>
    <t>"most mediocre Business class"</t>
  </si>
  <si>
    <t>A Sahyra</t>
  </si>
  <si>
    <t>"doesn't care in the least about customer service"</t>
  </si>
  <si>
    <t>C Thane</t>
  </si>
  <si>
    <t>"In flight meal was good"</t>
  </si>
  <si>
    <t>13th March 2022</t>
  </si>
  <si>
    <t>"sublime torture on this 15.5 hour journey"</t>
  </si>
  <si>
    <t>S Shetty</t>
  </si>
  <si>
    <t>"No entertainment on 16 hr flight"</t>
  </si>
  <si>
    <t>P Vardel</t>
  </si>
  <si>
    <t>"Worst flight experience ever"</t>
  </si>
  <si>
    <t>Urvashie Pruthi</t>
  </si>
  <si>
    <t>"no proper accommodation provided"</t>
  </si>
  <si>
    <t>Dhaval Patel</t>
  </si>
  <si>
    <t>"do not recommend anyone to fly Air India"</t>
  </si>
  <si>
    <t>Bhakti Panchal</t>
  </si>
  <si>
    <t>"plane was filthy,  entertainment non existent"</t>
  </si>
  <si>
    <t>Anisha Judge</t>
  </si>
  <si>
    <t>"waiting for refund since last 1 year"</t>
  </si>
  <si>
    <t>Satheesh Kottayil</t>
  </si>
  <si>
    <t>"a great short flight"</t>
  </si>
  <si>
    <t>Ankit Dubey</t>
  </si>
  <si>
    <t>"not recommend anybody to travel with them"</t>
  </si>
  <si>
    <t>Sukhjinder Singh</t>
  </si>
  <si>
    <t>"Customer care support is worst"</t>
  </si>
  <si>
    <t>Anjan Yaragani</t>
  </si>
  <si>
    <t>16th January 2022</t>
  </si>
  <si>
    <t>"havenâ€™t been able to refund me"</t>
  </si>
  <si>
    <t>CÃ©cilia Lopez</t>
  </si>
  <si>
    <t>"told now the change fee had increased"</t>
  </si>
  <si>
    <t>Sekh Mallik</t>
  </si>
  <si>
    <t>"Never travel with Air India again"</t>
  </si>
  <si>
    <t>Lovlit Goplani</t>
  </si>
  <si>
    <t>"Booking a ticket online is such a pain"</t>
  </si>
  <si>
    <t>Anjan Mandal</t>
  </si>
  <si>
    <t>"I would say to not fly Air India "</t>
  </si>
  <si>
    <t>Somik Sinha</t>
  </si>
  <si>
    <t>"Absolute horrendous experience!</t>
  </si>
  <si>
    <t>Ajay Maru</t>
  </si>
  <si>
    <t>"Boarding delay and nothing but chaos"</t>
  </si>
  <si>
    <t>Ash Walker</t>
  </si>
  <si>
    <t>"there is absolutely no clue what is going on"</t>
  </si>
  <si>
    <t>Narendran Pillai</t>
  </si>
  <si>
    <t>"Worst customer service experience"</t>
  </si>
  <si>
    <t>Ashif Nelleri</t>
  </si>
  <si>
    <t>"not worth the money at all"</t>
  </si>
  <si>
    <t>H Kaur</t>
  </si>
  <si>
    <t>2nd December 2021</t>
  </si>
  <si>
    <t>"good experience on this short sector"</t>
  </si>
  <si>
    <t>D Kabey</t>
  </si>
  <si>
    <t>"customer support has been absolutely pathetic"</t>
  </si>
  <si>
    <t>J Kultin</t>
  </si>
  <si>
    <t>"worst experience with this airline"</t>
  </si>
  <si>
    <t>Lilesh Karade</t>
  </si>
  <si>
    <t>Manav Joshi</t>
  </si>
  <si>
    <t>"they were not aware about the rule"</t>
  </si>
  <si>
    <t>Kartik Panchal</t>
  </si>
  <si>
    <t>"lack of processes and untrained ground staff"</t>
  </si>
  <si>
    <t>Sreejith Kurup</t>
  </si>
  <si>
    <t>"Air India repeatedly disappoints"</t>
  </si>
  <si>
    <t>Arun Tej Gorji</t>
  </si>
  <si>
    <t>"I never recommend Air India to anyone"</t>
  </si>
  <si>
    <t>M R Raghunath</t>
  </si>
  <si>
    <t>"the most disappointing experience"</t>
  </si>
  <si>
    <t>N Shah Jenkins</t>
  </si>
  <si>
    <t>"Services have downgraded tremendously"</t>
  </si>
  <si>
    <t>Jyoti Kumari</t>
  </si>
  <si>
    <t>24th October 2021</t>
  </si>
  <si>
    <t>"don't have spaceto put my luggage"</t>
  </si>
  <si>
    <t>M Saleemuddin</t>
  </si>
  <si>
    <t>"bad experience with any airline"</t>
  </si>
  <si>
    <t>Harry Downey</t>
  </si>
  <si>
    <t>"Would not recommend Air India"</t>
  </si>
  <si>
    <t>Nimisha Mehta</t>
  </si>
  <si>
    <t>N Kadey</t>
  </si>
  <si>
    <t>"unprofessional and rude customer service"</t>
  </si>
  <si>
    <t>Anand Vijayakumar</t>
  </si>
  <si>
    <t>"it has not been refunded"</t>
  </si>
  <si>
    <t>Nagendra Chougule</t>
  </si>
  <si>
    <t>"he made sure I was all okay"</t>
  </si>
  <si>
    <t>Nynan Noushad</t>
  </si>
  <si>
    <t>"most terrible experience ever"</t>
  </si>
  <si>
    <t>G Palaya</t>
  </si>
  <si>
    <t>"It was a nightmare"</t>
  </si>
  <si>
    <t>Gurjit Nijjar</t>
  </si>
  <si>
    <t>"Absolute nightmare"</t>
  </si>
  <si>
    <t>K Narani</t>
  </si>
  <si>
    <t>12th September 2021</t>
  </si>
  <si>
    <t>"they said that boarding is closed."</t>
  </si>
  <si>
    <t>Jyoti Singh</t>
  </si>
  <si>
    <t>"assigned my seat to someone else"</t>
  </si>
  <si>
    <t>R Jahani</t>
  </si>
  <si>
    <t>"there was no hygiene"</t>
  </si>
  <si>
    <t>P Kalesh</t>
  </si>
  <si>
    <t>"How can this airline treat passengers so casually?"</t>
  </si>
  <si>
    <t>Mohit Sharma</t>
  </si>
  <si>
    <t>"amount is not refundable"</t>
  </si>
  <si>
    <t>Anoop Kumar</t>
  </si>
  <si>
    <t>"not refunding the money"</t>
  </si>
  <si>
    <t>J Datesh</t>
  </si>
  <si>
    <t>"good for nothing customer support"</t>
  </si>
  <si>
    <t>E Sanhee</t>
  </si>
  <si>
    <t>"significant delay in refunding money"</t>
  </si>
  <si>
    <t>S Kanukhar</t>
  </si>
  <si>
    <t>"Is this airline out of their minds?"</t>
  </si>
  <si>
    <t>Zarina Frederick</t>
  </si>
  <si>
    <t>"their services are so pathetic"</t>
  </si>
  <si>
    <t>Neha Chauhan</t>
  </si>
  <si>
    <t>17th June 2021</t>
  </si>
  <si>
    <t>"Air India just doesn't care"</t>
  </si>
  <si>
    <t>K Parvar</t>
  </si>
  <si>
    <t>"seats are not comfortable"</t>
  </si>
  <si>
    <t>N Barden</t>
  </si>
  <si>
    <t>"Donâ€™t ever use Air India"</t>
  </si>
  <si>
    <t>Rani Ajay</t>
  </si>
  <si>
    <t>S Karjan</t>
  </si>
  <si>
    <t>"The worst customer service"</t>
  </si>
  <si>
    <t>Atiya Panjwani</t>
  </si>
  <si>
    <t>"nearly 14 hrs without any entertainment"</t>
  </si>
  <si>
    <t>B Mayshek</t>
  </si>
  <si>
    <t>"phone chargers should be available"</t>
  </si>
  <si>
    <t>I Kaur</t>
  </si>
  <si>
    <t>"the product is really sub par"</t>
  </si>
  <si>
    <t>R Pardolan</t>
  </si>
  <si>
    <t>"charged me 5040 rupees for 8kg"</t>
  </si>
  <si>
    <t>Siddaram Ishwaragond</t>
  </si>
  <si>
    <t>"it was worth the value"</t>
  </si>
  <si>
    <t>S Harush</t>
  </si>
  <si>
    <t>14th March 2021</t>
  </si>
  <si>
    <t>"charged Rs 20,000 for luggage weight"</t>
  </si>
  <si>
    <t>Sushant Rana</t>
  </si>
  <si>
    <t>"flight has been re-scheduled three times"</t>
  </si>
  <si>
    <t>Sathiavathy Karappan</t>
  </si>
  <si>
    <t>"Not following protocols or any rules"</t>
  </si>
  <si>
    <t>Annmary Jacob</t>
  </si>
  <si>
    <t>"the inflight experience was quite nice"</t>
  </si>
  <si>
    <t>"Worst staff behaviour ever!"</t>
  </si>
  <si>
    <t>Sangita dubey Dubey</t>
  </si>
  <si>
    <t>"such a terrible experience"</t>
  </si>
  <si>
    <t>Gazal Banga</t>
  </si>
  <si>
    <t>"Such a terrible airline"</t>
  </si>
  <si>
    <t>Eliza Kento</t>
  </si>
  <si>
    <t>"Completely disgusted with my experience2</t>
  </si>
  <si>
    <t>S Harten</t>
  </si>
  <si>
    <t>"bad experience as always"</t>
  </si>
  <si>
    <t>S Garheen</t>
  </si>
  <si>
    <t>Air India Express</t>
  </si>
  <si>
    <t>"The worst possible experience"</t>
  </si>
  <si>
    <t>Beale</t>
  </si>
  <si>
    <t>12th September 2024</t>
  </si>
  <si>
    <t>"I feel it's more worst now"</t>
  </si>
  <si>
    <t>Hemchand Kamat</t>
  </si>
  <si>
    <t>â€œVery bad serviceâ€</t>
  </si>
  <si>
    <t>Resmi Raj</t>
  </si>
  <si>
    <t>"no information provided"</t>
  </si>
  <si>
    <t>Shameem Elachola</t>
  </si>
  <si>
    <t>"they refused to refund"</t>
  </si>
  <si>
    <t>N Rasanu</t>
  </si>
  <si>
    <t>â€œEmployees behave badlyâ€</t>
  </si>
  <si>
    <t>Dharmesh Vaghasiya</t>
  </si>
  <si>
    <t>Mahr Banday</t>
  </si>
  <si>
    <t>â€œno commitment to the clientsâ€</t>
  </si>
  <si>
    <t>Mitha Jose</t>
  </si>
  <si>
    <t>N Karpala</t>
  </si>
  <si>
    <t>"Frequently flight delays"</t>
  </si>
  <si>
    <t>Sidhartha Kumar Jena</t>
  </si>
  <si>
    <t>â€œI was really disappointedâ€</t>
  </si>
  <si>
    <t>Mathias Pinto</t>
  </si>
  <si>
    <t>15th June 2024</t>
  </si>
  <si>
    <t>â€œWorst flight experienceâ€</t>
  </si>
  <si>
    <t>Smriti Jain</t>
  </si>
  <si>
    <t>â€œWhat a shame!â€</t>
  </si>
  <si>
    <t>Jensen Thomas</t>
  </si>
  <si>
    <t>"huge amount on the extra bag"</t>
  </si>
  <si>
    <t>Parveaz Malik</t>
  </si>
  <si>
    <t>"told to check in our cabin baggage"</t>
  </si>
  <si>
    <t>S Kashinel</t>
  </si>
  <si>
    <t>"Very worst service"</t>
  </si>
  <si>
    <t>Benial Daniel</t>
  </si>
  <si>
    <t>"appreciate his professionalism"</t>
  </si>
  <si>
    <t>S Karjeen</t>
  </si>
  <si>
    <t>"Worst staff service"</t>
  </si>
  <si>
    <t>Zabid Ali Molla</t>
  </si>
  <si>
    <t>"feeling trapped in the flight"</t>
  </si>
  <si>
    <t>Balvinder nath Chaganla</t>
  </si>
  <si>
    <t>G Faizan</t>
  </si>
  <si>
    <t>"Worst crew I've ever flown with"</t>
  </si>
  <si>
    <t>Partha Longjam</t>
  </si>
  <si>
    <t>3rd February 2024</t>
  </si>
  <si>
    <t>"flight experience was worst"</t>
  </si>
  <si>
    <t>Saloni Agarwal</t>
  </si>
  <si>
    <t>"No proper communication"</t>
  </si>
  <si>
    <t>B Kalatan</t>
  </si>
  <si>
    <t>"never recommend Air India"</t>
  </si>
  <si>
    <t>Chinmaya Hooli</t>
  </si>
  <si>
    <t>"Thanks for their support"</t>
  </si>
  <si>
    <t>Altmas Khan</t>
  </si>
  <si>
    <t>"did not enjoy my flight"</t>
  </si>
  <si>
    <t>Jaya Yadav</t>
  </si>
  <si>
    <t>"never travel again in this airline"</t>
  </si>
  <si>
    <t>B Pooja</t>
  </si>
  <si>
    <t>Ajith Venugopal</t>
  </si>
  <si>
    <t>"It is a worst service"</t>
  </si>
  <si>
    <t>Sujith Kesavan</t>
  </si>
  <si>
    <t>"One of the worst airline services"</t>
  </si>
  <si>
    <t>Shahbaz Ummer</t>
  </si>
  <si>
    <t>"canceled the flight without any information"</t>
  </si>
  <si>
    <t>B Hashek</t>
  </si>
  <si>
    <t>20th September 2023</t>
  </si>
  <si>
    <t>"not a pleasant or comfortable experience"</t>
  </si>
  <si>
    <t>Muhsin Mohammed</t>
  </si>
  <si>
    <t>"charge you for every 1 Kg"</t>
  </si>
  <si>
    <t>E Kalasamian</t>
  </si>
  <si>
    <t>"utter wastage of money and time"</t>
  </si>
  <si>
    <t>S Reddy</t>
  </si>
  <si>
    <t>"Cabin crews were friendly"</t>
  </si>
  <si>
    <t>T Pathmah</t>
  </si>
  <si>
    <t>"they broke my new luggage"</t>
  </si>
  <si>
    <t>Y Farser</t>
  </si>
  <si>
    <t>"delayed by more than 3 hours"</t>
  </si>
  <si>
    <t>S Hariyash</t>
  </si>
  <si>
    <t>"a budget flight but with a high fare"</t>
  </si>
  <si>
    <t>Thamem Ansari</t>
  </si>
  <si>
    <t>"don't recommend this airline"</t>
  </si>
  <si>
    <t>Akhil Ashok</t>
  </si>
  <si>
    <t>"accommodative and hospitable"</t>
  </si>
  <si>
    <t>Banumathy Bharathi</t>
  </si>
  <si>
    <t>"Very good healthy food"</t>
  </si>
  <si>
    <t>Hassan Ali</t>
  </si>
  <si>
    <t>4th March 2023</t>
  </si>
  <si>
    <t>"entire staff are rude"</t>
  </si>
  <si>
    <t>Abhineet Taneja</t>
  </si>
  <si>
    <t>"poor service"</t>
  </si>
  <si>
    <t>Sreenath Nandakumar</t>
  </si>
  <si>
    <t>"delayed for 24 hours and no prior information"</t>
  </si>
  <si>
    <t>Rohith Nayak</t>
  </si>
  <si>
    <t>"Not value for money"</t>
  </si>
  <si>
    <t>Tarih Basheer</t>
  </si>
  <si>
    <t>"This airline is not worth the money"</t>
  </si>
  <si>
    <t>K Madury</t>
  </si>
  <si>
    <t>"It is value for money"</t>
  </si>
  <si>
    <t>Parijat Mukherjee</t>
  </si>
  <si>
    <t>"horrible customer service"</t>
  </si>
  <si>
    <t>Saniha Ajith</t>
  </si>
  <si>
    <t>"Such a pathetic service"</t>
  </si>
  <si>
    <t>Amol Borwankar</t>
  </si>
  <si>
    <t>"What a pathetic airline"</t>
  </si>
  <si>
    <t>Sak Shab</t>
  </si>
  <si>
    <t>"I have not received refund yet"</t>
  </si>
  <si>
    <t>M Bartal</t>
  </si>
  <si>
    <t>9th December 2021</t>
  </si>
  <si>
    <t>"This was very disappointing"</t>
  </si>
  <si>
    <t>Pramod Mohandas</t>
  </si>
  <si>
    <t>"crew surprisingly good"</t>
  </si>
  <si>
    <t>S Sahni</t>
  </si>
  <si>
    <t>"A very unhappy customer"</t>
  </si>
  <si>
    <t>Ravi Valiya</t>
  </si>
  <si>
    <t>"really upset about your service"</t>
  </si>
  <si>
    <t>K Marsam</t>
  </si>
  <si>
    <t>"I did not get a refund yet"</t>
  </si>
  <si>
    <t>Mahesh Pisal</t>
  </si>
  <si>
    <t>"made me very comfortable"</t>
  </si>
  <si>
    <t>C Mahlat</t>
  </si>
  <si>
    <t>"until now I have no response"</t>
  </si>
  <si>
    <t>Pradeep Marolkar</t>
  </si>
  <si>
    <t>"Very poor customer service"</t>
  </si>
  <si>
    <t>B Karmuda</t>
  </si>
  <si>
    <t>"took off and landed on time"</t>
  </si>
  <si>
    <t>Alan Sargeant</t>
  </si>
  <si>
    <t>"I expect to be compensated"</t>
  </si>
  <si>
    <t>P Balten</t>
  </si>
  <si>
    <t>14th February 2020</t>
  </si>
  <si>
    <t>"Excellent Service"</t>
  </si>
  <si>
    <t>Indranil Mukherjee</t>
  </si>
  <si>
    <t>"refund system is very bad"</t>
  </si>
  <si>
    <t>B Majun</t>
  </si>
  <si>
    <t>"no single entertainment"</t>
  </si>
  <si>
    <t>Sathish Shetty</t>
  </si>
  <si>
    <t>"a pleasant flight"</t>
  </si>
  <si>
    <t>Mohd Nazeer</t>
  </si>
  <si>
    <t>"Worst experience I ever had"</t>
  </si>
  <si>
    <t>Ravichandar Pavanassm</t>
  </si>
  <si>
    <t>"no one cares to reply"</t>
  </si>
  <si>
    <t>Priyanka Nailwla</t>
  </si>
  <si>
    <t>"plain and simple incompetence and laziness"</t>
  </si>
  <si>
    <t>Neha Montgomery</t>
  </si>
  <si>
    <t>"staff service was good"</t>
  </si>
  <si>
    <t>S Lamish</t>
  </si>
  <si>
    <t>"mostly like a horror movie"</t>
  </si>
  <si>
    <t>Abhishek Dey</t>
  </si>
  <si>
    <t>"the flight is a disgrace"</t>
  </si>
  <si>
    <t>Riddhi Parekh</t>
  </si>
  <si>
    <t>28th December 2018</t>
  </si>
  <si>
    <t>"a great experience"</t>
  </si>
  <si>
    <t>Mathews Chennattu</t>
  </si>
  <si>
    <t>Jaspreet Malhotra</t>
  </si>
  <si>
    <t>"asked my seating preference"</t>
  </si>
  <si>
    <t>M Pathiliya</t>
  </si>
  <si>
    <t>"I don't care way of dealing"</t>
  </si>
  <si>
    <t>Bhanu Parashar</t>
  </si>
  <si>
    <t>"staff with adamant nature"</t>
  </si>
  <si>
    <t>Kulbhushan Godase</t>
  </si>
  <si>
    <t>"Overall experience was good"</t>
  </si>
  <si>
    <t>Manvinder Sachdeva</t>
  </si>
  <si>
    <t>"flights are delayed"</t>
  </si>
  <si>
    <t>Ayswarya Vj</t>
  </si>
  <si>
    <t>"first experience is bad"</t>
  </si>
  <si>
    <t>Ishan Kumar</t>
  </si>
  <si>
    <t>"really was a disappointment"</t>
  </si>
  <si>
    <t>Ara Thareja</t>
  </si>
  <si>
    <t>"had a horrible experience"</t>
  </si>
  <si>
    <t>Rachna Shetty</t>
  </si>
  <si>
    <t>5th July 2018</t>
  </si>
  <si>
    <t>"Please avoid this airline"</t>
  </si>
  <si>
    <t>Francisco Fernandes</t>
  </si>
  <si>
    <t>"second bad experience"</t>
  </si>
  <si>
    <t>Kalpesh Mehta</t>
  </si>
  <si>
    <t>ground staff are so incompetent"</t>
  </si>
  <si>
    <t>Erika Pereira</t>
  </si>
  <si>
    <t>"Worst airline in my life"</t>
  </si>
  <si>
    <t>H Dammas</t>
  </si>
  <si>
    <t>Air India Express customer review</t>
  </si>
  <si>
    <t>M Valsek</t>
  </si>
  <si>
    <t>"air conditioning wasn't working"</t>
  </si>
  <si>
    <t>Karthikeyan Jeyaseelan</t>
  </si>
  <si>
    <t>"Never fly Air India Express"</t>
  </si>
  <si>
    <t>E Lanse</t>
  </si>
  <si>
    <t>"entire cabin wasn't in good condition"</t>
  </si>
  <si>
    <t>R Mendonca</t>
  </si>
  <si>
    <t>B Hallir</t>
  </si>
  <si>
    <t>"Their flight delays very often"</t>
  </si>
  <si>
    <t>Mohammed Asif Mansoori</t>
  </si>
  <si>
    <t>28th October 2017</t>
  </si>
  <si>
    <t>"young and efficient crew"</t>
  </si>
  <si>
    <t>Jordan Saldanha</t>
  </si>
  <si>
    <t>C Lameure</t>
  </si>
  <si>
    <t>"regret this decision forever"</t>
  </si>
  <si>
    <t>Sanjeev Gupta</t>
  </si>
  <si>
    <t>"staff ran away"</t>
  </si>
  <si>
    <t>Leo Gertrude David</t>
  </si>
  <si>
    <t>"the flight was not enjoyable"</t>
  </si>
  <si>
    <t>Shaleel Kesavan</t>
  </si>
  <si>
    <t>Rajan Bulchand</t>
  </si>
  <si>
    <t>Mohammed Nazeer</t>
  </si>
  <si>
    <t>Sanjay Modak</t>
  </si>
  <si>
    <t>Shlok Misra</t>
  </si>
  <si>
    <t>Harsh Gidwani</t>
  </si>
  <si>
    <t>12th October 2014</t>
  </si>
  <si>
    <t>Siddharth Ghaisas</t>
  </si>
  <si>
    <t>M Rajeev</t>
  </si>
  <si>
    <t>Jiju Joseph</t>
  </si>
  <si>
    <t>S Modak</t>
  </si>
  <si>
    <t>Rohit Fernandes</t>
  </si>
  <si>
    <t>M Haridas</t>
  </si>
  <si>
    <t>Souk Lan Lim</t>
  </si>
  <si>
    <t>Ramanathan Krishnan</t>
  </si>
  <si>
    <t>P Bhaduri</t>
  </si>
  <si>
    <t>Go First</t>
  </si>
  <si>
    <t>"cancelled the flight at last moment"</t>
  </si>
  <si>
    <t>G Mandal</t>
  </si>
  <si>
    <t>2nd May 2023</t>
  </si>
  <si>
    <t>"cancel flight at the last moment"</t>
  </si>
  <si>
    <t>Vishwanath Deshpande</t>
  </si>
  <si>
    <t>"Will not book Go-First again"</t>
  </si>
  <si>
    <t>Akash Raval</t>
  </si>
  <si>
    <t>"flight got cancelled without any notification"</t>
  </si>
  <si>
    <t>"there is no sense of professionalism in the staff"</t>
  </si>
  <si>
    <t>M Reddy</t>
  </si>
  <si>
    <t>"delayed or cancelled frequently"</t>
  </si>
  <si>
    <t>Deepika Rana</t>
  </si>
  <si>
    <t>"Never go with this flight"</t>
  </si>
  <si>
    <t>A Panarash</t>
  </si>
  <si>
    <t>"seat is not comfortable"</t>
  </si>
  <si>
    <t>Shahid Alam Mohammad</t>
  </si>
  <si>
    <t>"donâ€™t expect to be pampered"</t>
  </si>
  <si>
    <t>S Hayle</t>
  </si>
  <si>
    <t>"handled the situation very well"</t>
  </si>
  <si>
    <t>Priyanshi Jain</t>
  </si>
  <si>
    <t>"changed their schedule frequently"</t>
  </si>
  <si>
    <t>Dharmesh Kapadia</t>
  </si>
  <si>
    <t>21st April 2023</t>
  </si>
  <si>
    <t>"don't value your customers"</t>
  </si>
  <si>
    <t>Vaishnavi Chillal</t>
  </si>
  <si>
    <t>"never value time for its customer"</t>
  </si>
  <si>
    <t>Ankit Chawla</t>
  </si>
  <si>
    <t>"was again late for 3 hours"</t>
  </si>
  <si>
    <t>Suhail Ali</t>
  </si>
  <si>
    <t>"Never fly with this airline"</t>
  </si>
  <si>
    <t>N Kamayr</t>
  </si>
  <si>
    <t>Anjali Dutta</t>
  </si>
  <si>
    <t>"Book only if you're ready for reschedule"</t>
  </si>
  <si>
    <t>Gaurav Singh</t>
  </si>
  <si>
    <t>"Extremely horrible experience"</t>
  </si>
  <si>
    <t>Akshat Dewan</t>
  </si>
  <si>
    <t>"It is always delayed"</t>
  </si>
  <si>
    <t>Jahangir Saleem</t>
  </si>
  <si>
    <t>"last airline one should opt for"</t>
  </si>
  <si>
    <t>Phalguni Rathod</t>
  </si>
  <si>
    <t>"caused significant discomfort"</t>
  </si>
  <si>
    <t>Muzzammil Ansari</t>
  </si>
  <si>
    <t>12th April 2023</t>
  </si>
  <si>
    <t>"the worst way to travel by air"</t>
  </si>
  <si>
    <t>S Parban</t>
  </si>
  <si>
    <t>"never travel through Go First"</t>
  </si>
  <si>
    <t>E Haldin</t>
  </si>
  <si>
    <t>"delayed for almost 3.5 hrs"</t>
  </si>
  <si>
    <t>S Mandel</t>
  </si>
  <si>
    <t>"most unprofessional"</t>
  </si>
  <si>
    <t>Venkata Raghavendra</t>
  </si>
  <si>
    <t>"completely stressful situation"</t>
  </si>
  <si>
    <t>D Palser</t>
  </si>
  <si>
    <t>R Harjash</t>
  </si>
  <si>
    <t>"The worst airline ever"</t>
  </si>
  <si>
    <t>N Kadish</t>
  </si>
  <si>
    <t>"the flight is preponed"</t>
  </si>
  <si>
    <t>Sunidhi Padiyar</t>
  </si>
  <si>
    <t>"Very bad experience"</t>
  </si>
  <si>
    <t>M Kahul</t>
  </si>
  <si>
    <t>"Flight was delayed 4 times"</t>
  </si>
  <si>
    <t>Ankita Lalwani</t>
  </si>
  <si>
    <t>25th March 2023</t>
  </si>
  <si>
    <t>"rescheduled the flight 2 times"</t>
  </si>
  <si>
    <t>V Gashinav</t>
  </si>
  <si>
    <t>"I'm never booking through them again"</t>
  </si>
  <si>
    <t>"Very pathetic experience"</t>
  </si>
  <si>
    <t>Zia Ghadialy</t>
  </si>
  <si>
    <t>"Such a painful experience!"</t>
  </si>
  <si>
    <t>Avijit Das</t>
  </si>
  <si>
    <t>"really thank the cabin crew"</t>
  </si>
  <si>
    <t>Vikrant Bhola</t>
  </si>
  <si>
    <t>"The airline is not worth it"</t>
  </si>
  <si>
    <t>R Garnev</t>
  </si>
  <si>
    <t>"zero value for money and negative convenience"</t>
  </si>
  <si>
    <t>Rupal Ruhani</t>
  </si>
  <si>
    <t>"Such a poor experience"</t>
  </si>
  <si>
    <t>Mohit Aggarwal</t>
  </si>
  <si>
    <t>"Pathetic experience with this airline"</t>
  </si>
  <si>
    <t>S Hasinder</t>
  </si>
  <si>
    <t>"Service after sales is poor"</t>
  </si>
  <si>
    <t>Rakesh Ranjan</t>
  </si>
  <si>
    <t>19th March 2023</t>
  </si>
  <si>
    <t>"Worst experience"</t>
  </si>
  <si>
    <t>Sai Kumar Salveru</t>
  </si>
  <si>
    <t>"Frequent cancellation"</t>
  </si>
  <si>
    <t>Srinidhi Jois</t>
  </si>
  <si>
    <t>"cancelled few hours before the departure"</t>
  </si>
  <si>
    <t>M Jeevan</t>
  </si>
  <si>
    <t>"would never recommend"</t>
  </si>
  <si>
    <t>Neha Chaturvedi</t>
  </si>
  <si>
    <t>"treats its customers so shabbily"</t>
  </si>
  <si>
    <t>Sameer Sharma</t>
  </si>
  <si>
    <t>"It was horrible experience"</t>
  </si>
  <si>
    <t>Shekhar Verma</t>
  </si>
  <si>
    <t>"avoid the airline at all cost"</t>
  </si>
  <si>
    <t>Harsh Kumar</t>
  </si>
  <si>
    <t>"closes one hour prior to flight"</t>
  </si>
  <si>
    <t>Hrishikesh Joshi</t>
  </si>
  <si>
    <t>"delayed without any notice"</t>
  </si>
  <si>
    <t>Amit Vats</t>
  </si>
  <si>
    <t>"Worst Service ever"</t>
  </si>
  <si>
    <t>Ashwin Shetty</t>
  </si>
  <si>
    <t>11th February 2023</t>
  </si>
  <si>
    <t>"don't know the meaning of hospitality"</t>
  </si>
  <si>
    <t>G Singh</t>
  </si>
  <si>
    <t>"Horrible service"!</t>
  </si>
  <si>
    <t>S Varinder</t>
  </si>
  <si>
    <t>"experience was really bad"</t>
  </si>
  <si>
    <t>R Parmek</t>
  </si>
  <si>
    <t>"Worst airline in India"</t>
  </si>
  <si>
    <t>D Varya</t>
  </si>
  <si>
    <t>"Ridiculous excuse of an airline"</t>
  </si>
  <si>
    <t>Aarathi Ajit</t>
  </si>
  <si>
    <t>"Such a bad flight"</t>
  </si>
  <si>
    <t>Imran Akbar Dar</t>
  </si>
  <si>
    <t>"Complete mismanagement"</t>
  </si>
  <si>
    <t>P Anand</t>
  </si>
  <si>
    <t>Go First customer review</t>
  </si>
  <si>
    <t>V Danakesh</t>
  </si>
  <si>
    <t>Vidhi Srivastava</t>
  </si>
  <si>
    <t>"charged me to carry my musical instrument"</t>
  </si>
  <si>
    <t>Satyam Srivastava</t>
  </si>
  <si>
    <t>8th December 2022</t>
  </si>
  <si>
    <t>Ankita Singh</t>
  </si>
  <si>
    <t>"Trust this company at your peril"</t>
  </si>
  <si>
    <t>Peter Linn</t>
  </si>
  <si>
    <t>"Most horrible airline"</t>
  </si>
  <si>
    <t>Abhijay Mitra</t>
  </si>
  <si>
    <t>Nitika Shaw</t>
  </si>
  <si>
    <t>"Overall a pathetic experience"</t>
  </si>
  <si>
    <t>Y Shailesh</t>
  </si>
  <si>
    <t>"Third class service"</t>
  </si>
  <si>
    <t>Jaik Singh</t>
  </si>
  <si>
    <t>"donâ€™t care for the passengers time"</t>
  </si>
  <si>
    <t>B Adithan</t>
  </si>
  <si>
    <t>"do not book if you value your time"</t>
  </si>
  <si>
    <t>D Yew</t>
  </si>
  <si>
    <t>"No professionalism"</t>
  </si>
  <si>
    <t>Prajyoth Reddy</t>
  </si>
  <si>
    <t>"Absolute shambles of an airlines"</t>
  </si>
  <si>
    <t>Siddharth Nair</t>
  </si>
  <si>
    <t>12th November 2022</t>
  </si>
  <si>
    <t>"change flight just one day before"</t>
  </si>
  <si>
    <t>S Choudhary</t>
  </si>
  <si>
    <t>"flight got rescheduled 7 times in 2 days"</t>
  </si>
  <si>
    <t>Vinti Chhoker</t>
  </si>
  <si>
    <t>"Never travel by Go First"</t>
  </si>
  <si>
    <t>S Harah</t>
  </si>
  <si>
    <t>"airline is extremely unreliable"</t>
  </si>
  <si>
    <t>Archana Rampruia</t>
  </si>
  <si>
    <t>"Extremely poor airline"</t>
  </si>
  <si>
    <t>S Parshi</t>
  </si>
  <si>
    <t>"Courteous cabin crew"</t>
  </si>
  <si>
    <t>"Decent experience"</t>
  </si>
  <si>
    <t>"beginning of a worst nightmare"</t>
  </si>
  <si>
    <t>B Shair</t>
  </si>
  <si>
    <t>"do not book a Go First flight"</t>
  </si>
  <si>
    <t>Rashmi Nagari</t>
  </si>
  <si>
    <t>"nacks and beverages on paid basis"</t>
  </si>
  <si>
    <t>19th October 2022</t>
  </si>
  <si>
    <t>"They never value their customer"</t>
  </si>
  <si>
    <t>S Kashani</t>
  </si>
  <si>
    <t>"worst experience with any flight"</t>
  </si>
  <si>
    <t>P Karish</t>
  </si>
  <si>
    <t>"they donâ€™t care about customers"</t>
  </si>
  <si>
    <t>Biswajit Barman</t>
  </si>
  <si>
    <t>"They are your worst nightmare"</t>
  </si>
  <si>
    <t>Sunita Lal</t>
  </si>
  <si>
    <t>Tirth Bhatt</t>
  </si>
  <si>
    <t>"non-courteous, non-accommodating staff"</t>
  </si>
  <si>
    <t>Surendra Srivastava</t>
  </si>
  <si>
    <t>"subjecting us to enormous hardships"</t>
  </si>
  <si>
    <t>Virender Kumar</t>
  </si>
  <si>
    <t>"Seat pitch are just ok"</t>
  </si>
  <si>
    <t>"get ready to face some surprises"</t>
  </si>
  <si>
    <t>D Pankul</t>
  </si>
  <si>
    <t>"They don't care for customers"</t>
  </si>
  <si>
    <t>Santosh Tantri</t>
  </si>
  <si>
    <t>"worst experience I had"</t>
  </si>
  <si>
    <t>E Sathyamurthy</t>
  </si>
  <si>
    <t>"Horrible customer service"</t>
  </si>
  <si>
    <t>Gayatri Kamath</t>
  </si>
  <si>
    <t>"I had a very bad experience"</t>
  </si>
  <si>
    <t>V Anu</t>
  </si>
  <si>
    <t>"No sense of responsibility"</t>
  </si>
  <si>
    <t>Mehnaz Bano</t>
  </si>
  <si>
    <t>"Seriously poor airline"</t>
  </si>
  <si>
    <t>R Beale</t>
  </si>
  <si>
    <t>Lalith Chandra</t>
  </si>
  <si>
    <t>"Okay experience for a short flight"</t>
  </si>
  <si>
    <t>Pavan Gajare</t>
  </si>
  <si>
    <t>"Worst flying experience"</t>
  </si>
  <si>
    <t>Renu Ruhil</t>
  </si>
  <si>
    <t>Kumar Gaurav</t>
  </si>
  <si>
    <t>15th August 2022</t>
  </si>
  <si>
    <t>"very pathetic service"</t>
  </si>
  <si>
    <t>Sadasivan Nair</t>
  </si>
  <si>
    <t>"never choose this airline again"</t>
  </si>
  <si>
    <t>Tobias Deininger</t>
  </si>
  <si>
    <t>"airline is worth avoiding"</t>
  </si>
  <si>
    <t>"denied to give boarding pass"</t>
  </si>
  <si>
    <t>H Varkash</t>
  </si>
  <si>
    <t>"bad service from the staff"</t>
  </si>
  <si>
    <t>J Patel</t>
  </si>
  <si>
    <t>"Cabin crew were courteous"</t>
  </si>
  <si>
    <t>"Flight delayed by 2.5 hours"</t>
  </si>
  <si>
    <t>Chandresh Sanghavi</t>
  </si>
  <si>
    <t>"really a bad experience"</t>
  </si>
  <si>
    <t>Eldho Thomas</t>
  </si>
  <si>
    <t>"never fly this carrier please"</t>
  </si>
  <si>
    <t>Denis Karpukhin</t>
  </si>
  <si>
    <t>"there are no free seats available"</t>
  </si>
  <si>
    <t>Anil Krishnan</t>
  </si>
  <si>
    <t>"the worst airline I have ever flown"</t>
  </si>
  <si>
    <t>P Galash</t>
  </si>
  <si>
    <t>"I will never ever choose this flight"</t>
  </si>
  <si>
    <t>Girish Babu</t>
  </si>
  <si>
    <t>"11 hour trip instead of the original 2 hours"</t>
  </si>
  <si>
    <t>Manish Mishra</t>
  </si>
  <si>
    <t>Ankit Kumar Jain</t>
  </si>
  <si>
    <t>"Worst airline in the world"</t>
  </si>
  <si>
    <t>T Harpesh</t>
  </si>
  <si>
    <t>"In flight service good"</t>
  </si>
  <si>
    <t>S Rajeev</t>
  </si>
  <si>
    <t>Srikanta Mukherjee</t>
  </si>
  <si>
    <t>"Customer service is pathetic"</t>
  </si>
  <si>
    <t>Dharitri Das</t>
  </si>
  <si>
    <t>"Just like a local bus service"</t>
  </si>
  <si>
    <t>Nishant Agarwal</t>
  </si>
  <si>
    <t>7th April 2022</t>
  </si>
  <si>
    <t>"counter will be closed 60 minutes before"</t>
  </si>
  <si>
    <t>Arjun Kumar</t>
  </si>
  <si>
    <t>" had to go for another airline at the last moment"</t>
  </si>
  <si>
    <t>Gargi Das</t>
  </si>
  <si>
    <t>"Pathetic service and airline"</t>
  </si>
  <si>
    <t>Sushant Rawat</t>
  </si>
  <si>
    <t>"should be shut down completely</t>
  </si>
  <si>
    <t>A Kanesh</t>
  </si>
  <si>
    <t>N Danesh</t>
  </si>
  <si>
    <t>"I wanted compensation from Go First"</t>
  </si>
  <si>
    <t>R Kalaj</t>
  </si>
  <si>
    <t>"Never, never, never again"</t>
  </si>
  <si>
    <t>Merlin John</t>
  </si>
  <si>
    <t>"avoid Go First at any cost"</t>
  </si>
  <si>
    <t>Akhil Bisht</t>
  </si>
  <si>
    <t>"Worst airline with highest cancellation rate"</t>
  </si>
  <si>
    <t>W Tahir</t>
  </si>
  <si>
    <t>"cancelled our flights three times with very short notice"</t>
  </si>
  <si>
    <t>N Martin</t>
  </si>
  <si>
    <t>21st March 2022</t>
  </si>
  <si>
    <t>Biki Biswas</t>
  </si>
  <si>
    <t>"internal processes needs a complete revamp"</t>
  </si>
  <si>
    <t>Israr Ahmed Khan</t>
  </si>
  <si>
    <t>"unnecessarily troubling their travelers"</t>
  </si>
  <si>
    <t>Milind Meher</t>
  </si>
  <si>
    <t>"Never taking this airline ever again"</t>
  </si>
  <si>
    <t>N Lasari</t>
  </si>
  <si>
    <t>"Definitely not recommended"</t>
  </si>
  <si>
    <t>S Garun</t>
  </si>
  <si>
    <t>"Pathetic customer service"</t>
  </si>
  <si>
    <t>B Sadarthi</t>
  </si>
  <si>
    <t>"unprofessional and rude ground staff"</t>
  </si>
  <si>
    <t>Sruthi Kolla</t>
  </si>
  <si>
    <t>"they changed the schedule rendering the entire journey useless"</t>
  </si>
  <si>
    <t>"Overall the flight was okay"</t>
  </si>
  <si>
    <t>"don't pay heed to customers preferences"</t>
  </si>
  <si>
    <t>Jaya Mishra</t>
  </si>
  <si>
    <t>21st February 2022</t>
  </si>
  <si>
    <t>"Would never use again"</t>
  </si>
  <si>
    <t>H Garsav</t>
  </si>
  <si>
    <t>"Never book Go First flight"</t>
  </si>
  <si>
    <t>S Hayesh</t>
  </si>
  <si>
    <t>Rahul Razdan</t>
  </si>
  <si>
    <t>"flight cancel message just 5 days before"</t>
  </si>
  <si>
    <t>Y Satumar</t>
  </si>
  <si>
    <t>"They are just fooling people"</t>
  </si>
  <si>
    <t>Dharu Abraham</t>
  </si>
  <si>
    <t>"Needs huge improvement in customer service"</t>
  </si>
  <si>
    <t>Ayush Malpani</t>
  </si>
  <si>
    <t>"Need to improve overall"</t>
  </si>
  <si>
    <t>Aijaz Ghare</t>
  </si>
  <si>
    <t>Jessica Aguiar</t>
  </si>
  <si>
    <t>"cancelled it without giving any reason"</t>
  </si>
  <si>
    <t>Chirag Kansal</t>
  </si>
  <si>
    <t>"quarantine facility a nightmare"</t>
  </si>
  <si>
    <t>Jitin Varghese</t>
  </si>
  <si>
    <t>23rd January 2022</t>
  </si>
  <si>
    <t>"customer service gives false promises"</t>
  </si>
  <si>
    <t>T Abin</t>
  </si>
  <si>
    <t>"only thing decent thing was the customer support"</t>
  </si>
  <si>
    <t>S Cherla</t>
  </si>
  <si>
    <t>"The crew was friendly"</t>
  </si>
  <si>
    <t>H Banesh</t>
  </si>
  <si>
    <t>"only paid seats are found"</t>
  </si>
  <si>
    <t>A Hayton</t>
  </si>
  <si>
    <t>"They are so unreliable"</t>
  </si>
  <si>
    <t>S Marnadez</t>
  </si>
  <si>
    <t>"They donâ€™t offer any free seats"</t>
  </si>
  <si>
    <t>D Vardenar</t>
  </si>
  <si>
    <t>Nikitha Chandran</t>
  </si>
  <si>
    <t>M Harkim</t>
  </si>
  <si>
    <t>"4 flights got cancelled by Go First"</t>
  </si>
  <si>
    <t>A Harkalar</t>
  </si>
  <si>
    <t>"Utterly incompetent and shady"</t>
  </si>
  <si>
    <t>Nardeep Gill</t>
  </si>
  <si>
    <t>23rd December 2021</t>
  </si>
  <si>
    <t>"pay extra amount for the free seats"</t>
  </si>
  <si>
    <t>Rajasthan Kumar</t>
  </si>
  <si>
    <t>Yash Gandhi</t>
  </si>
  <si>
    <t>"the flight has been cancelled"</t>
  </si>
  <si>
    <t>Sooraj Krishna</t>
  </si>
  <si>
    <t>"extremely rude behaviour"</t>
  </si>
  <si>
    <t>H Girash</t>
  </si>
  <si>
    <t>"worst domestic carriers in India"</t>
  </si>
  <si>
    <t>S Khan</t>
  </si>
  <si>
    <t>"one of the worst domestic carriers"</t>
  </si>
  <si>
    <t>K Abhi</t>
  </si>
  <si>
    <t>"they wouldn't let us board"</t>
  </si>
  <si>
    <t>P Ramosa</t>
  </si>
  <si>
    <t>Akshay Patil</t>
  </si>
  <si>
    <t>"never travel again with this airline"</t>
  </si>
  <si>
    <t>Rahul Choudhuri</t>
  </si>
  <si>
    <t>"cancelled both their flights"</t>
  </si>
  <si>
    <t>R Hallesh</t>
  </si>
  <si>
    <t>27th November 2021</t>
  </si>
  <si>
    <t>"Worst experience I ever had on an airline"</t>
  </si>
  <si>
    <t>Pravin P Shastri</t>
  </si>
  <si>
    <t>"Never book a flight with this airline"</t>
  </si>
  <si>
    <t>Jahnavi Miriyala</t>
  </si>
  <si>
    <t>"the worst service I've seen so far"</t>
  </si>
  <si>
    <t>Radha Meena</t>
  </si>
  <si>
    <t>"a very bad free seat"</t>
  </si>
  <si>
    <t>Urvashi Gupta</t>
  </si>
  <si>
    <t>"didnâ€™t let us board the flight"</t>
  </si>
  <si>
    <t>Caren Menon</t>
  </si>
  <si>
    <t>N Sharzen</t>
  </si>
  <si>
    <t>"one of the worst airlines to travel with"</t>
  </si>
  <si>
    <t>M Mishra</t>
  </si>
  <si>
    <t>"I wonâ€™t recommend it to anybody"</t>
  </si>
  <si>
    <t>Shreeja Mohanta</t>
  </si>
  <si>
    <t>" Very worst experience"</t>
  </si>
  <si>
    <t>Vishal Kumar Gupta</t>
  </si>
  <si>
    <t>IndiGo</t>
  </si>
  <si>
    <t>â€œUnprofessional. Rude. Uncooperativeâ€</t>
  </si>
  <si>
    <t>V Sharma</t>
  </si>
  <si>
    <t>23rd September 2024</t>
  </si>
  <si>
    <t>"uncomfortable seats and subpar food"</t>
  </si>
  <si>
    <t>Himani Goyal</t>
  </si>
  <si>
    <t>"we have to wait for 12 hrs outside"</t>
  </si>
  <si>
    <t>Barnali Shankar</t>
  </si>
  <si>
    <t>â€œmaking everyone unpack their bagsâ€</t>
  </si>
  <si>
    <t>Randall Hamilton</t>
  </si>
  <si>
    <t>"ways to grab money from your customers"</t>
  </si>
  <si>
    <t>N Harkiya</t>
  </si>
  <si>
    <t>"Not at all customer friendly"</t>
  </si>
  <si>
    <t>S Nagabhirava</t>
  </si>
  <si>
    <t>"more than 45 mins for baggage to come"</t>
  </si>
  <si>
    <t>M Habur</t>
  </si>
  <si>
    <t>"Both flights were delayed by 2 hours"</t>
  </si>
  <si>
    <t>Steve Dsouza</t>
  </si>
  <si>
    <t>"value for money"</t>
  </si>
  <si>
    <t>H Darsayn</t>
  </si>
  <si>
    <t>"unacceptable and very poor service"</t>
  </si>
  <si>
    <t>S Comar</t>
  </si>
  <si>
    <t>"struggled due to online payment"</t>
  </si>
  <si>
    <t>Manin Kulkarni</t>
  </si>
  <si>
    <t>10th August 2024</t>
  </si>
  <si>
    <t>"quite disappointing"</t>
  </si>
  <si>
    <t>Pooja Deshpande</t>
  </si>
  <si>
    <t>"Ground Service of IndiGo is the worst"</t>
  </si>
  <si>
    <t>N Hasani</t>
  </si>
  <si>
    <t>"Very rude people working for it"</t>
  </si>
  <si>
    <t>T Maykell</t>
  </si>
  <si>
    <t>â€œWorst Airlineâ€</t>
  </si>
  <si>
    <t>Saramma Pa</t>
  </si>
  <si>
    <t>"It's a very bad service"</t>
  </si>
  <si>
    <t>Manoj Jena</t>
  </si>
  <si>
    <t>"a bad experience"</t>
  </si>
  <si>
    <t>Gaspard Grass</t>
  </si>
  <si>
    <t>"was charged 10,000 rs extra"</t>
  </si>
  <si>
    <t>Namrata Dubey</t>
  </si>
  <si>
    <t>"charged me extra for my hand luggage"</t>
  </si>
  <si>
    <t>L Gomil</t>
  </si>
  <si>
    <t>â€œStaff is inconsiderate and inhumanâ€</t>
  </si>
  <si>
    <t>T Sanderson</t>
  </si>
  <si>
    <t>"gate closes 25min prior to departure"</t>
  </si>
  <si>
    <t>V Katayumah</t>
  </si>
  <si>
    <t>24th May 2024</t>
  </si>
  <si>
    <t>"we ended up missing the flight"</t>
  </si>
  <si>
    <t>Suhas Madan</t>
  </si>
  <si>
    <t>"experienced very great service"</t>
  </si>
  <si>
    <t>Aarjun Malhotra</t>
  </si>
  <si>
    <t>â€œpleasant cabin crewâ€</t>
  </si>
  <si>
    <t>"a comfortable enough flight"</t>
  </si>
  <si>
    <t>S Hartin</t>
  </si>
  <si>
    <t>"Overall quite happy"</t>
  </si>
  <si>
    <t>S Haltin</t>
  </si>
  <si>
    <t>"his fantastic hospitality"</t>
  </si>
  <si>
    <t>M Aishwarya</t>
  </si>
  <si>
    <t>"I was three minutes late"</t>
  </si>
  <si>
    <t>Yogendra Shrestha</t>
  </si>
  <si>
    <t>â€œabsolutely rips people offâ€</t>
  </si>
  <si>
    <t>Dhriti Ranjan</t>
  </si>
  <si>
    <t>"irresponsible behaviour"</t>
  </si>
  <si>
    <t>Suneet Mishra</t>
  </si>
  <si>
    <t>"menu was extremely restricted"</t>
  </si>
  <si>
    <t>Rajesh Mehra</t>
  </si>
  <si>
    <t>5th March 2024</t>
  </si>
  <si>
    <t>â€œTheir cheap fare is not worth itâ€</t>
  </si>
  <si>
    <t>G Pea</t>
  </si>
  <si>
    <t>"pushed me to take a refund"</t>
  </si>
  <si>
    <t>S Halshya</t>
  </si>
  <si>
    <t>â€œCrew very nervous and chaoticâ€</t>
  </si>
  <si>
    <t>Ira Nagel</t>
  </si>
  <si>
    <t>"particular flight was terrible"</t>
  </si>
  <si>
    <t>S Garven</t>
  </si>
  <si>
    <t>â€œOne of worst flight operatorsâ€</t>
  </si>
  <si>
    <t>Shashi Singh</t>
  </si>
  <si>
    <t>"website and mobile app is bad"</t>
  </si>
  <si>
    <t>E Zografakis</t>
  </si>
  <si>
    <t>"a good experience"</t>
  </si>
  <si>
    <t>B Latlae</t>
  </si>
  <si>
    <t>"Excellent experience overall"</t>
  </si>
  <si>
    <t>Giovanni Tropea</t>
  </si>
  <si>
    <t>â€œThey do not careâ€</t>
  </si>
  <si>
    <t>Achim Nuhr</t>
  </si>
  <si>
    <t>IndiGo customer review</t>
  </si>
  <si>
    <t>Tangirala Reddy</t>
  </si>
  <si>
    <t>17th January 2024</t>
  </si>
  <si>
    <t>â€œhave 0 standards to fly Internationalâ€</t>
  </si>
  <si>
    <t>Chirag Acharya</t>
  </si>
  <si>
    <t>â€œa very stressful experienceâ€</t>
  </si>
  <si>
    <t>Sanjana K Murthy</t>
  </si>
  <si>
    <t>â€œNot worth the hassleâ€</t>
  </si>
  <si>
    <t>A Rasouli</t>
  </si>
  <si>
    <t>â€œNew crew is really patheticâ€</t>
  </si>
  <si>
    <t>Mahendra Kumar</t>
  </si>
  <si>
    <t>"this was my worst experience"</t>
  </si>
  <si>
    <t>Niraj Patel</t>
  </si>
  <si>
    <t>"Flight was delayed by 45 minutes"</t>
  </si>
  <si>
    <t>R Harshem</t>
  </si>
  <si>
    <t>"asking for money to give a sandwich"</t>
  </si>
  <si>
    <t>B Anildeep</t>
  </si>
  <si>
    <t>â€œHorrible inflight and customer serviceâ€</t>
  </si>
  <si>
    <t>Rahul Shrivastava</t>
  </si>
  <si>
    <t>â€œit is due to their faultâ€</t>
  </si>
  <si>
    <t>K Shetty</t>
  </si>
  <si>
    <t>"did not change my 12D exit row"</t>
  </si>
  <si>
    <t>C Han</t>
  </si>
  <si>
    <t>30th November 2023</t>
  </si>
  <si>
    <t>"left me with a sense of dissatisfaction"</t>
  </si>
  <si>
    <t>N Nishanth</t>
  </si>
  <si>
    <t>"flight is delayed for 2 hrs"</t>
  </si>
  <si>
    <t>Prasad Reddy</t>
  </si>
  <si>
    <t>"par with the international carriers"</t>
  </si>
  <si>
    <t>Suneet Rajshekhar</t>
  </si>
  <si>
    <t>â€œseats were tattered and stainedâ€</t>
  </si>
  <si>
    <t>A Deol</t>
  </si>
  <si>
    <t>"Overall a no-fuss experience"</t>
  </si>
  <si>
    <t>S Ganhela</t>
  </si>
  <si>
    <t>"not able to take my cabin baggage"</t>
  </si>
  <si>
    <t>Tapas Datta</t>
  </si>
  <si>
    <t>"staff is so rude"</t>
  </si>
  <si>
    <t>Pargat Singh</t>
  </si>
  <si>
    <t>"frequent reschedules and cancellations"</t>
  </si>
  <si>
    <t>G Das</t>
  </si>
  <si>
    <t>"courteous crew, value for money"</t>
  </si>
  <si>
    <t>M Yadav</t>
  </si>
  <si>
    <t>"did not serve corporate meal to me"</t>
  </si>
  <si>
    <t>P Jareyn</t>
  </si>
  <si>
    <t>"dealt the issue with professionalism"</t>
  </si>
  <si>
    <t>A Calendez</t>
  </si>
  <si>
    <t>"motivated and talented cabin crew"</t>
  </si>
  <si>
    <t>Bharat Datt</t>
  </si>
  <si>
    <t>"keen interest to resolve the matter"</t>
  </si>
  <si>
    <t>Parul Pujary</t>
  </si>
  <si>
    <t>"no one was bothered to serve"</t>
  </si>
  <si>
    <t>K Manasa</t>
  </si>
  <si>
    <t>"boarding experience unpleasant"</t>
  </si>
  <si>
    <t>G Keen</t>
  </si>
  <si>
    <t>"Seats and service were sub-par"</t>
  </si>
  <si>
    <t>Arindra Mishra</t>
  </si>
  <si>
    <t>"charged 7000 extra luggage charge"</t>
  </si>
  <si>
    <t>Akanksha Shrivastava</t>
  </si>
  <si>
    <t>"lack of professionalism"</t>
  </si>
  <si>
    <t>F Durand</t>
  </si>
  <si>
    <t>18th August 2023</t>
  </si>
  <si>
    <t>"The service was excellent"</t>
  </si>
  <si>
    <t>Satya Roy</t>
  </si>
  <si>
    <t>"incredibly disappointed by the appalling service"</t>
  </si>
  <si>
    <t>Jerome Jacob Xavier</t>
  </si>
  <si>
    <t>"manually tagged bags were missing"</t>
  </si>
  <si>
    <t>S Birvali</t>
  </si>
  <si>
    <t>"crew looks poorly trained"</t>
  </si>
  <si>
    <t>Srini Veera</t>
  </si>
  <si>
    <t>"give up my cabin bag at boarding"</t>
  </si>
  <si>
    <t>Gladys Swamy</t>
  </si>
  <si>
    <t>"my baggage was not there"</t>
  </si>
  <si>
    <t>Sayed Fayaz</t>
  </si>
  <si>
    <t>"very bad customer service"</t>
  </si>
  <si>
    <t>M Johal</t>
  </si>
  <si>
    <t>"crew were very kind and generous"</t>
  </si>
  <si>
    <t>Saptarup Saha</t>
  </si>
  <si>
    <t>"Hats off to her presence of mind"</t>
  </si>
  <si>
    <t>S Jashende</t>
  </si>
  <si>
    <t>"cannot provide me wheelchair"</t>
  </si>
  <si>
    <t>Prasad Jog</t>
  </si>
  <si>
    <t>8th July 2023</t>
  </si>
  <si>
    <t>"airline used to be good"</t>
  </si>
  <si>
    <t>R Kumar</t>
  </si>
  <si>
    <t>"had the most frustrating experience"</t>
  </si>
  <si>
    <t>D Rao</t>
  </si>
  <si>
    <t>"closed the gate 5 minutes before our arrival"</t>
  </si>
  <si>
    <t>M Haldan</t>
  </si>
  <si>
    <t>"comparatively better than others"</t>
  </si>
  <si>
    <t>HP Naz</t>
  </si>
  <si>
    <t>"like a road way bus"</t>
  </si>
  <si>
    <t>K Sharma</t>
  </si>
  <si>
    <t>"I missed my flight"</t>
  </si>
  <si>
    <t>S Kamihal</t>
  </si>
  <si>
    <t>"no comfortable seating"</t>
  </si>
  <si>
    <t>Mohammed Nazeer Abdulrehman</t>
  </si>
  <si>
    <t>"wheelchair assistance was in waiting list"</t>
  </si>
  <si>
    <t>Priya Rao</t>
  </si>
  <si>
    <t>"Very frustrated"</t>
  </si>
  <si>
    <t>K Modi</t>
  </si>
  <si>
    <t>"probably Indiaâ€™s best low cost airline"</t>
  </si>
  <si>
    <t>Shaun Tully</t>
  </si>
  <si>
    <t>24th April 2023</t>
  </si>
  <si>
    <t>"nothing but broken bottles"</t>
  </si>
  <si>
    <t>Nicola Dsilva</t>
  </si>
  <si>
    <t>"will never fly with them"</t>
  </si>
  <si>
    <t>S Morten</t>
  </si>
  <si>
    <t>"three days to confirm a booking"</t>
  </si>
  <si>
    <t>Mark Peake</t>
  </si>
  <si>
    <t>"I should thank Indigo Airlines"</t>
  </si>
  <si>
    <t>Thirupathi Paalepu</t>
  </si>
  <si>
    <t>"worst and horrible experience"</t>
  </si>
  <si>
    <t>Dr Kalpana Gopan</t>
  </si>
  <si>
    <t>"impressed by the service"</t>
  </si>
  <si>
    <t>Saheen Ahzan</t>
  </si>
  <si>
    <t>"food and drinks are payable"</t>
  </si>
  <si>
    <t>Jai Sharda</t>
  </si>
  <si>
    <t>"poor ground staff experience at Delhi"</t>
  </si>
  <si>
    <t>J Lale</t>
  </si>
  <si>
    <t>"extremely helpful ground staff"</t>
  </si>
  <si>
    <t>Sunanda Dutta</t>
  </si>
  <si>
    <t>"Very good airline"</t>
  </si>
  <si>
    <t>Fabrizio Speziale</t>
  </si>
  <si>
    <t>20th February 2023</t>
  </si>
  <si>
    <t>"extremely disappointed with Indigo"</t>
  </si>
  <si>
    <t>P Kaur</t>
  </si>
  <si>
    <t>"charges extra for its seat selection"</t>
  </si>
  <si>
    <t>Meher Kanuri</t>
  </si>
  <si>
    <t>"worst customer service"</t>
  </si>
  <si>
    <t>M Dawalnar</t>
  </si>
  <si>
    <t>"The whole service is below par"</t>
  </si>
  <si>
    <t>Y Vus</t>
  </si>
  <si>
    <t>"interactions with passenger can best be classified as rude"</t>
  </si>
  <si>
    <t>"Awesome hospitality"</t>
  </si>
  <si>
    <t>Paras Suneja</t>
  </si>
  <si>
    <t>"seats were so uncomfortable"</t>
  </si>
  <si>
    <t>Marcus Ravi</t>
  </si>
  <si>
    <t>"best LCC in India"</t>
  </si>
  <si>
    <t>"smooth and efficient trip"</t>
  </si>
  <si>
    <t>J Hadul</t>
  </si>
  <si>
    <t>"Another good experience"</t>
  </si>
  <si>
    <t>19th January 2023</t>
  </si>
  <si>
    <t>"extremely helpful and guided us"</t>
  </si>
  <si>
    <t>Dhannya Binoy</t>
  </si>
  <si>
    <t>"Best to avoid if at all possible"</t>
  </si>
  <si>
    <t>John Hebron</t>
  </si>
  <si>
    <t>"rude and unsupportive staff"</t>
  </si>
  <si>
    <t>Rachna Kumari</t>
  </si>
  <si>
    <t>"Indigo is not an airline fit for international travel"</t>
  </si>
  <si>
    <t>Atul Phillips</t>
  </si>
  <si>
    <t>"amateurish personnel and never on time"</t>
  </si>
  <si>
    <t>K Nagel</t>
  </si>
  <si>
    <t>"Customer service was rude"</t>
  </si>
  <si>
    <t>A Manshay</t>
  </si>
  <si>
    <t>"no complimentary service"</t>
  </si>
  <si>
    <t>Rajat Mehta</t>
  </si>
  <si>
    <t>"Aircraft was clean and fresh"</t>
  </si>
  <si>
    <t>"boarding and departure were on time"</t>
  </si>
  <si>
    <t>H Vanush</t>
  </si>
  <si>
    <t>"they are unable to trace the bag"</t>
  </si>
  <si>
    <t>Sharanesh Kumaraswamy</t>
  </si>
  <si>
    <t>"No initiative or drive from any staff"</t>
  </si>
  <si>
    <t>Vivek Meempat</t>
  </si>
  <si>
    <t>"they did not let me check in"</t>
  </si>
  <si>
    <t>R Martillo</t>
  </si>
  <si>
    <t>"clean cabin with smiling cabin crew"</t>
  </si>
  <si>
    <t>"staff were courteous"</t>
  </si>
  <si>
    <t>"baggage allowance is 15kg checked-in"</t>
  </si>
  <si>
    <t>Charanjit Bhinder</t>
  </si>
  <si>
    <t>"airline had misplaced my luggage"</t>
  </si>
  <si>
    <t>S Kipgen</t>
  </si>
  <si>
    <t>"air hostesses were very polite and accommodating"</t>
  </si>
  <si>
    <t>Tausif Chowdhury</t>
  </si>
  <si>
    <t>"I had an outstanding experience with this airline"</t>
  </si>
  <si>
    <t>R Shaw</t>
  </si>
  <si>
    <t>"management should be truly be ashamed"</t>
  </si>
  <si>
    <t>M Keele</t>
  </si>
  <si>
    <t>"scattered from seat no 15 to 31"</t>
  </si>
  <si>
    <t>B Jalan</t>
  </si>
  <si>
    <t>30th October 2022</t>
  </si>
  <si>
    <t>"never be flying with them again"</t>
  </si>
  <si>
    <t>Mathews Manampuram</t>
  </si>
  <si>
    <t>"pre booked meals given priority"</t>
  </si>
  <si>
    <t>Smrithi Ramakrishnan</t>
  </si>
  <si>
    <t>"If the cancellation is by Indigo why do I bear such cancellation charges?"</t>
  </si>
  <si>
    <t>Komal Khedkar</t>
  </si>
  <si>
    <t>"avoid this airline in the future"</t>
  </si>
  <si>
    <t>Alina Poghosyan</t>
  </si>
  <si>
    <t>"delayed by half an hour or more in horrible heat"</t>
  </si>
  <si>
    <t>Raghavendra Rai</t>
  </si>
  <si>
    <t>"huge crowds at the check in counters"</t>
  </si>
  <si>
    <t>K Hakim</t>
  </si>
  <si>
    <t>"don't expect them to be friendly"</t>
  </si>
  <si>
    <t>S Johal</t>
  </si>
  <si>
    <t>"a horrible experience"</t>
  </si>
  <si>
    <t>J Joseph</t>
  </si>
  <si>
    <t>"Flight delayed around 1.5 hrs"</t>
  </si>
  <si>
    <t>"careless with sensitive luggage"</t>
  </si>
  <si>
    <t>S Wayamandi</t>
  </si>
  <si>
    <t>19th September 2022</t>
  </si>
  <si>
    <t>"I asked for nearby seats"</t>
  </si>
  <si>
    <t>Sutham Nair</t>
  </si>
  <si>
    <t>"seats are just okay"</t>
  </si>
  <si>
    <t>"they needed to check my credit card"</t>
  </si>
  <si>
    <t>Fabio Marroni</t>
  </si>
  <si>
    <t>"good experience with Indigo"</t>
  </si>
  <si>
    <t>"I want to thank the team"</t>
  </si>
  <si>
    <t>Ronak Baul</t>
  </si>
  <si>
    <t>"they changed my seat"</t>
  </si>
  <si>
    <t>Md. Shamsul Islam</t>
  </si>
  <si>
    <t>"gate baggage was missing at Delhi airport"</t>
  </si>
  <si>
    <t>Flora Mawi</t>
  </si>
  <si>
    <t>"minimum everything"</t>
  </si>
  <si>
    <t>Abdulellah Almurshed</t>
  </si>
  <si>
    <t>"Average experience this time"</t>
  </si>
  <si>
    <t>"Cabin was clean and fresh"</t>
  </si>
  <si>
    <t>16th July 2022</t>
  </si>
  <si>
    <t>"overall good experience"</t>
  </si>
  <si>
    <t>Siva Kumar Thadakalur</t>
  </si>
  <si>
    <t>"Clean spotless cabin"</t>
  </si>
  <si>
    <t>B Wasmali</t>
  </si>
  <si>
    <t>"the crew were able to discharge their duties well"</t>
  </si>
  <si>
    <t>"I had to wait for almost 10 hours"</t>
  </si>
  <si>
    <t>E Madara</t>
  </si>
  <si>
    <t>"no screen, no charging points"</t>
  </si>
  <si>
    <t>Ambika Gautam</t>
  </si>
  <si>
    <t>"baggage was overweight 4 kgs and charging 2100rs"</t>
  </si>
  <si>
    <t>N Bartan</t>
  </si>
  <si>
    <t>"she was really very helpful"</t>
  </si>
  <si>
    <t>S Hapta</t>
  </si>
  <si>
    <t>"Uncalled for rescheduling and delay"</t>
  </si>
  <si>
    <t>S Haranes</t>
  </si>
  <si>
    <t>"no guarantee that we will be seated together"</t>
  </si>
  <si>
    <t>C Harduri</t>
  </si>
  <si>
    <t>15th May 2022</t>
  </si>
  <si>
    <t>"Great customer service"</t>
  </si>
  <si>
    <t>Jyothsna Reddy</t>
  </si>
  <si>
    <t>"delayed by almost four hours"</t>
  </si>
  <si>
    <t>Krishan Lal Sikka</t>
  </si>
  <si>
    <t>"Good budget airline"</t>
  </si>
  <si>
    <t>"made to pay Rs.200 for not web checkin"</t>
  </si>
  <si>
    <t>Z Madayan</t>
  </si>
  <si>
    <t>"how good and tolerant the flight crew were"</t>
  </si>
  <si>
    <t>Pete Brar</t>
  </si>
  <si>
    <t>"very professional and polite"</t>
  </si>
  <si>
    <t>P Kanyamee</t>
  </si>
  <si>
    <t>"recent experience was a fantabulous one"</t>
  </si>
  <si>
    <t>"last time I will fly with Indigo"</t>
  </si>
  <si>
    <t>R Kabasri</t>
  </si>
  <si>
    <t>"all seats shown as occupied"</t>
  </si>
  <si>
    <t>Sanjeev Kumar</t>
  </si>
  <si>
    <t>"don't expect any support"</t>
  </si>
  <si>
    <t>Stephanie Preyer</t>
  </si>
  <si>
    <t>27th February 2022</t>
  </si>
  <si>
    <t>"This is unorganised!"</t>
  </si>
  <si>
    <t>A Harper</t>
  </si>
  <si>
    <t>"Overall an uneventful flight"</t>
  </si>
  <si>
    <t>A Vashun</t>
  </si>
  <si>
    <t>"Really cheap strategy"</t>
  </si>
  <si>
    <t>Vipin Babu</t>
  </si>
  <si>
    <t>"it's a good time to start checking the weight and size of cabin baggage"</t>
  </si>
  <si>
    <t>"could not have asked for anything better"</t>
  </si>
  <si>
    <t>S Vanush</t>
  </si>
  <si>
    <t>"we are very disappointed with the airline"</t>
  </si>
  <si>
    <t>Akhil Pavi</t>
  </si>
  <si>
    <t>"flight had no meal supplies"</t>
  </si>
  <si>
    <t>Sumit Arora</t>
  </si>
  <si>
    <t>Rio Fernandes</t>
  </si>
  <si>
    <t>"Indigo must be proud both of you"</t>
  </si>
  <si>
    <t>Washim Akhter</t>
  </si>
  <si>
    <t>"substandard quality of service"</t>
  </si>
  <si>
    <t>Irfan Ismail</t>
  </si>
  <si>
    <t>10th September 2021</t>
  </si>
  <si>
    <t>"the seat selection was free"</t>
  </si>
  <si>
    <t>V Sharun</t>
  </si>
  <si>
    <t>"one of the top LCCs in Asia"</t>
  </si>
  <si>
    <t>H Sharvun</t>
  </si>
  <si>
    <t>"counters had been closed at 7:30"</t>
  </si>
  <si>
    <t>Aamli Agarwal</t>
  </si>
  <si>
    <t>"Thank you IndiGo"</t>
  </si>
  <si>
    <t>Ashish Khokar</t>
  </si>
  <si>
    <t>"obscene cancellation/change fees"</t>
  </si>
  <si>
    <t>T Patusa</t>
  </si>
  <si>
    <t>"They should inform earlier"</t>
  </si>
  <si>
    <t>Khyati Sethia</t>
  </si>
  <si>
    <t>"provided with a covid-19 safety kit"</t>
  </si>
  <si>
    <t>S Venkatesh</t>
  </si>
  <si>
    <t>"Extremely bad experience"</t>
  </si>
  <si>
    <t>Amitansu Dasgupta</t>
  </si>
  <si>
    <t>"passengers were given safety kits"</t>
  </si>
  <si>
    <t>17th March 2021</t>
  </si>
  <si>
    <t>"I had a great experience flying IndiGo"</t>
  </si>
  <si>
    <t>"Cabin crew were nice, helpful"</t>
  </si>
  <si>
    <t>K Sandi</t>
  </si>
  <si>
    <t>"boarding started ahead of time"</t>
  </si>
  <si>
    <t>S Harshun</t>
  </si>
  <si>
    <t>"Such inexperienced and unprofessional airline staff"</t>
  </si>
  <si>
    <t>"wait for 12hrs to reach in Dubai"</t>
  </si>
  <si>
    <t>H Kamil</t>
  </si>
  <si>
    <t>"3 days and managed to locate my bag"</t>
  </si>
  <si>
    <t>Sana Tilwalli</t>
  </si>
  <si>
    <t>"IndiGo does the job very well"</t>
  </si>
  <si>
    <t>H Vashun</t>
  </si>
  <si>
    <t>"Extremely dissatisfied with the Customer Service Relations team"</t>
  </si>
  <si>
    <t>Milton Fernando</t>
  </si>
  <si>
    <t>"Very good experience"</t>
  </si>
  <si>
    <t>Vaithiya Nathan</t>
  </si>
  <si>
    <t>"extremely satisfied with Indigo's service"</t>
  </si>
  <si>
    <t>Sanghamitra Chatterjee</t>
  </si>
  <si>
    <t>9th November 2020</t>
  </si>
  <si>
    <t>"their dedication and willingness"</t>
  </si>
  <si>
    <t>Dr. Rijeesh Keloth</t>
  </si>
  <si>
    <t>"crew enforced the safety regulations well"</t>
  </si>
  <si>
    <t>V Agrawal</t>
  </si>
  <si>
    <t>"this was an excellent airline"</t>
  </si>
  <si>
    <t>W McDonnell</t>
  </si>
  <si>
    <t>Jins Kochenudiyil</t>
  </si>
  <si>
    <t>"thank you for a safe flight"</t>
  </si>
  <si>
    <t>V Harish</t>
  </si>
  <si>
    <t>"staff were alert and attentive"</t>
  </si>
  <si>
    <t>Parag Mhatre</t>
  </si>
  <si>
    <t>"are excellent on all levels"</t>
  </si>
  <si>
    <t>B Caille</t>
  </si>
  <si>
    <t>"value for money airline"</t>
  </si>
  <si>
    <t>Prathmesh Yadav</t>
  </si>
  <si>
    <t>"a very pleasant experience"</t>
  </si>
  <si>
    <t>Elizabeth Huber</t>
  </si>
  <si>
    <t>"service was good"</t>
  </si>
  <si>
    <t>Glenn Biffen</t>
  </si>
  <si>
    <t>5th March 2020</t>
  </si>
  <si>
    <t>"No in-flight entertainment"</t>
  </si>
  <si>
    <t>M Gadman</t>
  </si>
  <si>
    <t>"The leg space was too small"</t>
  </si>
  <si>
    <t>A Mahdesh</t>
  </si>
  <si>
    <t>"trolley with broken handle"</t>
  </si>
  <si>
    <t>A Kanavarma</t>
  </si>
  <si>
    <t>"website was not working for me"</t>
  </si>
  <si>
    <t>A Marpura</t>
  </si>
  <si>
    <t>"Donâ€™t fly with IndiGo"</t>
  </si>
  <si>
    <t>Anastasia Kolesnik</t>
  </si>
  <si>
    <t>S Gamil</t>
  </si>
  <si>
    <t>"allocated seats in four different rows"</t>
  </si>
  <si>
    <t>S Martha</t>
  </si>
  <si>
    <t>"content with their services"</t>
  </si>
  <si>
    <t>S Vanesh</t>
  </si>
  <si>
    <t>"by and large a flawless flight"</t>
  </si>
  <si>
    <t>N Sharvin</t>
  </si>
  <si>
    <t>"flight was delayed"</t>
  </si>
  <si>
    <t>D Nelson</t>
  </si>
  <si>
    <t>13th December 2019</t>
  </si>
  <si>
    <t>"record our sincere appreciation"</t>
  </si>
  <si>
    <t>Vydyanath Pisupati</t>
  </si>
  <si>
    <t>"do not be fooled"</t>
  </si>
  <si>
    <t>Suresh Balakrishnan</t>
  </si>
  <si>
    <t>"staff is very helpful"</t>
  </si>
  <si>
    <t>Sapna Agarwal</t>
  </si>
  <si>
    <t>"thanks to IndiGo manager"</t>
  </si>
  <si>
    <t>Sandeep Patil</t>
  </si>
  <si>
    <t>"this is a nice way to fly within India"</t>
  </si>
  <si>
    <t>Michael Little</t>
  </si>
  <si>
    <t>"my favorite budget airline"</t>
  </si>
  <si>
    <t>T Taylor</t>
  </si>
  <si>
    <t>"check-in was fairly nonchalant"</t>
  </si>
  <si>
    <t>A Carden</t>
  </si>
  <si>
    <t>"Happy with the service provided"</t>
  </si>
  <si>
    <t>Madan Kashyap</t>
  </si>
  <si>
    <t>"advise avoiding Indigo"</t>
  </si>
  <si>
    <t>Debraj Chatterjee</t>
  </si>
  <si>
    <t>"delayed us more than an hour"</t>
  </si>
  <si>
    <t>G Mahajan</t>
  </si>
  <si>
    <t>13th November 2019</t>
  </si>
  <si>
    <t>"flight without any hassle"</t>
  </si>
  <si>
    <t>N Danitya</t>
  </si>
  <si>
    <t>"missed the flight by 5-10 min"</t>
  </si>
  <si>
    <t>Harsh Shah</t>
  </si>
  <si>
    <t>"flight experience was good"</t>
  </si>
  <si>
    <t>Neetan Meenia</t>
  </si>
  <si>
    <t>"you have to reach at 0405"</t>
  </si>
  <si>
    <t>A Garamal</t>
  </si>
  <si>
    <t>"Seating quality is poor"</t>
  </si>
  <si>
    <t>Aashish Kumar Sonu Bikram Jaiswal</t>
  </si>
  <si>
    <t>"this was a positive experience"</t>
  </si>
  <si>
    <t>N Beale</t>
  </si>
  <si>
    <t>"great job with excellent service"</t>
  </si>
  <si>
    <t>Carolyn Moncur</t>
  </si>
  <si>
    <t>"Indigo is my first choice"</t>
  </si>
  <si>
    <t>A Darnul</t>
  </si>
  <si>
    <t>"Simply marvelous"</t>
  </si>
  <si>
    <t>Santosh Kulkarni</t>
  </si>
  <si>
    <t>"helped me to find my wallet"</t>
  </si>
  <si>
    <t>Mudit Jalan</t>
  </si>
  <si>
    <t>17th September 2019</t>
  </si>
  <si>
    <t>"It's the crew that makes the airline"</t>
  </si>
  <si>
    <t>Mahendra Sagar</t>
  </si>
  <si>
    <t>"very much overwhelmed with her genuine concern"</t>
  </si>
  <si>
    <t>Mohammed Nishal</t>
  </si>
  <si>
    <t>"I truly like the ambience"</t>
  </si>
  <si>
    <t>S Jahavan</t>
  </si>
  <si>
    <t>"staff is very poor"</t>
  </si>
  <si>
    <t>Arshad Noor Siddiquee</t>
  </si>
  <si>
    <t>"They give a five star service"</t>
  </si>
  <si>
    <t>G Sayakum</t>
  </si>
  <si>
    <t>"a nice flight"</t>
  </si>
  <si>
    <t>"customer-centric service"</t>
  </si>
  <si>
    <t>Naresh Jallu</t>
  </si>
  <si>
    <t>"the service is good"</t>
  </si>
  <si>
    <t>Phil Medlin</t>
  </si>
  <si>
    <t>"Very good inflight service"</t>
  </si>
  <si>
    <t>M Junaid Ali</t>
  </si>
  <si>
    <t>"the service was excellent"</t>
  </si>
  <si>
    <t>R Jalin</t>
  </si>
  <si>
    <t>21st July 2019</t>
  </si>
  <si>
    <t>"restriction on carry-on weight"</t>
  </si>
  <si>
    <t>G Sawyer</t>
  </si>
  <si>
    <t>"a disastrous experience"</t>
  </si>
  <si>
    <t>Suresh Kumar</t>
  </si>
  <si>
    <t>"tell us our flight has been split in 2"</t>
  </si>
  <si>
    <t>Rittick Nandy</t>
  </si>
  <si>
    <t>"High On-time performance at the cost of hygiene"</t>
  </si>
  <si>
    <t>Krishnan Srinivas</t>
  </si>
  <si>
    <t>"delayed by almost 2 hours"</t>
  </si>
  <si>
    <t>T Shanekar</t>
  </si>
  <si>
    <t>"cabin crew was very polite"</t>
  </si>
  <si>
    <t>Deepa Mukerji</t>
  </si>
  <si>
    <t>"one of the luggage was lost"</t>
  </si>
  <si>
    <t>Arathi Pv</t>
  </si>
  <si>
    <t>"cabin crew with genuine smile"</t>
  </si>
  <si>
    <t>"already running late for flight"</t>
  </si>
  <si>
    <t>P Chalnish</t>
  </si>
  <si>
    <t>"really helpful and welcoming."</t>
  </si>
  <si>
    <t>L Bursell</t>
  </si>
  <si>
    <t>31st May 2019</t>
  </si>
  <si>
    <t>"how helpful they were"</t>
  </si>
  <si>
    <t>Ayushi Dixit</t>
  </si>
  <si>
    <t>"no options for hot meals"</t>
  </si>
  <si>
    <t>S Marbanian</t>
  </si>
  <si>
    <t>"didn't have a printout of boarding pass"</t>
  </si>
  <si>
    <t>Aastha Gupta</t>
  </si>
  <si>
    <t>"got what was expected"</t>
  </si>
  <si>
    <t>D Alagiah</t>
  </si>
  <si>
    <t>"a box of cashew nuts"</t>
  </si>
  <si>
    <t>P Densah</t>
  </si>
  <si>
    <t>"Crew is very nice"</t>
  </si>
  <si>
    <t>N Rafe</t>
  </si>
  <si>
    <t>"lovely experience until today"</t>
  </si>
  <si>
    <t>I Tavoni</t>
  </si>
  <si>
    <t>"Very unprofessional"</t>
  </si>
  <si>
    <t>S Gordon</t>
  </si>
  <si>
    <t>"staff were all really helpful"</t>
  </si>
  <si>
    <t>Amitha Sathish</t>
  </si>
  <si>
    <t>"I felt uncomfortable"</t>
  </si>
  <si>
    <t>N Kahlasanan</t>
  </si>
  <si>
    <t>18th April 2019</t>
  </si>
  <si>
    <t>"Worth this price"</t>
  </si>
  <si>
    <t>C King</t>
  </si>
  <si>
    <t>"very pleasant and helpful"</t>
  </si>
  <si>
    <t>Shirin Kakayeva</t>
  </si>
  <si>
    <t>"rescheduled my flight 3 times"</t>
  </si>
  <si>
    <t>Olena Viechkanova</t>
  </si>
  <si>
    <t>"very pleasant flight experience"</t>
  </si>
  <si>
    <t>V  Sharun</t>
  </si>
  <si>
    <t>"the timings were good"</t>
  </si>
  <si>
    <t>Sameer Phatak</t>
  </si>
  <si>
    <t>"staff were smiling"</t>
  </si>
  <si>
    <t>D Vartya</t>
  </si>
  <si>
    <t>"very thankful for the assistance we received"</t>
  </si>
  <si>
    <t>Torsten Wiemann</t>
  </si>
  <si>
    <t>"was delayed 25 minutes"</t>
  </si>
  <si>
    <t>H Kapawal</t>
  </si>
  <si>
    <t>A Sorlan</t>
  </si>
  <si>
    <t>"should learn to respect passengers"</t>
  </si>
  <si>
    <t>R Reddy</t>
  </si>
  <si>
    <t>12th February 2019</t>
  </si>
  <si>
    <t>"our terminal had changed"</t>
  </si>
  <si>
    <t>Ishita Bhowmick</t>
  </si>
  <si>
    <t>"thank you to all the team"</t>
  </si>
  <si>
    <t>Eric Chassagnolle</t>
  </si>
  <si>
    <t>"need more checkin agents"</t>
  </si>
  <si>
    <t>M Fraser</t>
  </si>
  <si>
    <t>"I was not entertained"</t>
  </si>
  <si>
    <t>A Bamhate</t>
  </si>
  <si>
    <t>"given wrong information by staff"</t>
  </si>
  <si>
    <t>Mary Tawadros</t>
  </si>
  <si>
    <t>"I appreciate the timings"</t>
  </si>
  <si>
    <t>Rajesh Lamba</t>
  </si>
  <si>
    <t>"Catastrophic reservation system"</t>
  </si>
  <si>
    <t>J Seibt</t>
  </si>
  <si>
    <t>"missed the Kannur flight"</t>
  </si>
  <si>
    <t>Heena Soni</t>
  </si>
  <si>
    <t>B Gamesani</t>
  </si>
  <si>
    <t>"Bad time management"</t>
  </si>
  <si>
    <t>B Singh</t>
  </si>
  <si>
    <t>21st December 2018</t>
  </si>
  <si>
    <t>"flight was not on time"</t>
  </si>
  <si>
    <t>Shefali Patel</t>
  </si>
  <si>
    <t>"Extremely unprofessional service"</t>
  </si>
  <si>
    <t>A S Kavya</t>
  </si>
  <si>
    <t>"charged for an extra baggage"</t>
  </si>
  <si>
    <t>G Barani</t>
  </si>
  <si>
    <t>"only left with sandwiches"</t>
  </si>
  <si>
    <t>P Veesai</t>
  </si>
  <si>
    <t>"52 mins to receive the luggage"</t>
  </si>
  <si>
    <t>Sandeep Kulkarni</t>
  </si>
  <si>
    <t>"crew were super friendly"</t>
  </si>
  <si>
    <t>Jay Jayant</t>
  </si>
  <si>
    <t>"flight was rescheduled"</t>
  </si>
  <si>
    <t>Nikita Puri</t>
  </si>
  <si>
    <t>"they should at least compensate"</t>
  </si>
  <si>
    <t>Ahmad Shaik</t>
  </si>
  <si>
    <t>"inflexible airline and understaffed"</t>
  </si>
  <si>
    <t>P Singh</t>
  </si>
  <si>
    <t>"measuring the handbags"</t>
  </si>
  <si>
    <t>H Gadesse</t>
  </si>
  <si>
    <t>4th October 2018</t>
  </si>
  <si>
    <t>"3 mins late for boarding"</t>
  </si>
  <si>
    <t>S Najida</t>
  </si>
  <si>
    <t>"nothing turned up in Chennai"</t>
  </si>
  <si>
    <t>John Maynard</t>
  </si>
  <si>
    <t>"professional and caring"</t>
  </si>
  <si>
    <t>K Mahuddin</t>
  </si>
  <si>
    <t>"wouldnâ€™t recommend"</t>
  </si>
  <si>
    <t>G Eardly</t>
  </si>
  <si>
    <t>"experience was good"</t>
  </si>
  <si>
    <t>Chinmay Natu</t>
  </si>
  <si>
    <t>"Totally recommend it"</t>
  </si>
  <si>
    <t>Arsha Ignatius</t>
  </si>
  <si>
    <t>"paying for the excess baggage"</t>
  </si>
  <si>
    <t>Jaganathan Venkatesh</t>
  </si>
  <si>
    <t>"Indigo is such a great airline"</t>
  </si>
  <si>
    <t>Suramya Naik</t>
  </si>
  <si>
    <t>"We enjoyed our trip"</t>
  </si>
  <si>
    <t>Karan Chauhan</t>
  </si>
  <si>
    <t>"Good service and price"</t>
  </si>
  <si>
    <t>Mamata Dalai</t>
  </si>
  <si>
    <t>28th June 2018</t>
  </si>
  <si>
    <t>"full marks for their service"</t>
  </si>
  <si>
    <t>Arindam Mahapatra</t>
  </si>
  <si>
    <t>"disorganized and inefficient"</t>
  </si>
  <si>
    <t>A Adam</t>
  </si>
  <si>
    <t>"an excess baggage of 5kg"</t>
  </si>
  <si>
    <t>J Masim</t>
  </si>
  <si>
    <t>"a value for money indeed"</t>
  </si>
  <si>
    <t>"happy with this sweet gestue"</t>
  </si>
  <si>
    <t>Kiranraj Nayak</t>
  </si>
  <si>
    <t>"such caring staff"</t>
  </si>
  <si>
    <t>Dr Bhawna Johri</t>
  </si>
  <si>
    <t>"such a caring staff."</t>
  </si>
  <si>
    <t>Bhawna Johri</t>
  </si>
  <si>
    <t>"she was excellent"</t>
  </si>
  <si>
    <t>Pankaj Garg</t>
  </si>
  <si>
    <t>"Please improve your service"</t>
  </si>
  <si>
    <t>S Jabathra</t>
  </si>
  <si>
    <t>"Lack of flexibility"</t>
  </si>
  <si>
    <t>S Richardson</t>
  </si>
  <si>
    <t>27th April 2018</t>
  </si>
  <si>
    <t>"delayed by more than 5 hours"</t>
  </si>
  <si>
    <t>S Rajur</t>
  </si>
  <si>
    <t>"poor quality of ground staff"</t>
  </si>
  <si>
    <t>Gokal Chittaranjan</t>
  </si>
  <si>
    <t>"missed my Delhi - Dubai flight"</t>
  </si>
  <si>
    <t>B Marala</t>
  </si>
  <si>
    <t>"the flight I booked was cancelled"</t>
  </si>
  <si>
    <t>J Reddy</t>
  </si>
  <si>
    <t>"sincere thanks and appreciation"</t>
  </si>
  <si>
    <t>Ravi Pullanikattil</t>
  </si>
  <si>
    <t>"good customer service"</t>
  </si>
  <si>
    <t>J Haron</t>
  </si>
  <si>
    <t>"service and concern is exemplary"</t>
  </si>
  <si>
    <t>"pleased with this airline"</t>
  </si>
  <si>
    <t>Shiva Sitaraman</t>
  </si>
  <si>
    <t>"As always exemplary cabin service"</t>
  </si>
  <si>
    <t>H Advani</t>
  </si>
  <si>
    <t>"very professional cabin crew"</t>
  </si>
  <si>
    <t>V Talapu</t>
  </si>
  <si>
    <t>26th February 2018</t>
  </si>
  <si>
    <t>"seats were a bit tight"</t>
  </si>
  <si>
    <t>Nafis Ahmed Raiyan</t>
  </si>
  <si>
    <t>"the flight was delayed"</t>
  </si>
  <si>
    <t>K Patmar</t>
  </si>
  <si>
    <t>"Crew service: Pretty good"</t>
  </si>
  <si>
    <t>Arul Prakash Samathuvamani</t>
  </si>
  <si>
    <t>"quite careless these days"</t>
  </si>
  <si>
    <t>Shubhi Singh</t>
  </si>
  <si>
    <t>"waiting for some imaginary flight"</t>
  </si>
  <si>
    <t>G Shakari</t>
  </si>
  <si>
    <t>"respects passengers valuable time"</t>
  </si>
  <si>
    <t>Praveen Sharma</t>
  </si>
  <si>
    <t>"cheating elderly people"</t>
  </si>
  <si>
    <t>D Narash</t>
  </si>
  <si>
    <t>"flight service is not good"</t>
  </si>
  <si>
    <t>U Patel</t>
  </si>
  <si>
    <t>"final flight I will book with IndiGo"</t>
  </si>
  <si>
    <t>Bergen Stephen</t>
  </si>
  <si>
    <t>"an impeccable flight"</t>
  </si>
  <si>
    <t>20th November 2017</t>
  </si>
  <si>
    <t>"as a worst experience"</t>
  </si>
  <si>
    <t>Gaurav Surwade</t>
  </si>
  <si>
    <t>"provided me as much help"</t>
  </si>
  <si>
    <t>S Chhatwani</t>
  </si>
  <si>
    <t>"needless 5 more hours"</t>
  </si>
  <si>
    <t>S Moors</t>
  </si>
  <si>
    <t>"seats were pretty cramped"</t>
  </si>
  <si>
    <t>Ashish Menon</t>
  </si>
  <si>
    <t>"friendly and professional"</t>
  </si>
  <si>
    <t>G Marezy</t>
  </si>
  <si>
    <t>"offered genuine hospitality"</t>
  </si>
  <si>
    <t>"Seats narrow with not much legroom"</t>
  </si>
  <si>
    <t>P Henderson</t>
  </si>
  <si>
    <t>"an extremely annoying experience"</t>
  </si>
  <si>
    <t>F Burton</t>
  </si>
  <si>
    <t>"would definitely recommend"</t>
  </si>
  <si>
    <t>Anjay Krishnamurthy</t>
  </si>
  <si>
    <t>"late night flights late"</t>
  </si>
  <si>
    <t>Rucha Save</t>
  </si>
  <si>
    <t>12th August 2017</t>
  </si>
  <si>
    <t>"amazes me with their service"</t>
  </si>
  <si>
    <t>Bhargav Dodla</t>
  </si>
  <si>
    <t>"No through check-in"</t>
  </si>
  <si>
    <t>S Hashavi</t>
  </si>
  <si>
    <t>"no Arrival Cards onboard"</t>
  </si>
  <si>
    <t>"delayed by 2.30 hours"</t>
  </si>
  <si>
    <t>Nikhil Shah</t>
  </si>
  <si>
    <t>"best domestic airline in India"</t>
  </si>
  <si>
    <t>Sounak Moulik</t>
  </si>
  <si>
    <t>"it was a comfortable flight"</t>
  </si>
  <si>
    <t>Khalid Nadeem</t>
  </si>
  <si>
    <t>"the flight crew were good"</t>
  </si>
  <si>
    <t>H Reddy</t>
  </si>
  <si>
    <t>"comfort might be a difficulty"</t>
  </si>
  <si>
    <t>V Andrews</t>
  </si>
  <si>
    <t>"departure and arrival was on time"</t>
  </si>
  <si>
    <t>G Johar</t>
  </si>
  <si>
    <t>"recommend this airline"</t>
  </si>
  <si>
    <t>A Satuha</t>
  </si>
  <si>
    <t>17th February 2017</t>
  </si>
  <si>
    <t>"cabin seemed neat and clean"</t>
  </si>
  <si>
    <t>V Sam</t>
  </si>
  <si>
    <t>"not value for money"</t>
  </si>
  <si>
    <t>P Kamoorta</t>
  </si>
  <si>
    <t>"they divide our family"</t>
  </si>
  <si>
    <t>Udit Thakar</t>
  </si>
  <si>
    <t>"good on-time airline"</t>
  </si>
  <si>
    <t>Pratik Bavlecha</t>
  </si>
  <si>
    <t>"handling of baggage was horrible"</t>
  </si>
  <si>
    <t>K Khanna</t>
  </si>
  <si>
    <t>"on time and comfortable"</t>
  </si>
  <si>
    <t>A Amir</t>
  </si>
  <si>
    <t>"only as a last option"</t>
  </si>
  <si>
    <t>Natesh Selvaraj</t>
  </si>
  <si>
    <t>"did not have Thai immigration forms"</t>
  </si>
  <si>
    <t>"a loyal traveller with IndiGo"</t>
  </si>
  <si>
    <t>Himanshu Chauhan</t>
  </si>
  <si>
    <t>"inflight service impeccable"</t>
  </si>
  <si>
    <t>17th November 2016</t>
  </si>
  <si>
    <t>"staff truly inexperienced"</t>
  </si>
  <si>
    <t>Sunil Mahato</t>
  </si>
  <si>
    <t>"disappointing and sad experience"</t>
  </si>
  <si>
    <t>P Richards</t>
  </si>
  <si>
    <t>"personal favourite for short flights"</t>
  </si>
  <si>
    <t>Mehul Choudhury</t>
  </si>
  <si>
    <t>"staff was nice and helpful"</t>
  </si>
  <si>
    <t>A Greenberg</t>
  </si>
  <si>
    <t>"a great flight experience"</t>
  </si>
  <si>
    <t>S Allam</t>
  </si>
  <si>
    <t>"overall flight was very enjoyable"</t>
  </si>
  <si>
    <t>V Sawaji</t>
  </si>
  <si>
    <t>"overall experience is awesome"</t>
  </si>
  <si>
    <t>S Hutahu</t>
  </si>
  <si>
    <t>"flight experience was fantastic "</t>
  </si>
  <si>
    <t>S Shuhatar</t>
  </si>
  <si>
    <t>"best domestic airline of India"</t>
  </si>
  <si>
    <t>M Sakeenu</t>
  </si>
  <si>
    <t>"crew have a very welcoming nature"</t>
  </si>
  <si>
    <t>Sajit Vishu</t>
  </si>
  <si>
    <t>30th July 2016</t>
  </si>
  <si>
    <t>"punctual and crews very attentive"</t>
  </si>
  <si>
    <t>Vishal Shrivastava</t>
  </si>
  <si>
    <t>"a pleasure flying with IndiGo"</t>
  </si>
  <si>
    <t>Ashutosh Sahu</t>
  </si>
  <si>
    <t>"worst experience so far"</t>
  </si>
  <si>
    <t>E Malhotra</t>
  </si>
  <si>
    <t>"seats not that comfortable"</t>
  </si>
  <si>
    <t>A Pandesh</t>
  </si>
  <si>
    <t>"flight experience always been good"</t>
  </si>
  <si>
    <t>Avi Singh</t>
  </si>
  <si>
    <t>"flight experience  was good"</t>
  </si>
  <si>
    <t>Harshwardhan Sharma</t>
  </si>
  <si>
    <t>"ambience was pleasant"</t>
  </si>
  <si>
    <t>Chandan Kodgirwar</t>
  </si>
  <si>
    <t>"a flawless flight"</t>
  </si>
  <si>
    <t>"well-trained and helpful"</t>
  </si>
  <si>
    <t>Dhruv Bhatt</t>
  </si>
  <si>
    <t>"yet another bad experience"</t>
  </si>
  <si>
    <t>Gunjan Singh</t>
  </si>
  <si>
    <t>26th January 2016</t>
  </si>
  <si>
    <t>"punctual and comfortable"</t>
  </si>
  <si>
    <t>Ravi Mene</t>
  </si>
  <si>
    <t>"was very impressed"</t>
  </si>
  <si>
    <t>Thomas Zasso</t>
  </si>
  <si>
    <t>Zavier Murtza</t>
  </si>
  <si>
    <t>"would fly them again"</t>
  </si>
  <si>
    <t>M Sekhri</t>
  </si>
  <si>
    <t>"all flights on time"</t>
  </si>
  <si>
    <t>Prayash Giria</t>
  </si>
  <si>
    <t>"long admired Indigo"</t>
  </si>
  <si>
    <t>"recommend IndiGo"</t>
  </si>
  <si>
    <t>Chinar Dankhara</t>
  </si>
  <si>
    <t>"service and aircraft up to the mark"</t>
  </si>
  <si>
    <t>Scherazade Irani</t>
  </si>
  <si>
    <t>"another flawless flight"</t>
  </si>
  <si>
    <t>"staff are very kind"</t>
  </si>
  <si>
    <t>Ramesh Chidamparam</t>
  </si>
  <si>
    <t>28th November 2015</t>
  </si>
  <si>
    <t>"so comfortable and smooth"</t>
  </si>
  <si>
    <t>Amrita Kishore</t>
  </si>
  <si>
    <t>"a superb experience"</t>
  </si>
  <si>
    <t>"well functioning LCC"</t>
  </si>
  <si>
    <t>Debasish Chatterjee</t>
  </si>
  <si>
    <t>"food was absolutely delicious"</t>
  </si>
  <si>
    <t>Anurag Dave</t>
  </si>
  <si>
    <t>"IndiGo does a very good job"</t>
  </si>
  <si>
    <t>S Shivdasani</t>
  </si>
  <si>
    <t>"comfortable and very clean"</t>
  </si>
  <si>
    <t>Adnan Mir</t>
  </si>
  <si>
    <t>"poor ground service"</t>
  </si>
  <si>
    <t>Rakesh Dhareshwar</t>
  </si>
  <si>
    <t>"a reasonably good airline"</t>
  </si>
  <si>
    <t>Bakhtiyar Tarapore</t>
  </si>
  <si>
    <t>"IndiGo staff were very friendly"</t>
  </si>
  <si>
    <t>Karthikeyan Chidambaram</t>
  </si>
  <si>
    <t>3rd September 2015</t>
  </si>
  <si>
    <t>Aaditya Suratkar</t>
  </si>
  <si>
    <t>Shrivallabh Randad</t>
  </si>
  <si>
    <t>B Vincent</t>
  </si>
  <si>
    <t>Kalpesh Ashar</t>
  </si>
  <si>
    <t>Pinaki Bhadury</t>
  </si>
  <si>
    <t>Roma Solomon</t>
  </si>
  <si>
    <t>P Gould</t>
  </si>
  <si>
    <t>Tan Ying Kuan</t>
  </si>
  <si>
    <t>M Herler</t>
  </si>
  <si>
    <t>10th April 2015</t>
  </si>
  <si>
    <t>B Dossin</t>
  </si>
  <si>
    <t>S Friedman</t>
  </si>
  <si>
    <t>Manoj Chaumal</t>
  </si>
  <si>
    <t>Shyamala Seshan</t>
  </si>
  <si>
    <t>P Ryan</t>
  </si>
  <si>
    <t>M Riccardo</t>
  </si>
  <si>
    <t>S Sankar</t>
  </si>
  <si>
    <t>Purna Ananth</t>
  </si>
  <si>
    <t>Kumar Ganesh</t>
  </si>
  <si>
    <t>Haresh Advani</t>
  </si>
  <si>
    <t>1st December 2014</t>
  </si>
  <si>
    <t>Adam Miller</t>
  </si>
  <si>
    <t>S Shivadasani</t>
  </si>
  <si>
    <t>Arup Ghosh</t>
  </si>
  <si>
    <t>Varun Ravichandran</t>
  </si>
  <si>
    <t>Sriharsha Narasimhan</t>
  </si>
  <si>
    <t>Singh Ashutosh</t>
  </si>
  <si>
    <t>J Knibbe</t>
  </si>
  <si>
    <t>Narendra Gajala</t>
  </si>
  <si>
    <t>Tanmay Bhakta</t>
  </si>
  <si>
    <t>M Fewster</t>
  </si>
  <si>
    <t>22nd July 2014</t>
  </si>
  <si>
    <t>Patell Rishad</t>
  </si>
  <si>
    <t>Prithvi Ramesh</t>
  </si>
  <si>
    <t>Rahul Kumar</t>
  </si>
  <si>
    <t>Devayani Hirani</t>
  </si>
  <si>
    <t>Marek Wrobel</t>
  </si>
  <si>
    <t>M Satish</t>
  </si>
  <si>
    <t>P Kale</t>
  </si>
  <si>
    <t>R Manohar</t>
  </si>
  <si>
    <t>Chadha Jitender</t>
  </si>
  <si>
    <t>S Srinivasan</t>
  </si>
  <si>
    <t>13th January 2014</t>
  </si>
  <si>
    <t>Patel Beena</t>
  </si>
  <si>
    <t>A Kashyap</t>
  </si>
  <si>
    <t>J Sastry</t>
  </si>
  <si>
    <t>I Lancaster</t>
  </si>
  <si>
    <t>Debaditya Haldar</t>
  </si>
  <si>
    <t>M Jasuja</t>
  </si>
  <si>
    <t>A Swamy</t>
  </si>
  <si>
    <t>S Naida</t>
  </si>
  <si>
    <t>7th October 2013</t>
  </si>
  <si>
    <t>Ranjeet Bhardwaj</t>
  </si>
  <si>
    <t>D Gujrathi</t>
  </si>
  <si>
    <t>Giridhar Penumarti</t>
  </si>
  <si>
    <t>S Menon</t>
  </si>
  <si>
    <t>Daniel Johnson</t>
  </si>
  <si>
    <t>S Karthekeyaan</t>
  </si>
  <si>
    <t>A Krummacher</t>
  </si>
  <si>
    <t>Bansal Shailesh</t>
  </si>
  <si>
    <t>N Sundera</t>
  </si>
  <si>
    <t>23rd May 2013</t>
  </si>
  <si>
    <t>N Sasilatha</t>
  </si>
  <si>
    <t>Karl Moosbrugger</t>
  </si>
  <si>
    <t>Sidath Baranage</t>
  </si>
  <si>
    <t>Alan Lacey</t>
  </si>
  <si>
    <t>U V Naresh</t>
  </si>
  <si>
    <t>Tasneem Yousuff</t>
  </si>
  <si>
    <t>W Montego</t>
  </si>
  <si>
    <t>8th January 2013</t>
  </si>
  <si>
    <t>Kapil Khandelwal</t>
  </si>
  <si>
    <t>V Bagaria</t>
  </si>
  <si>
    <t>Ameya Chitre</t>
  </si>
  <si>
    <t>Saketh Rahm</t>
  </si>
  <si>
    <t>SpiceJet</t>
  </si>
  <si>
    <t>"Extremely disappointing experience"</t>
  </si>
  <si>
    <t>J Kalumar</t>
  </si>
  <si>
    <t>"policy seems unfair and exploitative"</t>
  </si>
  <si>
    <t>Sonu Dhami</t>
  </si>
  <si>
    <t>"flight was delayed by 10 hours"</t>
  </si>
  <si>
    <t>Raman Dhawan</t>
  </si>
  <si>
    <t>"only sends automated emails"</t>
  </si>
  <si>
    <t>Sachin Atri</t>
  </si>
  <si>
    <t>"outstanding service I experienced"</t>
  </si>
  <si>
    <t>Sanket Shah</t>
  </si>
  <si>
    <t>"Flight delayed by 5 hours"</t>
  </si>
  <si>
    <t>P Bhatnagar</t>
  </si>
  <si>
    <t>â€œWorst ever domestic airlineâ€</t>
  </si>
  <si>
    <t>Kamal Dhama</t>
  </si>
  <si>
    <t>"Worst ever experience "</t>
  </si>
  <si>
    <t>Preeti Bhargava</t>
  </si>
  <si>
    <t>"Never travel with this company"</t>
  </si>
  <si>
    <t>Soniq Lafuente</t>
  </si>
  <si>
    <t>Priyanka Kumari</t>
  </si>
  <si>
    <t>"landed the flight very smoothly"</t>
  </si>
  <si>
    <t>T Paniyal</t>
  </si>
  <si>
    <t>â€œthe same with all SpiceJet flightsâ€</t>
  </si>
  <si>
    <t>Victor Bordoloi</t>
  </si>
  <si>
    <t>"good service by the crew"</t>
  </si>
  <si>
    <t>K Mansour</t>
  </si>
  <si>
    <t>"excellent hospitality"</t>
  </si>
  <si>
    <t>A Kajan</t>
  </si>
  <si>
    <t>"increase delay timing"</t>
  </si>
  <si>
    <t>Satvir Singh</t>
  </si>
  <si>
    <t>"I would not recommend SpiceJet"</t>
  </si>
  <si>
    <t>Z Hakira</t>
  </si>
  <si>
    <t>"itâ€™s almost 7 hours late"</t>
  </si>
  <si>
    <t>A Masyan</t>
  </si>
  <si>
    <t>"Third class services"</t>
  </si>
  <si>
    <t>Nirav Gala</t>
  </si>
  <si>
    <t>â€œSuch a pathetic serviceâ€</t>
  </si>
  <si>
    <t>Shruthy Sabu</t>
  </si>
  <si>
    <t>â€œthey ran out of mealsâ€</t>
  </si>
  <si>
    <t>M Bajwa</t>
  </si>
  <si>
    <t>"not recommend this airline "</t>
  </si>
  <si>
    <t>Sanath Kumar</t>
  </si>
  <si>
    <t>22nd June 2024</t>
  </si>
  <si>
    <t>"ask you to weigh you handbag"</t>
  </si>
  <si>
    <t>Aaditya Gupta</t>
  </si>
  <si>
    <t>"Don't ever book this airline"</t>
  </si>
  <si>
    <t>Srividya Giridharan</t>
  </si>
  <si>
    <t>â€œdemanding extra moneyâ€</t>
  </si>
  <si>
    <t>Praveen Gupta</t>
  </si>
  <si>
    <t>"the exceptional service"</t>
  </si>
  <si>
    <t>Neel Shah</t>
  </si>
  <si>
    <t>"worst travelling experience"</t>
  </si>
  <si>
    <t>N Haksin</t>
  </si>
  <si>
    <t>"understand that it is a trap"</t>
  </si>
  <si>
    <t>Narendra Deraje</t>
  </si>
  <si>
    <t>"no regards for customer"</t>
  </si>
  <si>
    <t>F Kassin</t>
  </si>
  <si>
    <t>"Spicejet was bad"</t>
  </si>
  <si>
    <t>R Varson</t>
  </si>
  <si>
    <t>"experience with Spicejet are horrible"</t>
  </si>
  <si>
    <t>Vanishree Kulkarni</t>
  </si>
  <si>
    <t>!"seats are very uncomfortable"</t>
  </si>
  <si>
    <t>Manas Gupta</t>
  </si>
  <si>
    <t>18th April 2024</t>
  </si>
  <si>
    <t>"an issue with missing luggage"</t>
  </si>
  <si>
    <t>Basheer Chennat</t>
  </si>
  <si>
    <t>â€œDo not book SpiceJetâ€</t>
  </si>
  <si>
    <t>N Rath</t>
  </si>
  <si>
    <t>"the worst airline in the country"</t>
  </si>
  <si>
    <t>Ashwin Bansal</t>
  </si>
  <si>
    <t>â€œa joy to have on boardâ€œ</t>
  </si>
  <si>
    <t>Ramya Moolemajalu Vishwanatha</t>
  </si>
  <si>
    <t>"condition is very bad"</t>
  </si>
  <si>
    <t>M Parjin</t>
  </si>
  <si>
    <t>"a third class service"</t>
  </si>
  <si>
    <t>Manish Namdev</t>
  </si>
  <si>
    <t>â€œa pleasant journeyâ€</t>
  </si>
  <si>
    <t>Thyagaraju Palisetty</t>
  </si>
  <si>
    <t>"Great travel experience"</t>
  </si>
  <si>
    <t>Ranjita Pandey</t>
  </si>
  <si>
    <t>"journey has been the best"</t>
  </si>
  <si>
    <t>Kashyap Sistla</t>
  </si>
  <si>
    <t>Sanjay Hodlur</t>
  </si>
  <si>
    <t>11th March 2024</t>
  </si>
  <si>
    <t>â€œoutstanding efforts and exemplary serviceâ€</t>
  </si>
  <si>
    <t>Irum Jan</t>
  </si>
  <si>
    <t>â€œthey refused to take responsibilityâ€</t>
  </si>
  <si>
    <t>S Chatterjee</t>
  </si>
  <si>
    <t>"they cancelled my ticket"</t>
  </si>
  <si>
    <t>Balraj Muthu</t>
  </si>
  <si>
    <t>Amit Kumar</t>
  </si>
  <si>
    <t>K Shaban</t>
  </si>
  <si>
    <t>â€œStaff were very kind and politeâ€</t>
  </si>
  <si>
    <t>Raghunathji S Sankaran</t>
  </si>
  <si>
    <t>"couldn't even recognize my bag"</t>
  </si>
  <si>
    <t>Asif Khan</t>
  </si>
  <si>
    <t>"didn't get our luggage"</t>
  </si>
  <si>
    <t>Deepa Sambhwani</t>
  </si>
  <si>
    <t>"poor customer service"</t>
  </si>
  <si>
    <t>Akhila Anil</t>
  </si>
  <si>
    <t>"my luggage was sent to Mumbai"</t>
  </si>
  <si>
    <t>Roni Munshi</t>
  </si>
  <si>
    <t>25th January 2024</t>
  </si>
  <si>
    <t>â€œa very harrowing experienceâ€</t>
  </si>
  <si>
    <t>H Jayashree</t>
  </si>
  <si>
    <t>"Do not book Spicejet flights"</t>
  </si>
  <si>
    <t>APURVA Sanghvi</t>
  </si>
  <si>
    <t>"a disheartening experience"</t>
  </si>
  <si>
    <t>Abhinav Agarwal</t>
  </si>
  <si>
    <t>"left us deeply dissatisfied"</t>
  </si>
  <si>
    <t>Asha Kumar</t>
  </si>
  <si>
    <t>"Never travel through SpiceJet"</t>
  </si>
  <si>
    <t>A Ashmi</t>
  </si>
  <si>
    <t>â€œhorrendous customer serviceâ€</t>
  </si>
  <si>
    <t>Cody Rai</t>
  </si>
  <si>
    <t>"keep delaying the flights often"</t>
  </si>
  <si>
    <t>Manashwini Gurumurthy</t>
  </si>
  <si>
    <t>"not up to par with standards"</t>
  </si>
  <si>
    <t>T Hamson</t>
  </si>
  <si>
    <t>"Terrible service"</t>
  </si>
  <si>
    <t>Rishabh Malhotra</t>
  </si>
  <si>
    <t>"Horrible experience with this airline"</t>
  </si>
  <si>
    <t>N Jaltam</t>
  </si>
  <si>
    <t>7th December 2023</t>
  </si>
  <si>
    <t>"Rescheduled so many times"</t>
  </si>
  <si>
    <t>S Suryawanshi</t>
  </si>
  <si>
    <t>â€œno facilities providedâ€</t>
  </si>
  <si>
    <t>Pratik Kadu</t>
  </si>
  <si>
    <t>"Truly third class airline"</t>
  </si>
  <si>
    <t>S Janeer</t>
  </si>
  <si>
    <t>"Their timeliness is the worst"</t>
  </si>
  <si>
    <t>Jayraj Dabral</t>
  </si>
  <si>
    <t>"completely unreliable"</t>
  </si>
  <si>
    <t>Jnana Devaprasad</t>
  </si>
  <si>
    <t>"staff is rude and arrogant"</t>
  </si>
  <si>
    <t>R Prasanna</t>
  </si>
  <si>
    <t>"I enjoyed my journey"</t>
  </si>
  <si>
    <t>S Marhan</t>
  </si>
  <si>
    <t>"No proper customer support"</t>
  </si>
  <si>
    <t>Vignesh Vicky</t>
  </si>
  <si>
    <t>"must value its customer's time"</t>
  </si>
  <si>
    <t>Apurba Patra</t>
  </si>
  <si>
    <t>"seats were broken and worn out"</t>
  </si>
  <si>
    <t>S Kornas</t>
  </si>
  <si>
    <t>1st November 2023</t>
  </si>
  <si>
    <t>"worst experience I ever had"</t>
  </si>
  <si>
    <t>Shamit Bhasin</t>
  </si>
  <si>
    <t>"No compensation or apology offered"</t>
  </si>
  <si>
    <t>R Shakar</t>
  </si>
  <si>
    <t>â€œa pretty good flightâ€</t>
  </si>
  <si>
    <t>V Gupta</t>
  </si>
  <si>
    <t>"it was the happiest trip"</t>
  </si>
  <si>
    <t>Mukesh Venugopal</t>
  </si>
  <si>
    <t>"they enforce a strict 7 kg limit"</t>
  </si>
  <si>
    <t>R Thamashil</t>
  </si>
  <si>
    <t>"Excellent service"</t>
  </si>
  <si>
    <t>Ramanathan Ramchandra</t>
  </si>
  <si>
    <t>"a decent functional experience"</t>
  </si>
  <si>
    <t>Guddu Kumar</t>
  </si>
  <si>
    <t>"I was denied boarding"</t>
  </si>
  <si>
    <t>Rohit Chaturvedi</t>
  </si>
  <si>
    <t>Mahek Sharma</t>
  </si>
  <si>
    <t>21st September 2023</t>
  </si>
  <si>
    <t>"Ground staff were excellent"</t>
  </si>
  <si>
    <t>C Arthurs</t>
  </si>
  <si>
    <t>"Disheartening Experience"</t>
  </si>
  <si>
    <t>T Raj</t>
  </si>
  <si>
    <t>"I am satisfied and contented"</t>
  </si>
  <si>
    <t>Lengoumang Haokip</t>
  </si>
  <si>
    <t>"No respect for passengers time"</t>
  </si>
  <si>
    <t>Feryal Banday</t>
  </si>
  <si>
    <t>"I have not received my refund"</t>
  </si>
  <si>
    <t>Sachin Temghare</t>
  </si>
  <si>
    <t>"Service is very good"</t>
  </si>
  <si>
    <t>Sanjay Patnaik</t>
  </si>
  <si>
    <t>"SpiceJet experience was good"</t>
  </si>
  <si>
    <t>Apurba Arun</t>
  </si>
  <si>
    <t>"great service from crew"</t>
  </si>
  <si>
    <t>Kousambi Roy</t>
  </si>
  <si>
    <t>"Our flight was delayed 3 times"</t>
  </si>
  <si>
    <t>R Lohana</t>
  </si>
  <si>
    <t>"They kept delaying the departure"</t>
  </si>
  <si>
    <t>N Dantu</t>
  </si>
  <si>
    <t>11th July 2023</t>
  </si>
  <si>
    <t>"Worse service ever"</t>
  </si>
  <si>
    <t>M Fazil</t>
  </si>
  <si>
    <t>"an utter disappoint"</t>
  </si>
  <si>
    <t>R Shaeer</t>
  </si>
  <si>
    <t>"Really worst experience"</t>
  </si>
  <si>
    <t>A Hamarata</t>
  </si>
  <si>
    <t>"Inflight experience is wonderful"</t>
  </si>
  <si>
    <t>Akriti Singh</t>
  </si>
  <si>
    <t>"cancelled and no alternative flight available"</t>
  </si>
  <si>
    <t>V Vikram</t>
  </si>
  <si>
    <t>Tanvi Yadav</t>
  </si>
  <si>
    <t>"The worst airline to fly with"!</t>
  </si>
  <si>
    <t>Ieva Berica</t>
  </si>
  <si>
    <t>"One of the worst flights"</t>
  </si>
  <si>
    <t>Sreeram Singh</t>
  </si>
  <si>
    <t>"Will not consider this airline anymore"</t>
  </si>
  <si>
    <t>Venkataramani Sriraman</t>
  </si>
  <si>
    <t>"Terrible terrible experience"</t>
  </si>
  <si>
    <t>N Mete</t>
  </si>
  <si>
    <t>2nd June 2023</t>
  </si>
  <si>
    <t>Anil Magdum</t>
  </si>
  <si>
    <t>"stay away from this airline"</t>
  </si>
  <si>
    <t>Sajith Paul</t>
  </si>
  <si>
    <t>"no courtesy shown to us by SpiceJet"</t>
  </si>
  <si>
    <t>Neha Bhat</t>
  </si>
  <si>
    <t>"seats were not as expected"</t>
  </si>
  <si>
    <t>Rakshit Gupta</t>
  </si>
  <si>
    <t>"horrible and insensitive experience"</t>
  </si>
  <si>
    <t>Mujeer Hussain</t>
  </si>
  <si>
    <t>"behaviour was not at all satisfactory"</t>
  </si>
  <si>
    <t>Valluri Srinivas</t>
  </si>
  <si>
    <t>"The services are very pathetic"</t>
  </si>
  <si>
    <t>Kajal Jain</t>
  </si>
  <si>
    <t>"we are highly disappointed"</t>
  </si>
  <si>
    <t>Harshada Newaskar</t>
  </si>
  <si>
    <t>"I could not fly anywhere"</t>
  </si>
  <si>
    <t>Dmitrii Karabanev</t>
  </si>
  <si>
    <t>"Highly disappointed"</t>
  </si>
  <si>
    <t>Mayank Baid</t>
  </si>
  <si>
    <t>"Customer care unresponsive and rude"</t>
  </si>
  <si>
    <t>Talib Wakeel</t>
  </si>
  <si>
    <t>Mohit Kumar</t>
  </si>
  <si>
    <t>"Horrible flight services"</t>
  </si>
  <si>
    <t>Umaimah Shamsi</t>
  </si>
  <si>
    <t>"Flight time was changed 3 times"</t>
  </si>
  <si>
    <t>P Serhim</t>
  </si>
  <si>
    <t>"I haven't come across a worse service"</t>
  </si>
  <si>
    <t>Ekta Gupta</t>
  </si>
  <si>
    <t>"the service was what was expected"</t>
  </si>
  <si>
    <t>T Portah</t>
  </si>
  <si>
    <t>"It was the worst check in"</t>
  </si>
  <si>
    <t>B Hasir</t>
  </si>
  <si>
    <t>"SpiceJet flights are always late"</t>
  </si>
  <si>
    <t>"I didn't even get to my flight"</t>
  </si>
  <si>
    <t>B Deasen</t>
  </si>
  <si>
    <t>8th January 2023</t>
  </si>
  <si>
    <t>"eventually cancelled the flight"</t>
  </si>
  <si>
    <t>Sana Gupta</t>
  </si>
  <si>
    <t>"the worst customer experience"</t>
  </si>
  <si>
    <t>H Venkatesh</t>
  </si>
  <si>
    <t>"There was a lack of clear communication"</t>
  </si>
  <si>
    <t>Shibin Thazhissery</t>
  </si>
  <si>
    <t>"It seems that SpiceJet has a new business model"</t>
  </si>
  <si>
    <t>C Jansen</t>
  </si>
  <si>
    <t>"Overall experience was ok"</t>
  </si>
  <si>
    <t>Shubhanker Tuteja</t>
  </si>
  <si>
    <t>"SpiceJet will be my last option for flying"</t>
  </si>
  <si>
    <t>Tony Lobo</t>
  </si>
  <si>
    <t>"Third grade airline service"</t>
  </si>
  <si>
    <t>M Qufar</t>
  </si>
  <si>
    <t>"Will never fly this airline again"</t>
  </si>
  <si>
    <t>A Kumar</t>
  </si>
  <si>
    <t>"staff are very unprofessional"</t>
  </si>
  <si>
    <t>C Barushan</t>
  </si>
  <si>
    <t>13th November 2022</t>
  </si>
  <si>
    <t>"Plan early and choose airlines with empathy"</t>
  </si>
  <si>
    <t>Kamalesh Chaudhury</t>
  </si>
  <si>
    <t>L Kayran</t>
  </si>
  <si>
    <t>Faizal Ahamed</t>
  </si>
  <si>
    <t>"Try to avoid them as much as you can"</t>
  </si>
  <si>
    <t>Anas Rafique</t>
  </si>
  <si>
    <t>"Yet another day in SpiceJet glory"</t>
  </si>
  <si>
    <t>A Parmesh</t>
  </si>
  <si>
    <t>"The worst flight I have flown with"</t>
  </si>
  <si>
    <t>Mandeep Gujral</t>
  </si>
  <si>
    <t>"Spicejet flights are delayed."</t>
  </si>
  <si>
    <t>Joy Choudhury</t>
  </si>
  <si>
    <t>"SpiceJet calls me a day prior to inform the flight is cancelled"</t>
  </si>
  <si>
    <t>S Praveen</t>
  </si>
  <si>
    <t>"doesnâ€™t care about customer satisfaction"</t>
  </si>
  <si>
    <t>Walid Lahoud</t>
  </si>
  <si>
    <t>"gave me such a bad experience"</t>
  </si>
  <si>
    <t>P Sernah</t>
  </si>
  <si>
    <t>26th August 2022</t>
  </si>
  <si>
    <t>"a very satisfying experience"</t>
  </si>
  <si>
    <t>S Margiya</t>
  </si>
  <si>
    <t>"I was forced to pay extra for 3 kg"</t>
  </si>
  <si>
    <t>Sonam Lohani</t>
  </si>
  <si>
    <t>"fare was very low"</t>
  </si>
  <si>
    <t>L Neiran</t>
  </si>
  <si>
    <t>"no support to file my claim"</t>
  </si>
  <si>
    <t>Nitin Prasad</t>
  </si>
  <si>
    <t>"SpiceJet refused to board us"</t>
  </si>
  <si>
    <t>Lionel Agostini</t>
  </si>
  <si>
    <t>"my flight has been cancelled"</t>
  </si>
  <si>
    <t>Apoorva Dube</t>
  </si>
  <si>
    <t>"Below average flight"</t>
  </si>
  <si>
    <t>R Agarwal</t>
  </si>
  <si>
    <t>"the worst flying experience"</t>
  </si>
  <si>
    <t>Habeeb Mohammed</t>
  </si>
  <si>
    <t>"each time the flight is delayed"</t>
  </si>
  <si>
    <t>V Lakis</t>
  </si>
  <si>
    <t>"SpiceJet turned out to be the nightmare"</t>
  </si>
  <si>
    <t>Gulshan Kumar</t>
  </si>
  <si>
    <t>11th June 2022</t>
  </si>
  <si>
    <t>"There is absolutely no empathy for the customer"</t>
  </si>
  <si>
    <t>S Laghari</t>
  </si>
  <si>
    <t>Sanjay Tarale</t>
  </si>
  <si>
    <t>"I want to praise the services"</t>
  </si>
  <si>
    <t>Vineet Gupta</t>
  </si>
  <si>
    <t>"There was utter confusion and no clarity"</t>
  </si>
  <si>
    <t>Sunil Kumar Khetarpal</t>
  </si>
  <si>
    <t>Suraj Chaurasiya</t>
  </si>
  <si>
    <t>"Spicejet couldn't care less"</t>
  </si>
  <si>
    <t>D Wansiya</t>
  </si>
  <si>
    <t>"Worst experience every time"</t>
  </si>
  <si>
    <t>M Hasana</t>
  </si>
  <si>
    <t>T Merchant</t>
  </si>
  <si>
    <t>"Beware of taking this airline"</t>
  </si>
  <si>
    <t>D Rakesh</t>
  </si>
  <si>
    <t>"delayed both ways by many hours"</t>
  </si>
  <si>
    <t>Somil Jain Jain</t>
  </si>
  <si>
    <t>20th May 2022</t>
  </si>
  <si>
    <t>"Avoid this flight"</t>
  </si>
  <si>
    <t>Anup Kumar</t>
  </si>
  <si>
    <t>"Staff members are well mannered"</t>
  </si>
  <si>
    <t>Manoj Kumar Jha</t>
  </si>
  <si>
    <t>"Very disappointed with SpiceJet"</t>
  </si>
  <si>
    <t>Nawal Bansal</t>
  </si>
  <si>
    <t>"extremely disappointed with the experience"</t>
  </si>
  <si>
    <t>Manish Mukhija</t>
  </si>
  <si>
    <t>"Unable to get my baggage from the flight"</t>
  </si>
  <si>
    <t>Kush Goel</t>
  </si>
  <si>
    <t>"Good service and support"</t>
  </si>
  <si>
    <t>Atul Sehgal</t>
  </si>
  <si>
    <t>"A good experience"</t>
  </si>
  <si>
    <t>"never had such a bad experience"</t>
  </si>
  <si>
    <t>Aruneeta Srivastava</t>
  </si>
  <si>
    <t>"fabulous experience we had"</t>
  </si>
  <si>
    <t>Peter Colaco</t>
  </si>
  <si>
    <t>"Experienced excellent customer service"</t>
  </si>
  <si>
    <t>Jaya Prem Shetty</t>
  </si>
  <si>
    <t>20th March 2022</t>
  </si>
  <si>
    <t>"cabin crew were professional"</t>
  </si>
  <si>
    <t>J Marendo</t>
  </si>
  <si>
    <t>"The worst experience ever"</t>
  </si>
  <si>
    <t>Aayush Taneja</t>
  </si>
  <si>
    <t>"hospitality service given"</t>
  </si>
  <si>
    <t>A Bameen</t>
  </si>
  <si>
    <t>"Thank you so much for your support and cooperation SpiceJet"</t>
  </si>
  <si>
    <t>Abhimanyu Gupta</t>
  </si>
  <si>
    <t>"wonâ€™t recommend to anyone"</t>
  </si>
  <si>
    <t>R Karnuda</t>
  </si>
  <si>
    <t>"Horrible experience and wouldnâ€™t recommend"</t>
  </si>
  <si>
    <t>Meenu Batra</t>
  </si>
  <si>
    <t>"literally the worst situation"</t>
  </si>
  <si>
    <t>Tanvi Sharma</t>
  </si>
  <si>
    <t>"worst flight I have ever seen"</t>
  </si>
  <si>
    <t>Umar Jan</t>
  </si>
  <si>
    <t>"Worst staff and not at all concerned"</t>
  </si>
  <si>
    <t>Kshipra Kalantri</t>
  </si>
  <si>
    <t>6th December 2021</t>
  </si>
  <si>
    <t>"Too many flight delays, cancellations"</t>
  </si>
  <si>
    <t>G Thorvey</t>
  </si>
  <si>
    <t>"get back to you within 3 working days"</t>
  </si>
  <si>
    <t>Sanjiv Jani</t>
  </si>
  <si>
    <t>"trick to lure their customers to prepay"</t>
  </si>
  <si>
    <t>Kaushik Rathi</t>
  </si>
  <si>
    <t>"my Ticket gone to waste"</t>
  </si>
  <si>
    <t>R Hartish</t>
  </si>
  <si>
    <t>"Wonderful flight"</t>
  </si>
  <si>
    <t>Laxmi Kant Kuthiala</t>
  </si>
  <si>
    <t>"Affordable and good service"</t>
  </si>
  <si>
    <t>S Kalyan</t>
  </si>
  <si>
    <t>"in-flight experience was good"</t>
  </si>
  <si>
    <t>Sanchita Guha</t>
  </si>
  <si>
    <t>"Very bad handling by the ground staff of SpiceJet"</t>
  </si>
  <si>
    <t>Rajesh Jain</t>
  </si>
  <si>
    <t>"excellent experience"</t>
  </si>
  <si>
    <t>Vineet Sahay</t>
  </si>
  <si>
    <t>"crew was so warm and professional"</t>
  </si>
  <si>
    <t>Niharika Sharma</t>
  </si>
  <si>
    <t>21st September 2021</t>
  </si>
  <si>
    <t>"not issued refund on time"</t>
  </si>
  <si>
    <t>Saji Konath</t>
  </si>
  <si>
    <t>"I'm still following up for a refund"</t>
  </si>
  <si>
    <t>Kuresh Limdiyawala</t>
  </si>
  <si>
    <t>"experience was very satisfactory"</t>
  </si>
  <si>
    <t>Amitava Mukherjee</t>
  </si>
  <si>
    <t>"after 26 days the refund is not received"</t>
  </si>
  <si>
    <t>N Karwan</t>
  </si>
  <si>
    <t>"The team members were excellent and courteous"</t>
  </si>
  <si>
    <t>Dharmesh Chotai</t>
  </si>
  <si>
    <t>"causing delay of 3 hours 30 min"</t>
  </si>
  <si>
    <t>Abhishek Saxena</t>
  </si>
  <si>
    <t>"worst experience with Spicejet"</t>
  </si>
  <si>
    <t>R Babin</t>
  </si>
  <si>
    <t>"It was a superb experience"</t>
  </si>
  <si>
    <t>Bhavin Shah</t>
  </si>
  <si>
    <t>"ground staff was so rude"</t>
  </si>
  <si>
    <t>Somil Rajdev</t>
  </si>
  <si>
    <t>"inflight entertainment is very poor"</t>
  </si>
  <si>
    <t>T Agarwal</t>
  </si>
  <si>
    <t>15th September 2021</t>
  </si>
  <si>
    <t>"It was an extraordinary experience with the crew"</t>
  </si>
  <si>
    <t>Deepak Sharan Sinha</t>
  </si>
  <si>
    <t>"Seats are not comfortable"</t>
  </si>
  <si>
    <t>Manish Pathak</t>
  </si>
  <si>
    <t>"unpleasant service by airport staff"</t>
  </si>
  <si>
    <t>Alpana Varma</t>
  </si>
  <si>
    <t>"Never ever faced this with any other airlines"</t>
  </si>
  <si>
    <t>Koyel Banerjee</t>
  </si>
  <si>
    <t>"enjoyed flying with Spicejet"</t>
  </si>
  <si>
    <t>M Ramdur</t>
  </si>
  <si>
    <t>"wonâ€™t recommend it to anyone"</t>
  </si>
  <si>
    <t>H Sandelhan</t>
  </si>
  <si>
    <t>"preponed my flight by 12 hours"</t>
  </si>
  <si>
    <t>Anurag Kumar</t>
  </si>
  <si>
    <t>"flight could be more spacious"</t>
  </si>
  <si>
    <t>S Karnash</t>
  </si>
  <si>
    <t>"amazing experience"</t>
  </si>
  <si>
    <t>K Nageen</t>
  </si>
  <si>
    <t>"cabin crew were very friendly and helpful"</t>
  </si>
  <si>
    <t>Shaikat Sarkar</t>
  </si>
  <si>
    <t>23rd August 2021</t>
  </si>
  <si>
    <t>"weighing laptop bag and ladies bag"</t>
  </si>
  <si>
    <t>A Asha</t>
  </si>
  <si>
    <t>"really disappointed"</t>
  </si>
  <si>
    <t>Sadruddin Ansari</t>
  </si>
  <si>
    <t>"They appear completely incompetent"</t>
  </si>
  <si>
    <t>Gareth Moore</t>
  </si>
  <si>
    <t>"right service in providing snacks"</t>
  </si>
  <si>
    <t>Sneihil Kohli</t>
  </si>
  <si>
    <t>"will never recommend using Spicejet"</t>
  </si>
  <si>
    <t>Rajlaxmi Rao</t>
  </si>
  <si>
    <t>"an unethical airline"</t>
  </si>
  <si>
    <t>S Targan</t>
  </si>
  <si>
    <t>"response in this manner was totally abnormal"</t>
  </si>
  <si>
    <t>Venkat Devan</t>
  </si>
  <si>
    <t>"I had to spent an entire night at the airport"</t>
  </si>
  <si>
    <t>Pragya Mishra</t>
  </si>
  <si>
    <t>"staff is very unprofessional and arrogant"</t>
  </si>
  <si>
    <t>V Pakaran</t>
  </si>
  <si>
    <t>"wish to fly with Spicejet again"</t>
  </si>
  <si>
    <t>Ankita Sadhwani</t>
  </si>
  <si>
    <t>6th May 2021</t>
  </si>
  <si>
    <t>"Masks should not be removed at any cost on flights"</t>
  </si>
  <si>
    <t>Sejal Barot</t>
  </si>
  <si>
    <t>"a very comfortable flight"</t>
  </si>
  <si>
    <t>Rahul Nundy</t>
  </si>
  <si>
    <t>"no guidance, very rude"</t>
  </si>
  <si>
    <t>Malli Krishna</t>
  </si>
  <si>
    <t>"it's about being unfair and rude"</t>
  </si>
  <si>
    <t>Monica Milwani</t>
  </si>
  <si>
    <t>"No mask and face shield given"</t>
  </si>
  <si>
    <t>Swati Patel</t>
  </si>
  <si>
    <t>"Spicejet staff made fool of me"</t>
  </si>
  <si>
    <t>Nitin Sahni Nitin</t>
  </si>
  <si>
    <t>"I am so disappointed"</t>
  </si>
  <si>
    <t>Ashish Pandita</t>
  </si>
  <si>
    <t>"a value for money service"</t>
  </si>
  <si>
    <t>Sivaprasad Thekkile Matam</t>
  </si>
  <si>
    <t>"Crew members were courteous"</t>
  </si>
  <si>
    <t>Sandeep Mehra</t>
  </si>
  <si>
    <t>"Seat was not comfortable"</t>
  </si>
  <si>
    <t>D Patel</t>
  </si>
  <si>
    <t>8th March 2021</t>
  </si>
  <si>
    <t>"the staff on board were very courteous"</t>
  </si>
  <si>
    <t>Lalitha Muthukumar</t>
  </si>
  <si>
    <t>"Special thanks to crew"</t>
  </si>
  <si>
    <t>Sudhir Satyanarayan</t>
  </si>
  <si>
    <t>"The worst experience of my life"</t>
  </si>
  <si>
    <t>Ganika Khurana</t>
  </si>
  <si>
    <t>"food and beverage menu is very good"</t>
  </si>
  <si>
    <t>N Banerjee</t>
  </si>
  <si>
    <t>"Service is impeccable"</t>
  </si>
  <si>
    <t>Aditya Nag</t>
  </si>
  <si>
    <t>"Best ever domestic flight experience"</t>
  </si>
  <si>
    <t>Swami Mahesh</t>
  </si>
  <si>
    <t>"Perfect example of how a crew should be"</t>
  </si>
  <si>
    <t>"I had a great experience"</t>
  </si>
  <si>
    <t>"The worst flight ever"</t>
  </si>
  <si>
    <t>Priyanki Saikia</t>
  </si>
  <si>
    <t>"We enjoyed the journey"</t>
  </si>
  <si>
    <t>Zahida Begum</t>
  </si>
  <si>
    <t>29th January 2021</t>
  </si>
  <si>
    <t>"Crew members were very friendly and cheerful"</t>
  </si>
  <si>
    <t>Mridul Gehlot</t>
  </si>
  <si>
    <t>"Stress-free Journey"</t>
  </si>
  <si>
    <t>Daljit Saluja</t>
  </si>
  <si>
    <t>"made the customers feel safe"</t>
  </si>
  <si>
    <t>Shobhik Dutta</t>
  </si>
  <si>
    <t>"nothing is special on their flights"</t>
  </si>
  <si>
    <t>Jaideep Singh</t>
  </si>
  <si>
    <t>"It is a very bad airline"</t>
  </si>
  <si>
    <t>Satyaprakash Singh Gurjar</t>
  </si>
  <si>
    <t>"Good service and polite handling"</t>
  </si>
  <si>
    <t>"shouting us not to touch his bags!"</t>
  </si>
  <si>
    <t>Meetheen Mundeth Askhar</t>
  </si>
  <si>
    <t>F Elach</t>
  </si>
  <si>
    <t>"Delay due to bad weather"</t>
  </si>
  <si>
    <t>"No word to explain how unsatisfied I am"</t>
  </si>
  <si>
    <t>Parimal Santra</t>
  </si>
  <si>
    <t>8th December 2020</t>
  </si>
  <si>
    <t>"I am not at all satisfied"</t>
  </si>
  <si>
    <t>N Garshan</t>
  </si>
  <si>
    <t>"Beyond disappointed and disgusted"</t>
  </si>
  <si>
    <t>Simran Laungani</t>
  </si>
  <si>
    <t>"cabin crew were very professional and helpful"</t>
  </si>
  <si>
    <t>Raunak Bhivpathaki</t>
  </si>
  <si>
    <t>"Excellent experience from ground to air"</t>
  </si>
  <si>
    <t>Saurabh Rai</t>
  </si>
  <si>
    <t>"very friendly and helpful"</t>
  </si>
  <si>
    <t>R Marvalan</t>
  </si>
  <si>
    <t>"not giving proper answers"</t>
  </si>
  <si>
    <t>S Vanran</t>
  </si>
  <si>
    <t>"generous and well versed staff"</t>
  </si>
  <si>
    <t>Rishil Shah</t>
  </si>
  <si>
    <t>"Extremely frustrating and pathetic service"</t>
  </si>
  <si>
    <t>"I appreciated the service"</t>
  </si>
  <si>
    <t>Mayank Kashkari</t>
  </si>
  <si>
    <t>"I never expected such care and warmth"</t>
  </si>
  <si>
    <t>Grenville Vaz</t>
  </si>
  <si>
    <t>6th November 2020</t>
  </si>
  <si>
    <t>SpiceJet customer review</t>
  </si>
  <si>
    <t>Siddhartha Ghosh</t>
  </si>
  <si>
    <t>"Excellent service provided"</t>
  </si>
  <si>
    <t>S Mahin</t>
  </si>
  <si>
    <t>"Thanks to the empathetic team"</t>
  </si>
  <si>
    <t>Unnikrishnan Nair</t>
  </si>
  <si>
    <t>"well trained and professional Crew"</t>
  </si>
  <si>
    <t>Tanmoy Adhikari</t>
  </si>
  <si>
    <t>"I was so pleased with the hospitality that the aircrew exhibited"</t>
  </si>
  <si>
    <t>Jereena Babu Vanpuzha</t>
  </si>
  <si>
    <t>"Good cabin staff and great service"</t>
  </si>
  <si>
    <t>Anshul Sharma</t>
  </si>
  <si>
    <t>"very helpful and very polite"</t>
  </si>
  <si>
    <t>Ruchi Agarwal</t>
  </si>
  <si>
    <t>"cabin crew were so courteous"</t>
  </si>
  <si>
    <t>Farida Sultana</t>
  </si>
  <si>
    <t>"as usual your cabin crew ere excellent"</t>
  </si>
  <si>
    <t>4th October 2020</t>
  </si>
  <si>
    <t>"They are the worst customer service"</t>
  </si>
  <si>
    <t>B Amari</t>
  </si>
  <si>
    <t>"smooth and quick process"</t>
  </si>
  <si>
    <t>"appreciation for their customer service"</t>
  </si>
  <si>
    <t>Presanna Nair</t>
  </si>
  <si>
    <t>"you can do way better"</t>
  </si>
  <si>
    <t>Dhilip Kumar</t>
  </si>
  <si>
    <t>"shameless and insensitive airline"</t>
  </si>
  <si>
    <t>Anupama Tripathy</t>
  </si>
  <si>
    <t>"will keep money as credit shell"</t>
  </si>
  <si>
    <t>S Marshel</t>
  </si>
  <si>
    <t>"the worst Airline"</t>
  </si>
  <si>
    <t>Karan Sharma</t>
  </si>
  <si>
    <t>"they knew it'll get canceled"</t>
  </si>
  <si>
    <t>Shahroj Ansari</t>
  </si>
  <si>
    <t>"Shame on you SpiceJet"</t>
  </si>
  <si>
    <t>Jean Bloise</t>
  </si>
  <si>
    <t>"served unexpected complimentary refreshments"</t>
  </si>
  <si>
    <t>30th March 2020</t>
  </si>
  <si>
    <t>J Naveen</t>
  </si>
  <si>
    <t>"helpful ground staff"</t>
  </si>
  <si>
    <t>Vaibhav Mayur</t>
  </si>
  <si>
    <t>"enjoyed before time departure"</t>
  </si>
  <si>
    <t>Kausik Purakayastha</t>
  </si>
  <si>
    <t>"rude and insensitive staff"</t>
  </si>
  <si>
    <t>Bhushan Bhushan</t>
  </si>
  <si>
    <t>"begging to give some complimentary"</t>
  </si>
  <si>
    <t>H Huang</t>
  </si>
  <si>
    <t>"Thanks for your patience and support"</t>
  </si>
  <si>
    <t>Noufal Cheriyabadan</t>
  </si>
  <si>
    <t>J Mears</t>
  </si>
  <si>
    <t>"really thankful to Spicejet"</t>
  </si>
  <si>
    <t>Kiran Waghmare</t>
  </si>
  <si>
    <t>"trying to contact them for 4 days"</t>
  </si>
  <si>
    <t>Zaheer Ansari</t>
  </si>
  <si>
    <t>"services from SpiceJet was awful"</t>
  </si>
  <si>
    <t>U Falleysi</t>
  </si>
  <si>
    <t>17th March 2020</t>
  </si>
  <si>
    <t>"it was worst experience"</t>
  </si>
  <si>
    <t>Chandan Saha</t>
  </si>
  <si>
    <t>"bad horrible experience"</t>
  </si>
  <si>
    <t>Disha Kothari</t>
  </si>
  <si>
    <t>"horrible customer care"</t>
  </si>
  <si>
    <t>A Postma</t>
  </si>
  <si>
    <t>Shashank Tomar</t>
  </si>
  <si>
    <t>"spicemax doesn't mean anything"</t>
  </si>
  <si>
    <t>Rajneesh Modi</t>
  </si>
  <si>
    <t>H Mead</t>
  </si>
  <si>
    <t>"We enjoyed the flight"</t>
  </si>
  <si>
    <t>S Darsharia</t>
  </si>
  <si>
    <t>"the flight was only 60 mins"</t>
  </si>
  <si>
    <t>M Kamirandan</t>
  </si>
  <si>
    <t>"they cancelled my flight"</t>
  </si>
  <si>
    <t>B Prashanth</t>
  </si>
  <si>
    <t>"arrogant, very unapproachable"</t>
  </si>
  <si>
    <t>M Jhamb</t>
  </si>
  <si>
    <t>15th February 2020</t>
  </si>
  <si>
    <t>"a pretty good flight"</t>
  </si>
  <si>
    <t>A Sharvun</t>
  </si>
  <si>
    <t>"We were declined boarding passes"</t>
  </si>
  <si>
    <t>Riya Tamang</t>
  </si>
  <si>
    <t>"delayed again and again"</t>
  </si>
  <si>
    <t>Susant Guragain</t>
  </si>
  <si>
    <t>"worst luggage allowance"</t>
  </si>
  <si>
    <t>A Gamish</t>
  </si>
  <si>
    <t>"flight itself was pretty nice"</t>
  </si>
  <si>
    <t>"should not have much expectations"</t>
  </si>
  <si>
    <t>V Hanush</t>
  </si>
  <si>
    <t>"served the food with care"</t>
  </si>
  <si>
    <t>Akshat Yagnic</t>
  </si>
  <si>
    <t>Anil Agarwal</t>
  </si>
  <si>
    <t>Nisha Shrivastava</t>
  </si>
  <si>
    <t>"Worst Experience"</t>
  </si>
  <si>
    <t>Syamini Yarlagadda</t>
  </si>
  <si>
    <t>30th January 2020</t>
  </si>
  <si>
    <t>"Choice of food is good"</t>
  </si>
  <si>
    <t>S K Sabesan</t>
  </si>
  <si>
    <t>"experience made me so happy"</t>
  </si>
  <si>
    <t>Ankit Agarwal</t>
  </si>
  <si>
    <t>"Spicejet got me this time"</t>
  </si>
  <si>
    <t>P Halesh</t>
  </si>
  <si>
    <t>"Rough handling of baggage"</t>
  </si>
  <si>
    <t>Ashwani Sindhwani</t>
  </si>
  <si>
    <t>"staff are so careless"</t>
  </si>
  <si>
    <t>M Hazalwa</t>
  </si>
  <si>
    <t>"disgusting attitude towards customers"</t>
  </si>
  <si>
    <t>R Deshpande</t>
  </si>
  <si>
    <t>Harjot Munday</t>
  </si>
  <si>
    <t>"staff are efficient"</t>
  </si>
  <si>
    <t>Shruti Sinha</t>
  </si>
  <si>
    <t>"Bad airline, avoid"</t>
  </si>
  <si>
    <t>S Lavikov</t>
  </si>
  <si>
    <t>"they took care of me"</t>
  </si>
  <si>
    <t>H Marmish</t>
  </si>
  <si>
    <t>16th January 2020</t>
  </si>
  <si>
    <t>"Awesome crew and great food"</t>
  </si>
  <si>
    <t>Shipra Ojha</t>
  </si>
  <si>
    <t>"donâ€™t travel with SpiceJet"</t>
  </si>
  <si>
    <t>Mahamudul Haque</t>
  </si>
  <si>
    <t>"No First Aid box available"</t>
  </si>
  <si>
    <t>Jayanta Basu</t>
  </si>
  <si>
    <t>"Very stressful check-in"</t>
  </si>
  <si>
    <t>Jaijit Bhattacharya</t>
  </si>
  <si>
    <t>"Never trust SpiceJet for crucial trips"</t>
  </si>
  <si>
    <t>Raghu Prasad Gopal</t>
  </si>
  <si>
    <t>"Fantastic experience"</t>
  </si>
  <si>
    <t>Angshuman Chatterjee</t>
  </si>
  <si>
    <t>"Check in was great"</t>
  </si>
  <si>
    <t>P Gahal</t>
  </si>
  <si>
    <t>"deeply grateful to SpiceJet"</t>
  </si>
  <si>
    <t>V Lewis</t>
  </si>
  <si>
    <t>Zainab Karim</t>
  </si>
  <si>
    <t>"my last flight with SpiceJet"</t>
  </si>
  <si>
    <t>Biswanath Pal</t>
  </si>
  <si>
    <t>1st January 2020</t>
  </si>
  <si>
    <t>"Cancelled the trip"</t>
  </si>
  <si>
    <t>Chetan Sadhu</t>
  </si>
  <si>
    <t>"Spicemax was worth it"</t>
  </si>
  <si>
    <t>Daniel Boyd</t>
  </si>
  <si>
    <t>"Unprofessional"</t>
  </si>
  <si>
    <t>"precise, respectful and behaved professionally"</t>
  </si>
  <si>
    <t>Ajoy Chandnani</t>
  </si>
  <si>
    <t>"Delayed by 8 hours"</t>
  </si>
  <si>
    <t>P Shasawath</t>
  </si>
  <si>
    <t>"unprofessional and unethical"</t>
  </si>
  <si>
    <t>S Hadanty</t>
  </si>
  <si>
    <t>"charged due to overweight bag"</t>
  </si>
  <si>
    <t>S Markul</t>
  </si>
  <si>
    <t>"food was very poor"</t>
  </si>
  <si>
    <t>Kaifee Ahmad</t>
  </si>
  <si>
    <t>"12 hours to board the flight"</t>
  </si>
  <si>
    <t>Amaram Madhuri</t>
  </si>
  <si>
    <t>"Truly a horrendous experience"</t>
  </si>
  <si>
    <t>C Garlen</t>
  </si>
  <si>
    <t>7th December 2019</t>
  </si>
  <si>
    <t>"arrived 49 mins late"</t>
  </si>
  <si>
    <t>A Bahjit</t>
  </si>
  <si>
    <t>"I am very disappointed"</t>
  </si>
  <si>
    <t>Sachin Benjamin</t>
  </si>
  <si>
    <t>"15 kg only is too little"</t>
  </si>
  <si>
    <t>Hossam Ziada</t>
  </si>
  <si>
    <t>"Seats are also comfortable"</t>
  </si>
  <si>
    <t>D Gedeep</t>
  </si>
  <si>
    <t>Samina Khan</t>
  </si>
  <si>
    <t>"Avoid this airline at all costs"</t>
  </si>
  <si>
    <t>C Murton</t>
  </si>
  <si>
    <t>"was a lovely flight"</t>
  </si>
  <si>
    <t>Ravindra Taparia</t>
  </si>
  <si>
    <t>"I am highly disappointed"</t>
  </si>
  <si>
    <t>C Rakoorna</t>
  </si>
  <si>
    <t>"charging for hand luggage"</t>
  </si>
  <si>
    <t>Mary Halder</t>
  </si>
  <si>
    <t>"it was my worst journey ever"</t>
  </si>
  <si>
    <t>Tauqeer Alam</t>
  </si>
  <si>
    <t>21st November 2019</t>
  </si>
  <si>
    <t>"cannot expect any better"</t>
  </si>
  <si>
    <t>J Harese</t>
  </si>
  <si>
    <t>"courteous crew cabin"</t>
  </si>
  <si>
    <t>Manish Agrawal</t>
  </si>
  <si>
    <t>"the airline staff mislead"</t>
  </si>
  <si>
    <t>N Maya</t>
  </si>
  <si>
    <t>"denied the entitled meals"</t>
  </si>
  <si>
    <t>R Hajira</t>
  </si>
  <si>
    <t>"faced a lot of inconvenience"</t>
  </si>
  <si>
    <t>Sadaf Khan</t>
  </si>
  <si>
    <t>"Flight condition is also awful"</t>
  </si>
  <si>
    <t>Sunil Kumar Rajanna</t>
  </si>
  <si>
    <t>"efficient and warm onboard service"</t>
  </si>
  <si>
    <t>Debashis Roy</t>
  </si>
  <si>
    <t>"worst experience ever"</t>
  </si>
  <si>
    <t>L Nawin</t>
  </si>
  <si>
    <t>"crew members really good"</t>
  </si>
  <si>
    <t>Jyoti Kumar Pathak</t>
  </si>
  <si>
    <t>"late for more than 4 hrs"</t>
  </si>
  <si>
    <t>Bhavishya Gupta</t>
  </si>
  <si>
    <t>4th November 2019</t>
  </si>
  <si>
    <t>"not received any communication"</t>
  </si>
  <si>
    <t>Prateek Gupta</t>
  </si>
  <si>
    <t>"the flight is cancelled"</t>
  </si>
  <si>
    <t>Anima Dey</t>
  </si>
  <si>
    <t>"have to pay for extra luggage"</t>
  </si>
  <si>
    <t>G Shanepi</t>
  </si>
  <si>
    <t>"no care and service"</t>
  </si>
  <si>
    <t>Gaurav Gupta</t>
  </si>
  <si>
    <t>"too costly for short trip"</t>
  </si>
  <si>
    <t>Padmapriya Swaminathan</t>
  </si>
  <si>
    <t>"service standard was adequate"</t>
  </si>
  <si>
    <t>G Carter</t>
  </si>
  <si>
    <t>"very worst service of Spicejet"</t>
  </si>
  <si>
    <t>S Vadisha</t>
  </si>
  <si>
    <t>"never faced such rude and insulting behaviour"</t>
  </si>
  <si>
    <t>Arijit Aditya</t>
  </si>
  <si>
    <t>"some room for improvement "</t>
  </si>
  <si>
    <t>Anand Limaye</t>
  </si>
  <si>
    <t>"everything was flawless"</t>
  </si>
  <si>
    <t>10th October 2019</t>
  </si>
  <si>
    <t>"I had a good experience"</t>
  </si>
  <si>
    <t>B Hartosh</t>
  </si>
  <si>
    <t>"an unpleasant and embarrassing experience"</t>
  </si>
  <si>
    <t>K Mickalova</t>
  </si>
  <si>
    <t>"lot of false promises"</t>
  </si>
  <si>
    <t>Dileep Kumar</t>
  </si>
  <si>
    <t>"the seats were awful"</t>
  </si>
  <si>
    <t>Shilpa Khurana Shilpa</t>
  </si>
  <si>
    <t>"pleased with staff on each of the segments"</t>
  </si>
  <si>
    <t>"disheartened by the approach"</t>
  </si>
  <si>
    <t>N Kardy</t>
  </si>
  <si>
    <t>"pathetic seats and service"</t>
  </si>
  <si>
    <t>Binod Kumar</t>
  </si>
  <si>
    <t>"Not even a sorry"</t>
  </si>
  <si>
    <t>Sweta Goel</t>
  </si>
  <si>
    <t>"flights are always delayed"</t>
  </si>
  <si>
    <t>A Shetty</t>
  </si>
  <si>
    <t>"nobody knew where was bag scanning"</t>
  </si>
  <si>
    <t>C Kanasant</t>
  </si>
  <si>
    <t>18th September 2019</t>
  </si>
  <si>
    <t>"unprofessional attitude"</t>
  </si>
  <si>
    <t>N Karki</t>
  </si>
  <si>
    <t>Deepali Bhamare</t>
  </si>
  <si>
    <t>"ran out of all possible food options"</t>
  </si>
  <si>
    <t>C Mahan</t>
  </si>
  <si>
    <t>"you will be dissatisfied and left irritated"</t>
  </si>
  <si>
    <t>"improve your operational way"</t>
  </si>
  <si>
    <t>S Haksil</t>
  </si>
  <si>
    <t>R Kapeshkar</t>
  </si>
  <si>
    <t>"have never had such a disgusting experience"</t>
  </si>
  <si>
    <t>Soham Panchamiya</t>
  </si>
  <si>
    <t>Akansha Singh Gautam</t>
  </si>
  <si>
    <t>"they didn't load our baggage"</t>
  </si>
  <si>
    <t>Gillian Barber</t>
  </si>
  <si>
    <t>8th August 2019</t>
  </si>
  <si>
    <t>"nothing less than shameful"</t>
  </si>
  <si>
    <t>Rakesh Rachwani</t>
  </si>
  <si>
    <t>"our whole trip was ruined"</t>
  </si>
  <si>
    <t>Ujjval Jain</t>
  </si>
  <si>
    <t>"the worst service ever"</t>
  </si>
  <si>
    <t>Srinivasan Iyer</t>
  </si>
  <si>
    <t>"the smell from toilet "</t>
  </si>
  <si>
    <t>T C Athul</t>
  </si>
  <si>
    <t>"offloaded our baggage"</t>
  </si>
  <si>
    <t>Hussain Zaidi</t>
  </si>
  <si>
    <t>Sayali Shinde</t>
  </si>
  <si>
    <t>"there is room for improvement"</t>
  </si>
  <si>
    <t>Gauri Ranjan</t>
  </si>
  <si>
    <t>"disappointed by SpiceJet"</t>
  </si>
  <si>
    <t>C Parchul</t>
  </si>
  <si>
    <t>Gopi Joghee</t>
  </si>
  <si>
    <t>"seat broken - wouldnâ€™t recline"</t>
  </si>
  <si>
    <t>D Panal</t>
  </si>
  <si>
    <t>22nd July 2019</t>
  </si>
  <si>
    <t>"pay for my laptop bag weight"</t>
  </si>
  <si>
    <t>Naman Pratyush</t>
  </si>
  <si>
    <t>"Worst aircraft and service"</t>
  </si>
  <si>
    <t>"don't choose SpiceJet"</t>
  </si>
  <si>
    <t>V Avineni</t>
  </si>
  <si>
    <t>"Excellent in-flight service"</t>
  </si>
  <si>
    <t>Shiraj Ali Khan</t>
  </si>
  <si>
    <t>P Ahmed</t>
  </si>
  <si>
    <t>Mohsin Khan</t>
  </si>
  <si>
    <t>"no customer service"</t>
  </si>
  <si>
    <t>M Shah</t>
  </si>
  <si>
    <t>"The worst service ever"</t>
  </si>
  <si>
    <t>Pallavi Sethia</t>
  </si>
  <si>
    <t>P Nasseyn</t>
  </si>
  <si>
    <t>"a delay of 4 hours"</t>
  </si>
  <si>
    <t>24th June 2019</t>
  </si>
  <si>
    <t>"crew made our travel so comfortable"</t>
  </si>
  <si>
    <t>R Jaju</t>
  </si>
  <si>
    <t>"never take Spicejet again"</t>
  </si>
  <si>
    <t>E Lamaka</t>
  </si>
  <si>
    <t>"it was a good experience"</t>
  </si>
  <si>
    <t>Alok Agarwaol</t>
  </si>
  <si>
    <t>"no improvement in service"</t>
  </si>
  <si>
    <t>Arul Poulraj</t>
  </si>
  <si>
    <t>"Never recommend to fly spicejet"</t>
  </si>
  <si>
    <t>M Gauresh</t>
  </si>
  <si>
    <t>"experience was very bad"</t>
  </si>
  <si>
    <t>Shomita Mukherjee</t>
  </si>
  <si>
    <t>"Extremely cramped seats"</t>
  </si>
  <si>
    <t>S Parhash</t>
  </si>
  <si>
    <t>"last time I will fly Spicejet"</t>
  </si>
  <si>
    <t>Faraan Memon</t>
  </si>
  <si>
    <t>"avoid to use this airline in future"</t>
  </si>
  <si>
    <t>Nitin Patil</t>
  </si>
  <si>
    <t>"not recommend Spicejet"</t>
  </si>
  <si>
    <t>Ruchita Pathak</t>
  </si>
  <si>
    <t>29th May 2019</t>
  </si>
  <si>
    <t>Nakul Sethuram</t>
  </si>
  <si>
    <t>"staff could do absolutely nothing"</t>
  </si>
  <si>
    <t>Pavarit Manchanda</t>
  </si>
  <si>
    <t>"Each delay for 3-4 hours"</t>
  </si>
  <si>
    <t>"No info given to passengers"</t>
  </si>
  <si>
    <t>S Shenoy</t>
  </si>
  <si>
    <t>"the flight got delayed"</t>
  </si>
  <si>
    <t>Malaviga Sethurajah</t>
  </si>
  <si>
    <t>"would not recommend it"</t>
  </si>
  <si>
    <t>B Marle</t>
  </si>
  <si>
    <t>"would recommend Spicejet"</t>
  </si>
  <si>
    <t>S Harmati</t>
  </si>
  <si>
    <t>"overall experience was pleasant"</t>
  </si>
  <si>
    <t>"Flight was fine"</t>
  </si>
  <si>
    <t>K Lee</t>
  </si>
  <si>
    <t>"cabin staff were polite"</t>
  </si>
  <si>
    <t>N Nicholls</t>
  </si>
  <si>
    <t>6th May 2019</t>
  </si>
  <si>
    <t>"had the worst experience"</t>
  </si>
  <si>
    <t>N Palattapin</t>
  </si>
  <si>
    <t>"Cabin crew completely ignored me"</t>
  </si>
  <si>
    <t>C Simona</t>
  </si>
  <si>
    <t>"pathetically poor service"</t>
  </si>
  <si>
    <t>H Gamesh</t>
  </si>
  <si>
    <t>"They have to change their service"</t>
  </si>
  <si>
    <t>P Dalera</t>
  </si>
  <si>
    <t>"level of confidence and assurance"</t>
  </si>
  <si>
    <t>B Galingh</t>
  </si>
  <si>
    <t>"The last flight with Spicejet"</t>
  </si>
  <si>
    <t>Alap Vadnerkar</t>
  </si>
  <si>
    <t>"had a pathetic experience"</t>
  </si>
  <si>
    <t>Vinayak Veerakesavan</t>
  </si>
  <si>
    <t>"not recommend to anyone"</t>
  </si>
  <si>
    <t>N Halmetra</t>
  </si>
  <si>
    <t>"try to avoid SpiceJet"</t>
  </si>
  <si>
    <t>T Rabana</t>
  </si>
  <si>
    <t>"don't opt for SpiceJet"</t>
  </si>
  <si>
    <t>Lata Jagwani</t>
  </si>
  <si>
    <t>21st April 2019</t>
  </si>
  <si>
    <t>"terrible journey for us"</t>
  </si>
  <si>
    <t>R Vasimargan</t>
  </si>
  <si>
    <t>"was an unfortunate incident"</t>
  </si>
  <si>
    <t>G Hamasvana</t>
  </si>
  <si>
    <t>"Hassle free flight"</t>
  </si>
  <si>
    <t>Z Can</t>
  </si>
  <si>
    <t>"horrendous service"</t>
  </si>
  <si>
    <t>S Jamani</t>
  </si>
  <si>
    <t>"irresponsible service"</t>
  </si>
  <si>
    <t>K Maushan</t>
  </si>
  <si>
    <t>"Spicejet ruined all my plans"</t>
  </si>
  <si>
    <t>Ali Eissapouran Irany</t>
  </si>
  <si>
    <t>"value for money trip"</t>
  </si>
  <si>
    <t>T Sarindeep</t>
  </si>
  <si>
    <t>"Another good flight"</t>
  </si>
  <si>
    <t>S Rani</t>
  </si>
  <si>
    <t>R Martin</t>
  </si>
  <si>
    <t>"welcomed us with a smile"</t>
  </si>
  <si>
    <t>28th March 2019</t>
  </si>
  <si>
    <t>"a good comfortable flight"</t>
  </si>
  <si>
    <t>T Sawyer</t>
  </si>
  <si>
    <t>"comfortable journey"</t>
  </si>
  <si>
    <t>A Ransil</t>
  </si>
  <si>
    <t>"worst flight experience"</t>
  </si>
  <si>
    <t>P Masvihas</t>
  </si>
  <si>
    <t>"experience was really good"</t>
  </si>
  <si>
    <t>P Gaurasa</t>
  </si>
  <si>
    <t>"their service is the worst"</t>
  </si>
  <si>
    <t>Aman Nurani</t>
  </si>
  <si>
    <t>"a good flight experience"</t>
  </si>
  <si>
    <t>Gaurav Pasrija</t>
  </si>
  <si>
    <t>"Will never fly Spicejet"</t>
  </si>
  <si>
    <t>Shoeb Ismail</t>
  </si>
  <si>
    <t>Rajiv Sinha</t>
  </si>
  <si>
    <t>"spicemax at a good price"</t>
  </si>
  <si>
    <t>Gopan Sivasankaran</t>
  </si>
  <si>
    <t>26th February 2019</t>
  </si>
  <si>
    <t>"my last travel with SpiceJet"</t>
  </si>
  <si>
    <t>S Vekarwal</t>
  </si>
  <si>
    <t>"pay for an excess of 2kgs"</t>
  </si>
  <si>
    <t>A Sharish</t>
  </si>
  <si>
    <t>"SpiceJet is unapologetic"</t>
  </si>
  <si>
    <t>Jamila Kapasi</t>
  </si>
  <si>
    <t>H Kubash</t>
  </si>
  <si>
    <t>Kamal Gupta</t>
  </si>
  <si>
    <t>"do this re-scheduling a lot"</t>
  </si>
  <si>
    <t>S Manehar</t>
  </si>
  <si>
    <t>"flight delayed by 5 hours"</t>
  </si>
  <si>
    <t>Roshith Kattungal</t>
  </si>
  <si>
    <t>"bad and worst experience"</t>
  </si>
  <si>
    <t>Sailaja Sarbada</t>
  </si>
  <si>
    <t>"really bad service"</t>
  </si>
  <si>
    <t>L Sharma</t>
  </si>
  <si>
    <t>"worst airline company"</t>
  </si>
  <si>
    <t>R Sharman</t>
  </si>
  <si>
    <t>1st January 2019</t>
  </si>
  <si>
    <t>"always a delay"</t>
  </si>
  <si>
    <t>Rohit Suri</t>
  </si>
  <si>
    <t>"ticket without check in baggage"</t>
  </si>
  <si>
    <t>Subhrajit Chakravorty</t>
  </si>
  <si>
    <t>"improve before its too late"</t>
  </si>
  <si>
    <t>M Kaliya</t>
  </si>
  <si>
    <t>Prashant Ramakrishnan</t>
  </si>
  <si>
    <t>"a very rude behaviour"</t>
  </si>
  <si>
    <t>Biju Bharali</t>
  </si>
  <si>
    <t>"not at all customer friendly"</t>
  </si>
  <si>
    <t>P Hanarao</t>
  </si>
  <si>
    <t>"overall service is very poor"</t>
  </si>
  <si>
    <t>T Pamava</t>
  </si>
  <si>
    <t>"won't recommend SpiceJet"</t>
  </si>
  <si>
    <t>Suneel Kumar Jillella</t>
  </si>
  <si>
    <t>"unprofessional staff"</t>
  </si>
  <si>
    <t>T Andreu</t>
  </si>
  <si>
    <t>"never recommend Spicejet"</t>
  </si>
  <si>
    <t>Pradipkumar Patel</t>
  </si>
  <si>
    <t>2nd December 2018</t>
  </si>
  <si>
    <t>"flight timing was changed"</t>
  </si>
  <si>
    <t>Renu Sinha</t>
  </si>
  <si>
    <t>"very helpful and friendly"</t>
  </si>
  <si>
    <t>Sridhar Pemasani Mohamdoss</t>
  </si>
  <si>
    <t>"No clear updates"</t>
  </si>
  <si>
    <t>Sabesan Ramani</t>
  </si>
  <si>
    <t>"horrible experience"</t>
  </si>
  <si>
    <t>C Ramhary</t>
  </si>
  <si>
    <t>"I won't recommend"</t>
  </si>
  <si>
    <t>Balakumar Thanulingam</t>
  </si>
  <si>
    <t>"will never travel again"</t>
  </si>
  <si>
    <t>Bilal Aladia</t>
  </si>
  <si>
    <t>Praveen Reddy</t>
  </si>
  <si>
    <t>"experienced it overall as good"</t>
  </si>
  <si>
    <t>P Torven</t>
  </si>
  <si>
    <t>"they are so inefficient"</t>
  </si>
  <si>
    <t>Seana Harvey</t>
  </si>
  <si>
    <t>S Buhmari</t>
  </si>
  <si>
    <t>15th November 2018</t>
  </si>
  <si>
    <t>"the worst web site"</t>
  </si>
  <si>
    <t>Vishal Tarolkar</t>
  </si>
  <si>
    <t>"Spicejet is a very cheap"</t>
  </si>
  <si>
    <t>C Armand</t>
  </si>
  <si>
    <t>"It feels like hell"</t>
  </si>
  <si>
    <t>Suhas Thambi Kareparambil</t>
  </si>
  <si>
    <t>"Never recommend"</t>
  </si>
  <si>
    <t>N Ison</t>
  </si>
  <si>
    <t>"improve on time performance"</t>
  </si>
  <si>
    <t>P Gamesh</t>
  </si>
  <si>
    <t>"I have to buy a new ticket"</t>
  </si>
  <si>
    <t>S Hawati</t>
  </si>
  <si>
    <t>"The very worst airline"</t>
  </si>
  <si>
    <t>Kamlesh Pillai</t>
  </si>
  <si>
    <t>"never travel SpiceJet again"</t>
  </si>
  <si>
    <t>Sachin Singh</t>
  </si>
  <si>
    <t>"you must pay for everything"</t>
  </si>
  <si>
    <t>R Vincent</t>
  </si>
  <si>
    <t>Vistara</t>
  </si>
  <si>
    <t>â€œI expect betterâ€</t>
  </si>
  <si>
    <t>Vinayak Mohan</t>
  </si>
  <si>
    <t>28th August 2024</t>
  </si>
  <si>
    <t>Vistara customer review</t>
  </si>
  <si>
    <t>Gaurav Kulkarni</t>
  </si>
  <si>
    <t>"arrogant crew member"</t>
  </si>
  <si>
    <t>Vikas Verma</t>
  </si>
  <si>
    <t>"really nice experience"</t>
  </si>
  <si>
    <t>M Saju</t>
  </si>
  <si>
    <t>â€œon-board experience is a bit so-soâ€</t>
  </si>
  <si>
    <t>"onboard experience was amazing"</t>
  </si>
  <si>
    <t>S Hunsel</t>
  </si>
  <si>
    <t>"Extremely disappointed"</t>
  </si>
  <si>
    <t>Kirti Dubey</t>
  </si>
  <si>
    <t>"the experience was wonderful"</t>
  </si>
  <si>
    <t>M Hanajan</t>
  </si>
  <si>
    <t>â€œcabin crew were warm and efficientâ€</t>
  </si>
  <si>
    <t>"prefer not being served anything"</t>
  </si>
  <si>
    <t>Shreyans Sheth</t>
  </si>
  <si>
    <t>â€œI was thoroughly impressedâ€</t>
  </si>
  <si>
    <t>Rajesh Bhimani</t>
  </si>
  <si>
    <t>30th April 2024</t>
  </si>
  <si>
    <t>â€œCrew members very hospitableâ€</t>
  </si>
  <si>
    <t>"my request was rejected"</t>
  </si>
  <si>
    <t>Kunal Shah</t>
  </si>
  <si>
    <t>"experience has been excellent"</t>
  </si>
  <si>
    <t>G Kan</t>
  </si>
  <si>
    <t>"not received compensation"</t>
  </si>
  <si>
    <t>Belal Habib</t>
  </si>
  <si>
    <t>"The flight wasn't bad"</t>
  </si>
  <si>
    <t>Mike Flynn</t>
  </si>
  <si>
    <t>"Vistara flights were delayed or either cancelled"</t>
  </si>
  <si>
    <t>Shama Joseph</t>
  </si>
  <si>
    <t>â€œairline does not respond at allâ€</t>
  </si>
  <si>
    <t>J Cerny</t>
  </si>
  <si>
    <t>"A negative experience"</t>
  </si>
  <si>
    <t>R Keytir</t>
  </si>
  <si>
    <t>"the staff were amazing"</t>
  </si>
  <si>
    <t>Gupta Abhimanyu</t>
  </si>
  <si>
    <t>Nirali Patel</t>
  </si>
  <si>
    <t>17th February 2024</t>
  </si>
  <si>
    <t>â€œa mistake indeedâ€</t>
  </si>
  <si>
    <t>â€œWorst service everâ€</t>
  </si>
  <si>
    <t>Payal Patel</t>
  </si>
  <si>
    <t>"genuine smiles and positive attitude"</t>
  </si>
  <si>
    <t>Diya Puthur</t>
  </si>
  <si>
    <t>"Extremely poor experience2</t>
  </si>
  <si>
    <t>A Kadyta</t>
  </si>
  <si>
    <t>"fly again with this airline"</t>
  </si>
  <si>
    <t>Gunter Neeb</t>
  </si>
  <si>
    <t>â€œfuture flights only by Vistaraâ€</t>
  </si>
  <si>
    <t>Maria Romel</t>
  </si>
  <si>
    <t>"impeccable service delivery"</t>
  </si>
  <si>
    <t>Ibrahim Mohammed</t>
  </si>
  <si>
    <t>"happy about the wheelchair service"</t>
  </si>
  <si>
    <t>Jitendra Nath Kapoor</t>
  </si>
  <si>
    <t>"the bassinet seats were already sold out"</t>
  </si>
  <si>
    <t>"highly recommend this airline"</t>
  </si>
  <si>
    <t>Utkarsh Bundele</t>
  </si>
  <si>
    <t>28th November 2023</t>
  </si>
  <si>
    <t>HM Joshi</t>
  </si>
  <si>
    <t>"served with utmost warmth"</t>
  </si>
  <si>
    <t>A Taldul</t>
  </si>
  <si>
    <t>"good flight in economy on Vistara"</t>
  </si>
  <si>
    <t>"experience has left a lasting negative impression"</t>
  </si>
  <si>
    <t>Kiran Subedi</t>
  </si>
  <si>
    <t>"disappointed on the return flight"</t>
  </si>
  <si>
    <t>"overall a great experience"</t>
  </si>
  <si>
    <t>"$70 for a slightly larger carry on"</t>
  </si>
  <si>
    <t>M Walsh</t>
  </si>
  <si>
    <t>"I was completely dissatisfied"</t>
  </si>
  <si>
    <t>H Saunders</t>
  </si>
  <si>
    <t>"She was extremely hospitable"</t>
  </si>
  <si>
    <t>Scott Francis</t>
  </si>
  <si>
    <t>Kanwaljit Singh</t>
  </si>
  <si>
    <t>25th September 2023</t>
  </si>
  <si>
    <t>"expect better from a reputed airline"</t>
  </si>
  <si>
    <t>Nisha Jain</t>
  </si>
  <si>
    <t>"all the best wishes to Vistara"</t>
  </si>
  <si>
    <t>Akshat Pande</t>
  </si>
  <si>
    <t>"Terrible service customer service"</t>
  </si>
  <si>
    <t>"Onboard service was outstanding"</t>
  </si>
  <si>
    <t>Rajan Parrikar</t>
  </si>
  <si>
    <t>"very good service"</t>
  </si>
  <si>
    <t>Najeem Puthuval</t>
  </si>
  <si>
    <t>"took it from me saying that it's dangerous"</t>
  </si>
  <si>
    <t>T Hallej</t>
  </si>
  <si>
    <t>"Refund us and do the right thing"</t>
  </si>
  <si>
    <t>R Neesen</t>
  </si>
  <si>
    <t>"gave access to lounge for 2 hours"</t>
  </si>
  <si>
    <t>Read Emmanuel</t>
  </si>
  <si>
    <t>"Service was really bad"</t>
  </si>
  <si>
    <t>"service was truly excellent"</t>
  </si>
  <si>
    <t>Soumil Gupta</t>
  </si>
  <si>
    <t>14th August 2023</t>
  </si>
  <si>
    <t>"neat &amp; tidy cabin"</t>
  </si>
  <si>
    <t>V Ranganathan</t>
  </si>
  <si>
    <t>"customer retention is not a priority"</t>
  </si>
  <si>
    <t>M Allam</t>
  </si>
  <si>
    <t>"staff cheerful, professional and warm"</t>
  </si>
  <si>
    <t>Vijayendranath D Kabadi</t>
  </si>
  <si>
    <t>"Onboard service was excellent"</t>
  </si>
  <si>
    <t>"Overall a fantastic experience"</t>
  </si>
  <si>
    <t>Swathi Ramachandran</t>
  </si>
  <si>
    <t>"happy to be back in the air"</t>
  </si>
  <si>
    <t>S Harashina</t>
  </si>
  <si>
    <t>"utterly awful experience"</t>
  </si>
  <si>
    <t>Glen George</t>
  </si>
  <si>
    <t>"Great experience"</t>
  </si>
  <si>
    <t>Maitri Sivaraman</t>
  </si>
  <si>
    <t>"better options are available"</t>
  </si>
  <si>
    <t>Abhijit Banerjee</t>
  </si>
  <si>
    <t>"first preference would be Vistara"</t>
  </si>
  <si>
    <t>Anish Barot</t>
  </si>
  <si>
    <t>"thanks for the good service"</t>
  </si>
  <si>
    <t>Vishal Pritwani</t>
  </si>
  <si>
    <t>"appreciate these kind efforts"</t>
  </si>
  <si>
    <t>Johar Maredia</t>
  </si>
  <si>
    <t>Aseem Bhattarai</t>
  </si>
  <si>
    <t>"service given was excellent"</t>
  </si>
  <si>
    <t>Lee Tovell</t>
  </si>
  <si>
    <t>"treat you like a valued customer"</t>
  </si>
  <si>
    <t>Rupesh Thakkar</t>
  </si>
  <si>
    <t>"thank the staff of Vistara"</t>
  </si>
  <si>
    <t>S Marshad</t>
  </si>
  <si>
    <t>"extra for Premium is not really worth it"</t>
  </si>
  <si>
    <t>W Hasara</t>
  </si>
  <si>
    <t>"Excellent food, kind staff"</t>
  </si>
  <si>
    <t>T Rahkina</t>
  </si>
  <si>
    <t>11th April 2023</t>
  </si>
  <si>
    <t>"service and food are relatively decent"</t>
  </si>
  <si>
    <t>D Basariya</t>
  </si>
  <si>
    <t>"our worst flight experience"</t>
  </si>
  <si>
    <t>Carrie Lobo</t>
  </si>
  <si>
    <t>"Very disappointing customer management"</t>
  </si>
  <si>
    <t>J Bernard</t>
  </si>
  <si>
    <t>"Vistara is seriously lacking"</t>
  </si>
  <si>
    <t>A Rahman</t>
  </si>
  <si>
    <t>"definitely fly again with Vistara"</t>
  </si>
  <si>
    <t>Hemant Sahu</t>
  </si>
  <si>
    <t>"comfortable and a nice experience"</t>
  </si>
  <si>
    <t>"I am extremely impressed by their work"</t>
  </si>
  <si>
    <t>Neeta Kohli</t>
  </si>
  <si>
    <t>"very good experience with Vistara"</t>
  </si>
  <si>
    <t>Pooja Singh</t>
  </si>
  <si>
    <t>Nakul Khandelwalji</t>
  </si>
  <si>
    <t>"crew friendly and resourceful"</t>
  </si>
  <si>
    <t>Sohil Sharma</t>
  </si>
  <si>
    <t>"Super impressed with the service"</t>
  </si>
  <si>
    <t>Rubina Jamshidi</t>
  </si>
  <si>
    <t>"one of the great airlines"</t>
  </si>
  <si>
    <t>V Madhusudana Rao</t>
  </si>
  <si>
    <t>"cabin crew were courteous"</t>
  </si>
  <si>
    <t>"totally loved the flight service"</t>
  </si>
  <si>
    <t>S Alabramian</t>
  </si>
  <si>
    <t>"ground staff is so rude and ignorant"</t>
  </si>
  <si>
    <t>Manu Anand</t>
  </si>
  <si>
    <t>"Another flawless flight"</t>
  </si>
  <si>
    <t>"the finest premium experience"</t>
  </si>
  <si>
    <t>"experience was extremely disappointing"</t>
  </si>
  <si>
    <t>G Marler</t>
  </si>
  <si>
    <t>"return flight was considerably better"</t>
  </si>
  <si>
    <t>Carl Pinto</t>
  </si>
  <si>
    <t>4th October 2022</t>
  </si>
  <si>
    <t>"Service was good"</t>
  </si>
  <si>
    <t>"the experience was amazing"</t>
  </si>
  <si>
    <t>"Overall a good experience"</t>
  </si>
  <si>
    <t>"I would definitely recommend it"</t>
  </si>
  <si>
    <t>A Kamath</t>
  </si>
  <si>
    <t>"nothing to complain"</t>
  </si>
  <si>
    <t>"A really professional service"</t>
  </si>
  <si>
    <t>I Thardatha</t>
  </si>
  <si>
    <t>4th August 2022</t>
  </si>
  <si>
    <t>"had to shift weight from my hand baggage"</t>
  </si>
  <si>
    <t>N Bajisan</t>
  </si>
  <si>
    <t>"soft product was found to be wanting"</t>
  </si>
  <si>
    <t>Joseph Sebastian</t>
  </si>
  <si>
    <t>Hem Desai</t>
  </si>
  <si>
    <t>"a completely wonderful experience"</t>
  </si>
  <si>
    <t>Urvi Shah</t>
  </si>
  <si>
    <t>"don't travel on Vistara"</t>
  </si>
  <si>
    <t>N Hardy</t>
  </si>
  <si>
    <t>"It was a joke"</t>
  </si>
  <si>
    <t>Amit Baboo</t>
  </si>
  <si>
    <t>"I am dreading my flight back to London"</t>
  </si>
  <si>
    <t>Namrata Malhotra</t>
  </si>
  <si>
    <t>"accidentally booked 15 kgs of extra Luggage"</t>
  </si>
  <si>
    <t>Madrid Vetticad</t>
  </si>
  <si>
    <t>"Fly with Vistara, they are the best"</t>
  </si>
  <si>
    <t>Kuldeep Singh</t>
  </si>
  <si>
    <t>"I loved the experience flying Vistara"</t>
  </si>
  <si>
    <t>Amanpreet Chander</t>
  </si>
  <si>
    <t>5th June 2022</t>
  </si>
  <si>
    <t>"Got me to the check in counter in time"</t>
  </si>
  <si>
    <t>Kavitha Valeriparambath</t>
  </si>
  <si>
    <t>"interested in blame deflection"</t>
  </si>
  <si>
    <t>N Teck</t>
  </si>
  <si>
    <t>"Very poor website for check-in"</t>
  </si>
  <si>
    <t>Manickam Jayamurthy</t>
  </si>
  <si>
    <t>"very helpful and informative"</t>
  </si>
  <si>
    <t>Nitin John</t>
  </si>
  <si>
    <t>"really help a lot to get it clear"</t>
  </si>
  <si>
    <t>"service was excellent and consistent"</t>
  </si>
  <si>
    <t>V Ladhani</t>
  </si>
  <si>
    <t>"crew members are amazingly well mannered"</t>
  </si>
  <si>
    <t>N Savina</t>
  </si>
  <si>
    <t>"Flight was good and staff excellent"</t>
  </si>
  <si>
    <t>P Brar</t>
  </si>
  <si>
    <t>"Service with a smile, lots of patience"</t>
  </si>
  <si>
    <t>Bhaswati Goswami</t>
  </si>
  <si>
    <t>"Very kind staff"</t>
  </si>
  <si>
    <t>Vijay Vivek</t>
  </si>
  <si>
    <t>1st April 2022</t>
  </si>
  <si>
    <t>"Overall good experience"</t>
  </si>
  <si>
    <t>"avoid booking their B737"</t>
  </si>
  <si>
    <t>"professional and welcoming"</t>
  </si>
  <si>
    <t>Davinder Nahar</t>
  </si>
  <si>
    <t>"onboard experience for these short flights is top notch"</t>
  </si>
  <si>
    <t>Divakar Prasad</t>
  </si>
  <si>
    <t>"no welcome Champagne"</t>
  </si>
  <si>
    <t>F Mazet-Mulye</t>
  </si>
  <si>
    <t>"Best ever airline I have seen"</t>
  </si>
  <si>
    <t>Imran Kanth</t>
  </si>
  <si>
    <t>" on-board experience is top notch"</t>
  </si>
  <si>
    <t>"These little gestures make the world just a bit more livable"</t>
  </si>
  <si>
    <t>Yashika Sahdev</t>
  </si>
  <si>
    <t>"Awesome flight Experience"</t>
  </si>
  <si>
    <t>Umesh Vijrani</t>
  </si>
  <si>
    <t>26th November 2021</t>
  </si>
  <si>
    <t>"Awful service experience"</t>
  </si>
  <si>
    <t>Harpz Singh</t>
  </si>
  <si>
    <t>"flight was excellent"</t>
  </si>
  <si>
    <t>"asked me to book a new ticket"</t>
  </si>
  <si>
    <t>N Mardala</t>
  </si>
  <si>
    <t>"wonderful flying experience"</t>
  </si>
  <si>
    <t>Subbu Dharna</t>
  </si>
  <si>
    <t>"the crew was good"</t>
  </si>
  <si>
    <t>Naitik JIndal</t>
  </si>
  <si>
    <t>"Vistara was a fantastic experience"</t>
  </si>
  <si>
    <t>"disappointed with Vistaraâ€™s in-flight food"</t>
  </si>
  <si>
    <t>Natarajan Sen</t>
  </si>
  <si>
    <t>"very pleasant travel experience"</t>
  </si>
  <si>
    <t>S Kavyaa</t>
  </si>
  <si>
    <t>"insisted me to pay Â£160 to check it in"</t>
  </si>
  <si>
    <t>Rishita Mehta</t>
  </si>
  <si>
    <t>"Never again Vistara!"</t>
  </si>
  <si>
    <t>S Fernandes</t>
  </si>
  <si>
    <t>15th May 2021</t>
  </si>
  <si>
    <t>"eager to help and nothing was trouble at all"</t>
  </si>
  <si>
    <t>L Hardani</t>
  </si>
  <si>
    <t>"I had missed my flight"</t>
  </si>
  <si>
    <t>P Varwan</t>
  </si>
  <si>
    <t>"amazing service and new aircraft"</t>
  </si>
  <si>
    <t>A Banesh</t>
  </si>
  <si>
    <t>"In flight service was good"</t>
  </si>
  <si>
    <t>"Not a pleasant experience"</t>
  </si>
  <si>
    <t>"no option other than to pay up"</t>
  </si>
  <si>
    <t>Sahil Singla</t>
  </si>
  <si>
    <t>"expect an outstanding onboard experience"</t>
  </si>
  <si>
    <t>"service onboard was flawless"</t>
  </si>
  <si>
    <t>"I was very impressed"</t>
  </si>
  <si>
    <t>"non availability of bus"</t>
  </si>
  <si>
    <t>S Karsham</t>
  </si>
  <si>
    <t>29th November 2020</t>
  </si>
  <si>
    <t>"COVID test has to be provided"</t>
  </si>
  <si>
    <t>Pravin Thomas</t>
  </si>
  <si>
    <t>"customer service is superb"</t>
  </si>
  <si>
    <t>Alen Roy</t>
  </si>
  <si>
    <t>"had only 5 kg of excess luggage"</t>
  </si>
  <si>
    <t>Naiya Rana</t>
  </si>
  <si>
    <t>"will not refund my money"</t>
  </si>
  <si>
    <t>H Barten</t>
  </si>
  <si>
    <t>"charged a fee for the refund"</t>
  </si>
  <si>
    <t>Jonathan Rivas</t>
  </si>
  <si>
    <t>"don't give us our refund"</t>
  </si>
  <si>
    <t>S Pardelo</t>
  </si>
  <si>
    <t>"dont respond to mail and phone"</t>
  </si>
  <si>
    <t>Dhondi Pradeep</t>
  </si>
  <si>
    <t>"Really pleasant experience"</t>
  </si>
  <si>
    <t>J Tovey</t>
  </si>
  <si>
    <t>"experience was not good"</t>
  </si>
  <si>
    <t>Kalyani Sakalkale</t>
  </si>
  <si>
    <t>"late for the check in"</t>
  </si>
  <si>
    <t>Amreen Khan</t>
  </si>
  <si>
    <t>27th February 2020</t>
  </si>
  <si>
    <t>"won't be travelling with them again"</t>
  </si>
  <si>
    <t>B Chardour</t>
  </si>
  <si>
    <t>"delivered excellent service"</t>
  </si>
  <si>
    <t>H Madyesh</t>
  </si>
  <si>
    <t>"Amazing level of service"</t>
  </si>
  <si>
    <t>Adnan Maulvi</t>
  </si>
  <si>
    <t>"didn't bother to listen"</t>
  </si>
  <si>
    <t>Anup Nair</t>
  </si>
  <si>
    <t>"a very bad experience"</t>
  </si>
  <si>
    <t>S Darshema</t>
  </si>
  <si>
    <t>"Fantastic ground service"</t>
  </si>
  <si>
    <t>M Thane</t>
  </si>
  <si>
    <t>"a pleasant flying experience"</t>
  </si>
  <si>
    <t>S Pradhan</t>
  </si>
  <si>
    <t>"food options available at piers"</t>
  </si>
  <si>
    <t>S Srijeeta</t>
  </si>
  <si>
    <t>"learnt that we had been overbooked"</t>
  </si>
  <si>
    <t>X Parnier</t>
  </si>
  <si>
    <t>"reached airport 45 mins before flight"</t>
  </si>
  <si>
    <t>P Lahdun</t>
  </si>
  <si>
    <t>10th November 2019</t>
  </si>
  <si>
    <t>"a great airline to fly with"</t>
  </si>
  <si>
    <t>S Kanjun</t>
  </si>
  <si>
    <t>"My bag was tampered with"</t>
  </si>
  <si>
    <t>S Rayan</t>
  </si>
  <si>
    <t>"Overall a great journey"</t>
  </si>
  <si>
    <t>S Harmul</t>
  </si>
  <si>
    <t>Laxmi Mrig</t>
  </si>
  <si>
    <t>"really wonderful experience"</t>
  </si>
  <si>
    <t>T Kavenagar</t>
  </si>
  <si>
    <t>"Overall a very good flight"</t>
  </si>
  <si>
    <t>Mohammad Sahil</t>
  </si>
  <si>
    <t>S Kawana</t>
  </si>
  <si>
    <t>"stop flying this carrier"</t>
  </si>
  <si>
    <t>Dinesh Jhunjhnuwala</t>
  </si>
  <si>
    <t>"wonderful experience"</t>
  </si>
  <si>
    <t>"a great experience with Vistara"</t>
  </si>
  <si>
    <t>D Badey</t>
  </si>
  <si>
    <t>5th August 2019</t>
  </si>
  <si>
    <t>"service has gotten better"</t>
  </si>
  <si>
    <t>D Kuney</t>
  </si>
  <si>
    <t>"professional and helpful"</t>
  </si>
  <si>
    <t>Rishad Patel</t>
  </si>
  <si>
    <t>"Vistara is much better"</t>
  </si>
  <si>
    <t>Ankit Kumar Pandey</t>
  </si>
  <si>
    <t>"definitely fly Vistara in the future"</t>
  </si>
  <si>
    <t>Ishan Pai</t>
  </si>
  <si>
    <t>"seat belt without any instruction"</t>
  </si>
  <si>
    <t>Manidipa De</t>
  </si>
  <si>
    <t>"One of the best airline"</t>
  </si>
  <si>
    <t>S Ubaid</t>
  </si>
  <si>
    <t>"helpful cabin crew"</t>
  </si>
  <si>
    <t>"service are very helpful"</t>
  </si>
  <si>
    <t>Saif Ali</t>
  </si>
  <si>
    <t>"best airline by far"</t>
  </si>
  <si>
    <t>Anna Whyte</t>
  </si>
  <si>
    <t>"Excellent flight"</t>
  </si>
  <si>
    <t>Harish Raheja</t>
  </si>
  <si>
    <t>22nd March 2019</t>
  </si>
  <si>
    <t>"Highly recommended"</t>
  </si>
  <si>
    <t>C Banil</t>
  </si>
  <si>
    <t>"ground staff was impolite"</t>
  </si>
  <si>
    <t>Fathima Samah</t>
  </si>
  <si>
    <t>"disappointed with Vistara"</t>
  </si>
  <si>
    <t>Rajeev Sud</t>
  </si>
  <si>
    <t>"customer support is worst"</t>
  </si>
  <si>
    <t>R Rani</t>
  </si>
  <si>
    <t>"definitely be flying them again"</t>
  </si>
  <si>
    <t>Sarah Moore</t>
  </si>
  <si>
    <t>"I wasn't able to upgrade"</t>
  </si>
  <si>
    <t>A Madilya</t>
  </si>
  <si>
    <t>"Food tasty and served hot"</t>
  </si>
  <si>
    <t>Priyanka Ghosh</t>
  </si>
  <si>
    <t>"crew are the greatest asset"</t>
  </si>
  <si>
    <t>C Haloudry</t>
  </si>
  <si>
    <t>"one of the best airlines"</t>
  </si>
  <si>
    <t>"a worthy option to choose"</t>
  </si>
  <si>
    <t>Sumesh Dudani</t>
  </si>
  <si>
    <t>13th September 2018</t>
  </si>
  <si>
    <t>T Ashyer</t>
  </si>
  <si>
    <t>"the best among all"</t>
  </si>
  <si>
    <t>Monish Mathur</t>
  </si>
  <si>
    <t>"hope they maintain that standard"</t>
  </si>
  <si>
    <t>"had a great experience"</t>
  </si>
  <si>
    <t>Gaurav Dhaka</t>
  </si>
  <si>
    <t>"one of India' best airlines"</t>
  </si>
  <si>
    <t>H Rajesh</t>
  </si>
  <si>
    <t>Aakanksha Munjhal</t>
  </si>
  <si>
    <t>"once again excellent"</t>
  </si>
  <si>
    <t>"received a personalised apology letter"</t>
  </si>
  <si>
    <t>S Anand</t>
  </si>
  <si>
    <t>"Vistara highly recommended"</t>
  </si>
  <si>
    <t>Gordana Medunic</t>
  </si>
  <si>
    <t>"one of the best experiences"</t>
  </si>
  <si>
    <t>Mridula Dua</t>
  </si>
  <si>
    <t>24th March 2018</t>
  </si>
  <si>
    <t>"best inflight experience"</t>
  </si>
  <si>
    <t>Jerril John</t>
  </si>
  <si>
    <t>"in-flight service superb"</t>
  </si>
  <si>
    <t>G Firth</t>
  </si>
  <si>
    <t>"overall I was impressed"</t>
  </si>
  <si>
    <t>T Thomson</t>
  </si>
  <si>
    <t>"a different experience altogether"</t>
  </si>
  <si>
    <t>Vaibhav Shete</t>
  </si>
  <si>
    <t>"really wonderful flight"</t>
  </si>
  <si>
    <t>C Haltin</t>
  </si>
  <si>
    <t>"cabin crew members were co-operative throughout"</t>
  </si>
  <si>
    <t>Shilpi Sharan</t>
  </si>
  <si>
    <t>"such nice experience"</t>
  </si>
  <si>
    <t>Sharma Umessh Kumar</t>
  </si>
  <si>
    <t>Souvik Das</t>
  </si>
  <si>
    <t>"Hats off for such amazing support"</t>
  </si>
  <si>
    <t>Usha Ganisetti</t>
  </si>
  <si>
    <t>"Overall it was good"</t>
  </si>
  <si>
    <t>Sandi Kunda</t>
  </si>
  <si>
    <t>19th October 2017</t>
  </si>
  <si>
    <t>"Vistara weigh check in baggage"</t>
  </si>
  <si>
    <t>Kailash Kumar</t>
  </si>
  <si>
    <t>"best domestic flight experience"</t>
  </si>
  <si>
    <t>Vipin Jain</t>
  </si>
  <si>
    <t>"recommend to choose Vistara"</t>
  </si>
  <si>
    <t>Shubham Mantri</t>
  </si>
  <si>
    <t>Nitin Bajaj</t>
  </si>
  <si>
    <t>"Vistara cancelled the flight"</t>
  </si>
  <si>
    <t>Karan Gupta</t>
  </si>
  <si>
    <t>"avoid travelling by Vistara"</t>
  </si>
  <si>
    <t>Chandar Venkatesh Nandi</t>
  </si>
  <si>
    <t>"preferred domestic airline"</t>
  </si>
  <si>
    <t>Siddhartha Das</t>
  </si>
  <si>
    <t>"they should have IFE in premium economy"</t>
  </si>
  <si>
    <t>B Victor</t>
  </si>
  <si>
    <t>"we were warmly welcomed by the cabin crew"</t>
  </si>
  <si>
    <t>S Vickers</t>
  </si>
  <si>
    <t>"wasn't greatest of experiences"</t>
  </si>
  <si>
    <t>Kevin Barrance</t>
  </si>
  <si>
    <t>22nd January 2017</t>
  </si>
  <si>
    <t>"A high quality product"</t>
  </si>
  <si>
    <t>"every aspect was faultless"</t>
  </si>
  <si>
    <t>"combines luxury with comfort"</t>
  </si>
  <si>
    <t>T Gantog</t>
  </si>
  <si>
    <t>"meal options were nice"</t>
  </si>
  <si>
    <t>Shivam Negi</t>
  </si>
  <si>
    <t>"refreshingly great airline"</t>
  </si>
  <si>
    <t>Savi Mull</t>
  </si>
  <si>
    <t>"best 50 min flight i've taken"</t>
  </si>
  <si>
    <t>D Amir</t>
  </si>
  <si>
    <t>"would fly Vistara again"</t>
  </si>
  <si>
    <t>Chandra Dubey</t>
  </si>
  <si>
    <t>"crew friendly and welcoming"</t>
  </si>
  <si>
    <t>Anitha Sathya</t>
  </si>
  <si>
    <t>"a really bad experience"</t>
  </si>
  <si>
    <t>Avinash Sadarangani</t>
  </si>
  <si>
    <t>"maintaining their higher standard"</t>
  </si>
  <si>
    <t>A Bandey</t>
  </si>
  <si>
    <t>9th October 2016</t>
  </si>
  <si>
    <t>"seats were unique and classy"</t>
  </si>
  <si>
    <t>"it a wonderful experience"</t>
  </si>
  <si>
    <t>D Chopra</t>
  </si>
  <si>
    <t>Yamshi Sagir</t>
  </si>
  <si>
    <t>"between 33-36 inch legroom"</t>
  </si>
  <si>
    <t>D Kubin</t>
  </si>
  <si>
    <t>"the product has been consistent"</t>
  </si>
  <si>
    <t>"the food was amazing"</t>
  </si>
  <si>
    <t>D Bunay</t>
  </si>
  <si>
    <t>"best airline to fly in India"</t>
  </si>
  <si>
    <t>M Theeran</t>
  </si>
  <si>
    <t>"turned out a pleasant experience"</t>
  </si>
  <si>
    <t>Ravin Ramachandran Nair</t>
  </si>
  <si>
    <t>"my first experience was a good one"</t>
  </si>
  <si>
    <t>Nandita Ahuja</t>
  </si>
  <si>
    <t>"provides an excellent service"</t>
  </si>
  <si>
    <t>G Vakesh</t>
  </si>
  <si>
    <t>15th June 2016</t>
  </si>
  <si>
    <t>"I really liked everything"</t>
  </si>
  <si>
    <t>D Hoover</t>
  </si>
  <si>
    <t>"wish other airlines learn from them"</t>
  </si>
  <si>
    <t>P Dayal</t>
  </si>
  <si>
    <t>"one of the best airlines in India"</t>
  </si>
  <si>
    <t>"scores over other airlines"</t>
  </si>
  <si>
    <t>Vikaas Kalantri</t>
  </si>
  <si>
    <t>"Vistara was a good experience"</t>
  </si>
  <si>
    <t>Rudra Bhattacharya</t>
  </si>
  <si>
    <t>"the journey was satisfactory"</t>
  </si>
  <si>
    <t>Atharva Agashe</t>
  </si>
  <si>
    <t>Abhishek Ghamande</t>
  </si>
  <si>
    <t>"aircraft was new and fresh"</t>
  </si>
  <si>
    <t>Samarendra Patra</t>
  </si>
  <si>
    <t>Rating</t>
  </si>
  <si>
    <t>Review Type</t>
  </si>
  <si>
    <t>Year</t>
  </si>
  <si>
    <t>Month</t>
  </si>
  <si>
    <t>Row Labels</t>
  </si>
  <si>
    <t>Bad</t>
  </si>
  <si>
    <t>Good</t>
  </si>
  <si>
    <t>Neutral</t>
  </si>
  <si>
    <t>Grand Total</t>
  </si>
  <si>
    <t>Count of Name</t>
  </si>
  <si>
    <t>Date2</t>
  </si>
  <si>
    <t>2016</t>
  </si>
  <si>
    <t>2023</t>
  </si>
  <si>
    <t>2022</t>
  </si>
  <si>
    <t>2017</t>
  </si>
  <si>
    <t>2021</t>
  </si>
  <si>
    <t>2018</t>
  </si>
  <si>
    <t>2020</t>
  </si>
  <si>
    <t>2019</t>
  </si>
  <si>
    <t>2024</t>
  </si>
  <si>
    <t>2013</t>
  </si>
  <si>
    <t>2014</t>
  </si>
  <si>
    <t>2015</t>
  </si>
  <si>
    <t>Average of Rating</t>
  </si>
  <si>
    <t>TotaL Reviews</t>
  </si>
  <si>
    <t>Average Rating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</si>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</sst>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0.0"/>
    <numFmt numFmtId="166" formatCode="0.000"/>
    <numFmt numFmtId="167" formatCode="0.0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style="thin">
        <color theme="0" tint="-0.499984740745262"/>
      </right>
      <top style="thin">
        <color theme="4" tint="0.39997558519241921"/>
      </top>
      <bottom style="thin">
        <color theme="0" tint="-0.499984740745262"/>
      </bottom>
      <diagonal/>
    </border>
    <border>
      <left/>
      <right/>
      <top style="thin">
        <color theme="0" tint="-0.499984740745262"/>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applyAlignment="1">
      <alignment horizontal="center"/>
    </xf>
    <xf numFmtId="0" fontId="16" fillId="0" borderId="0" xfId="0" applyFont="1" applyAlignment="1">
      <alignment horizontal="center"/>
    </xf>
    <xf numFmtId="0" fontId="0" fillId="0" borderId="10" xfId="0" applyBorder="1"/>
    <xf numFmtId="0" fontId="0" fillId="0" borderId="10" xfId="0" applyBorder="1" applyAlignment="1">
      <alignment horizontal="center"/>
    </xf>
    <xf numFmtId="164" fontId="0" fillId="0" borderId="10" xfId="0" applyNumberFormat="1" applyBorder="1"/>
    <xf numFmtId="0" fontId="0" fillId="0" borderId="0" xfId="0" pivotButton="1"/>
    <xf numFmtId="0" fontId="0" fillId="0" borderId="0" xfId="0" applyAlignment="1">
      <alignment horizontal="left"/>
    </xf>
    <xf numFmtId="165" fontId="0" fillId="0" borderId="0" xfId="0" applyNumberFormat="1" applyAlignment="1">
      <alignment horizontal="center"/>
    </xf>
    <xf numFmtId="0" fontId="0" fillId="0" borderId="11" xfId="0" applyBorder="1"/>
    <xf numFmtId="0" fontId="0" fillId="0" borderId="12" xfId="0" applyBorder="1" applyAlignment="1">
      <alignment horizontal="center"/>
    </xf>
    <xf numFmtId="0" fontId="16" fillId="0" borderId="13" xfId="0" applyFont="1" applyBorder="1" applyAlignment="1">
      <alignment horizontal="center"/>
    </xf>
    <xf numFmtId="0" fontId="16" fillId="0" borderId="14" xfId="0" applyFont="1" applyBorder="1" applyAlignment="1">
      <alignment horizontal="center"/>
    </xf>
    <xf numFmtId="0" fontId="16" fillId="0" borderId="15" xfId="0" applyFont="1" applyBorder="1" applyAlignment="1">
      <alignment horizontal="center"/>
    </xf>
    <xf numFmtId="0" fontId="0" fillId="0" borderId="16" xfId="0" applyBorder="1"/>
    <xf numFmtId="0" fontId="0" fillId="0" borderId="17" xfId="0" applyBorder="1"/>
    <xf numFmtId="0" fontId="0" fillId="0" borderId="17" xfId="0" applyBorder="1" applyAlignment="1">
      <alignment horizontal="center"/>
    </xf>
    <xf numFmtId="164" fontId="0" fillId="0" borderId="17" xfId="0" applyNumberFormat="1" applyBorder="1"/>
    <xf numFmtId="0" fontId="0" fillId="0" borderId="18" xfId="0" applyBorder="1" applyAlignment="1">
      <alignment horizontal="center"/>
    </xf>
    <xf numFmtId="0" fontId="0" fillId="0" borderId="20" xfId="0" applyBorder="1"/>
    <xf numFmtId="167" fontId="0" fillId="0" borderId="0" xfId="0" applyNumberFormat="1"/>
    <xf numFmtId="166" fontId="0" fillId="0" borderId="0" xfId="0" applyNumberFormat="1"/>
    <xf numFmtId="1" fontId="0" fillId="0" borderId="0" xfId="0" applyNumberFormat="1" applyAlignment="1">
      <alignment horizontal="center"/>
    </xf>
    <xf numFmtId="0" fontId="0" fillId="33" borderId="19" xfId="0" applyFill="1" applyBorder="1" applyAlignment="1">
      <alignment horizontal="center"/>
    </xf>
    <xf numFmtId="0" fontId="16" fillId="0" borderId="10" xfId="0" applyFont="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2">
    <dxf>
      <alignment horizontal="center" vertical="bottom" textRotation="0" wrapText="0" indent="0" justifyLastLine="0" shrinkToFit="0" readingOrder="0"/>
      <border diagonalUp="0" diagonalDown="0" outline="0">
        <left style="thin">
          <color theme="0" tint="-0.499984740745262"/>
        </left>
        <right/>
        <top style="thin">
          <color theme="0" tint="-0.499984740745262"/>
        </top>
        <bottom/>
      </border>
    </dxf>
    <dxf>
      <alignment horizontal="center"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dxf>
    <dxf>
      <alignment horizontal="center"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dxf>
    <dxf>
      <alignment horizontal="center"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dxf>
    <dxf>
      <numFmt numFmtId="164" formatCode="mm/dd/yy;@"/>
      <border diagonalUp="0" diagonalDown="0" outline="0">
        <left style="thin">
          <color theme="0" tint="-0.499984740745262"/>
        </left>
        <right style="thin">
          <color theme="0" tint="-0.499984740745262"/>
        </right>
        <top style="thin">
          <color theme="0" tint="-0.499984740745262"/>
        </top>
        <bottom/>
      </border>
    </dxf>
    <dxf>
      <border diagonalUp="0" diagonalDown="0" outline="0">
        <left style="thin">
          <color theme="0" tint="-0.499984740745262"/>
        </left>
        <right style="thin">
          <color theme="0" tint="-0.499984740745262"/>
        </right>
        <top style="thin">
          <color theme="0" tint="-0.499984740745262"/>
        </top>
        <bottom/>
      </border>
    </dxf>
    <dxf>
      <border diagonalUp="0" diagonalDown="0" outline="0">
        <left style="thin">
          <color theme="0" tint="-0.499984740745262"/>
        </left>
        <right style="thin">
          <color theme="0" tint="-0.499984740745262"/>
        </right>
        <top style="thin">
          <color theme="0" tint="-0.499984740745262"/>
        </top>
        <bottom/>
      </border>
    </dxf>
    <dxf>
      <alignment horizontal="center"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dxf>
    <dxf>
      <border diagonalUp="0" diagonalDown="0" outline="0">
        <left/>
        <right/>
        <top style="thin">
          <color theme="0" tint="-0.499984740745262"/>
        </top>
        <bottom/>
      </border>
    </dxf>
    <dxf>
      <border diagonalUp="0" diagonalDown="0" outline="0">
        <left/>
        <right style="thin">
          <color theme="0" tint="-0.499984740745262"/>
        </right>
        <top style="thin">
          <color theme="0" tint="-0.499984740745262"/>
        </top>
        <bottom/>
      </bord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numFmt numFmtId="165" formatCode="0.0"/>
    </dxf>
    <dxf>
      <alignment horizontal="center"/>
    </dxf>
    <dxf>
      <numFmt numFmtId="1" formatCode="0"/>
    </dxf>
    <dxf>
      <numFmt numFmtId="167" formatCode="0.00000"/>
    </dxf>
    <dxf>
      <numFmt numFmtId="166" formatCode="0.000"/>
    </dxf>
    <dxf>
      <numFmt numFmtId="165" formatCode="0.0"/>
    </dxf>
    <dxf>
      <alignment horizontal="center"/>
    </dxf>
    <dxf>
      <numFmt numFmtId="165" formatCode="0.0"/>
    </dxf>
    <dxf>
      <alignment horizontal="center"/>
    </dxf>
    <dxf>
      <alignment horizontal="center" vertical="bottom" textRotation="0" wrapText="0" indent="0" justifyLastLine="0" shrinkToFit="0" readingOrder="0"/>
      <border diagonalUp="0" diagonalDown="0">
        <left style="thin">
          <color theme="0" tint="-0.499984740745262"/>
        </left>
        <right/>
        <top style="thin">
          <color theme="0" tint="-0.499984740745262"/>
        </top>
        <bottom style="thin">
          <color theme="0" tint="-0.499984740745262"/>
        </bottom>
        <vertical/>
        <horizontal/>
      </border>
    </dxf>
    <dxf>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164" formatCode="mm/dd/yy;@"/>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right style="thin">
          <color theme="0" tint="-0.499984740745262"/>
        </right>
        <top style="thin">
          <color theme="0" tint="-0.499984740745262"/>
        </top>
        <bottom style="thin">
          <color theme="0" tint="-0.499984740745262"/>
        </bottom>
        <vertical/>
        <horizontal/>
      </border>
    </dxf>
    <dxf>
      <border outline="0">
        <top style="thin">
          <color theme="0" tint="-0.499984740745262"/>
        </top>
      </border>
    </dxf>
    <dxf>
      <border outline="0">
        <left style="thin">
          <color theme="0" tint="-0.499984740745262"/>
        </left>
        <right style="thin">
          <color theme="0" tint="-0.499984740745262"/>
        </right>
        <top style="thin">
          <color theme="0" tint="-0.499984740745262"/>
        </top>
        <bottom style="thin">
          <color theme="0" tint="-0.499984740745262"/>
        </bottom>
      </border>
    </dxf>
    <dxf>
      <alignment horizontal="center" vertical="bottom" textRotation="0" wrapText="0" indent="0" justifyLastLine="0" shrinkToFit="0" readingOrder="0"/>
    </dxf>
    <dxf>
      <border outline="0">
        <bottom style="thin">
          <color theme="0" tint="-0.499984740745262"/>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theme="0" tint="-0.499984740745262"/>
        </left>
        <right style="thin">
          <color theme="0" tint="-0.499984740745262"/>
        </right>
        <top/>
        <bottom/>
      </border>
    </dxf>
    <dxf>
      <numFmt numFmtId="1" formatCode="0"/>
    </dxf>
    <dxf>
      <alignment horizontal="center"/>
    </dxf>
    <dxf>
      <numFmt numFmtId="165" formatCode="0.0"/>
    </dxf>
    <dxf>
      <numFmt numFmtId="166" formatCode="0.000"/>
    </dxf>
    <dxf>
      <numFmt numFmtId="167" formatCode="0.00000"/>
    </dxf>
    <dxf>
      <alignment horizontal="center"/>
    </dxf>
    <dxf>
      <numFmt numFmtId="165" formatCode="0.0"/>
    </dxf>
    <dxf>
      <alignment horizontal="center"/>
    </dxf>
    <dxf>
      <numFmt numFmtId="165" formatCode="0.0"/>
    </dxf>
  </dxfs>
  <tableStyles count="0" defaultTableStyle="TableStyleMedium2" defaultPivotStyle="PivotStyleLight16"/>
  <colors>
    <mruColors>
      <color rgb="FFED00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[Manoranjithkumar B - Excel Project.xlsx]Sheet2!PivotTable7</c:name>
    <c:fmtId val="2"/>
  </c:pivotSource>
  <c:chart>
    <c:title>
      <c:tx>
        <c:rich>
          <a:bodyPr rot="0" spcFirstLastPara="1" vertOverflow="ellipsis" vert="horz" wrap="square" anchor="ctr" anchorCtr="1"/>
          <a:lstStyle/>
          <a:p>
            <a:pPr algn="ctr" rtl="0">
              <a:defRPr lang="en-US" sz="1600" b="1" i="0" u="none" strike="noStrike" kern="1200" cap="all" spc="100" normalizeH="0" baseline="0">
                <a:ln>
                  <a:solidFill>
                    <a:srgbClr val="4472C4"/>
                  </a:solidFill>
                </a:ln>
                <a:solidFill>
                  <a:schemeClr val="tx1"/>
                </a:solidFill>
                <a:effectLst>
                  <a:reflection stA="3000" dist="50800" dir="5400000" sy="-100000" algn="bl" rotWithShape="0"/>
                </a:effectLst>
                <a:latin typeface="Trebuchet MS" panose="020B0603020202020204" pitchFamily="34" charset="0"/>
                <a:ea typeface="+mn-ea"/>
                <a:cs typeface="+mn-cs"/>
              </a:defRPr>
            </a:pPr>
            <a:r>
              <a:rPr lang="en-US" sz="1600" b="1" i="0" u="none" strike="noStrike" kern="1200" spc="100" baseline="0">
                <a:ln>
                  <a:solidFill>
                    <a:srgbClr val="4472C4"/>
                  </a:solidFill>
                </a:ln>
                <a:solidFill>
                  <a:schemeClr val="tx1"/>
                </a:solidFill>
                <a:effectLst>
                  <a:reflection stA="3000" dist="50800" dir="5400000" sy="-100000" algn="bl" rotWithShape="0"/>
                </a:effectLst>
                <a:latin typeface="Trebuchet MS" panose="020B0603020202020204" pitchFamily="34" charset="0"/>
                <a:ea typeface="+mn-ea"/>
                <a:cs typeface="+mn-cs"/>
              </a:rPr>
              <a:t>All Air Line Ratings</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ln>
                <a:solidFill>
                  <a:srgbClr val="4472C4"/>
                </a:solidFill>
              </a:ln>
              <a:solidFill>
                <a:schemeClr val="tx1"/>
              </a:solidFill>
              <a:effectLst>
                <a:reflection stA="3000" dist="50800" dir="5400000" sy="-100000" algn="bl" rotWithShape="0"/>
              </a:effectLst>
              <a:latin typeface="Trebuchet MS" panose="020B06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ln>
                    <a:noFill/>
                  </a:ln>
                  <a:solidFill>
                    <a:schemeClr val="bg1"/>
                  </a:solidFill>
                  <a:effectLst>
                    <a:reflection stA="3000" dist="50800" dir="5400000" sy="-100000" algn="bl" rotWithShape="0"/>
                  </a:effectLst>
                  <a:latin typeface="Trebuchet MS" panose="020B0603020202020204" pitchFamily="34" charset="0"/>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93756986157345"/>
          <c:y val="0.15400568288972427"/>
          <c:w val="0.6910624301384265"/>
          <c:h val="0.80208393577831705"/>
        </c:manualLayout>
      </c:layout>
      <c:barChart>
        <c:barDir val="bar"/>
        <c:grouping val="stacked"/>
        <c:varyColors val="0"/>
        <c:ser>
          <c:idx val="0"/>
          <c:order val="0"/>
          <c:tx>
            <c:strRef>
              <c:f>Sheet2!$B$1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ln>
                      <a:noFill/>
                    </a:ln>
                    <a:solidFill>
                      <a:schemeClr val="bg1"/>
                    </a:solidFill>
                    <a:effectLst>
                      <a:reflection stA="3000" dist="50800" dir="5400000" sy="-100000" algn="bl" rotWithShape="0"/>
                    </a:effectLst>
                    <a:latin typeface="Trebuchet MS" panose="020B0603020202020204" pitchFamily="34" charset="0"/>
                    <a:ea typeface="+mn-ea"/>
                    <a:cs typeface="+mn-cs"/>
                  </a:defRPr>
                </a:pPr>
                <a:endParaRPr lang="en-US"/>
              </a:p>
            </c:txPr>
            <c:dLblPos val="in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Sheet2!$A$2:$A$9</c:f>
              <c:strCache>
                <c:ptCount val="7"/>
                <c:pt idx="0">
                  <c:v>Air India Express</c:v>
                </c:pt>
                <c:pt idx="1">
                  <c:v>AirAsia India</c:v>
                </c:pt>
                <c:pt idx="2">
                  <c:v>AirIndia</c:v>
                </c:pt>
                <c:pt idx="3">
                  <c:v>Go First</c:v>
                </c:pt>
                <c:pt idx="4">
                  <c:v>IndiGo</c:v>
                </c:pt>
                <c:pt idx="5">
                  <c:v>SpiceJet</c:v>
                </c:pt>
                <c:pt idx="6">
                  <c:v>Vistara</c:v>
                </c:pt>
              </c:strCache>
            </c:strRef>
          </c:cat>
          <c:val>
            <c:numRef>
              <c:f>Sheet2!$B$2:$B$9</c:f>
              <c:numCache>
                <c:formatCode>0.0</c:formatCode>
                <c:ptCount val="7"/>
                <c:pt idx="0">
                  <c:v>2.9727272727272727</c:v>
                </c:pt>
                <c:pt idx="1">
                  <c:v>4</c:v>
                </c:pt>
                <c:pt idx="2">
                  <c:v>2.7981818181818183</c:v>
                </c:pt>
                <c:pt idx="3">
                  <c:v>1.6666666666666667</c:v>
                </c:pt>
                <c:pt idx="4">
                  <c:v>5.5246913580246915</c:v>
                </c:pt>
                <c:pt idx="5">
                  <c:v>3.58</c:v>
                </c:pt>
                <c:pt idx="6">
                  <c:v>6.8307692307692305</c:v>
                </c:pt>
              </c:numCache>
            </c:numRef>
          </c:val>
          <c:extLst>
            <c:ext xmlns:c16="http://schemas.microsoft.com/office/drawing/2014/chart" uri="{C3380CC4-5D6E-409C-BE32-E72D297353CC}">
              <c16:uniqueId val="{00000000-CCC6-4051-B62D-587659224F99}"/>
            </c:ext>
          </c:extLst>
        </c:ser>
        <c:dLbls>
          <c:dLblPos val="ctr"/>
          <c:showLegendKey val="0"/>
          <c:showVal val="1"/>
          <c:showCatName val="0"/>
          <c:showSerName val="0"/>
          <c:showPercent val="0"/>
          <c:showBubbleSize val="0"/>
        </c:dLbls>
        <c:gapWidth val="79"/>
        <c:overlap val="100"/>
        <c:axId val="426405984"/>
        <c:axId val="426405024"/>
      </c:barChart>
      <c:catAx>
        <c:axId val="42640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cap="all" spc="120" normalizeH="0" baseline="0">
                <a:ln>
                  <a:noFill/>
                </a:ln>
                <a:solidFill>
                  <a:srgbClr val="FF0000"/>
                </a:solidFill>
                <a:effectLst>
                  <a:reflection stA="3000" dist="50800" dir="5400000" sy="-100000" algn="bl" rotWithShape="0"/>
                </a:effectLst>
                <a:latin typeface="Trebuchet MS" panose="020B0603020202020204" pitchFamily="34" charset="0"/>
                <a:ea typeface="+mn-ea"/>
                <a:cs typeface="+mn-cs"/>
              </a:defRPr>
            </a:pPr>
            <a:endParaRPr lang="en-US"/>
          </a:p>
        </c:txPr>
        <c:crossAx val="426405024"/>
        <c:crosses val="autoZero"/>
        <c:auto val="1"/>
        <c:lblAlgn val="ctr"/>
        <c:lblOffset val="100"/>
        <c:noMultiLvlLbl val="0"/>
      </c:catAx>
      <c:valAx>
        <c:axId val="426405024"/>
        <c:scaling>
          <c:orientation val="minMax"/>
        </c:scaling>
        <c:delete val="1"/>
        <c:axPos val="b"/>
        <c:numFmt formatCode="0.0" sourceLinked="1"/>
        <c:majorTickMark val="none"/>
        <c:minorTickMark val="none"/>
        <c:tickLblPos val="nextTo"/>
        <c:crossAx val="426405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a:glow rad="63500">
        <a:schemeClr val="bg1">
          <a:lumMod val="65000"/>
          <a:alpha val="40000"/>
        </a:schemeClr>
      </a:glow>
      <a:outerShdw blurRad="50800" dist="50800" dir="600000" algn="ctr" rotWithShape="0">
        <a:srgbClr val="000000">
          <a:alpha val="43137"/>
        </a:srgbClr>
      </a:outerShdw>
      <a:softEdge rad="0"/>
    </a:effectLst>
    <a:scene3d>
      <a:camera prst="orthographicFront"/>
      <a:lightRig rig="threePt" dir="t"/>
    </a:scene3d>
    <a:sp3d>
      <a:bevelT/>
    </a:sp3d>
  </c:spPr>
  <c:txPr>
    <a:bodyPr/>
    <a:lstStyle/>
    <a:p>
      <a:pPr>
        <a:defRPr lang="en-US" sz="1200" b="1" i="0" u="none" strike="noStrike" kern="1200" baseline="0">
          <a:ln>
            <a:noFill/>
          </a:ln>
          <a:solidFill>
            <a:schemeClr val="accent2">
              <a:lumMod val="75000"/>
            </a:schemeClr>
          </a:solidFill>
          <a:effectLst>
            <a:reflection stA="3000" dist="50800" dir="5400000" sy="-100000" algn="bl" rotWithShape="0"/>
          </a:effectLst>
          <a:latin typeface="Trebuchet MS" panose="020B0603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[Manoranjithkumar B - Excel Project.xlsx]Sheet3!PivotTable2</c:name>
    <c:fmtId val="2"/>
  </c:pivotSource>
  <c:chart>
    <c:title>
      <c:tx>
        <c:rich>
          <a:bodyPr rot="0" spcFirstLastPara="1" vertOverflow="ellipsis" vert="horz" wrap="square" anchor="ctr" anchorCtr="1"/>
          <a:lstStyle/>
          <a:p>
            <a:pPr algn="ctr" rtl="0">
              <a:defRPr lang="en-US" sz="1600" b="1" i="0" u="none" strike="noStrike" kern="1200" spc="100" baseline="0">
                <a:ln>
                  <a:solidFill>
                    <a:srgbClr val="4472C4"/>
                  </a:solidFill>
                </a:ln>
                <a:solidFill>
                  <a:schemeClr val="tx1"/>
                </a:solidFill>
                <a:effectLst>
                  <a:reflection stA="3000" dist="50800" dir="5400000" sy="-100000" algn="bl" rotWithShape="0"/>
                </a:effectLst>
                <a:latin typeface="Trebuchet MS" panose="020B0603020202020204" pitchFamily="34" charset="0"/>
                <a:ea typeface="+mn-ea"/>
                <a:cs typeface="+mn-cs"/>
              </a:defRPr>
            </a:pPr>
            <a:r>
              <a:rPr lang="en-US" sz="1600" b="1" i="0" u="none" strike="noStrike" kern="1200" spc="100" baseline="0">
                <a:ln>
                  <a:solidFill>
                    <a:srgbClr val="4472C4"/>
                  </a:solidFill>
                </a:ln>
                <a:solidFill>
                  <a:schemeClr val="tx1"/>
                </a:solidFill>
                <a:effectLst>
                  <a:reflection stA="3000" dist="50800" dir="5400000" sy="-100000" algn="bl" rotWithShape="0"/>
                </a:effectLst>
                <a:latin typeface="Trebuchet MS" panose="020B0603020202020204" pitchFamily="34" charset="0"/>
                <a:ea typeface="+mn-ea"/>
                <a:cs typeface="+mn-cs"/>
              </a:rPr>
              <a:t>Review Type Distribution</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ln>
                <a:solidFill>
                  <a:srgbClr val="4472C4"/>
                </a:solidFill>
              </a:ln>
              <a:solidFill>
                <a:schemeClr val="tx1"/>
              </a:solidFill>
              <a:effectLst>
                <a:reflection stA="3000" dist="50800" dir="5400000" sy="-100000" algn="bl" rotWithShape="0"/>
              </a:effectLst>
              <a:latin typeface="Trebuchet MS" panose="020B06030202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2"/>
          </a:solidFill>
          <a:ln w="25400">
            <a:solidFill>
              <a:schemeClr val="lt1"/>
            </a:solidFill>
          </a:ln>
          <a:effectLst/>
          <a:sp3d contourW="25400">
            <a:contourClr>
              <a:schemeClr val="lt1"/>
            </a:contourClr>
          </a:sp3d>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ln>
                    <a:solidFill>
                      <a:schemeClr val="accent1"/>
                    </a:solidFill>
                  </a:ln>
                  <a:solidFill>
                    <a:srgbClr val="FF0000"/>
                  </a:solidFill>
                  <a:effectLst>
                    <a:reflection stA="3000" dist="50800" dir="5400000" sy="-100000" algn="bl" rotWithShape="0"/>
                  </a:effectLst>
                  <a:latin typeface="Trebuchet MS" panose="020B06030202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hade val="65000"/>
            </a:schemeClr>
          </a:solidFill>
          <a:ln w="25400">
            <a:solidFill>
              <a:schemeClr val="lt1"/>
            </a:solidFill>
          </a:ln>
          <a:effectLst/>
          <a:sp3d contourW="25400">
            <a:contourClr>
              <a:schemeClr val="lt1"/>
            </a:contourClr>
          </a:sp3d>
        </c:spPr>
        <c:dLbl>
          <c:idx val="0"/>
          <c:spPr>
            <a:solidFill>
              <a:srgbClr val="FFC000">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ln>
                    <a:solidFill>
                      <a:schemeClr val="accent1"/>
                    </a:solidFill>
                  </a:ln>
                  <a:solidFill>
                    <a:srgbClr val="FF0000"/>
                  </a:solidFill>
                  <a:effectLst>
                    <a:reflection stA="3000" dist="50800" dir="5400000" sy="-100000" algn="bl" rotWithShape="0"/>
                  </a:effectLst>
                  <a:latin typeface="Trebuchet MS" panose="020B06030202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w="25400">
            <a:solidFill>
              <a:schemeClr val="lt1"/>
            </a:solidFill>
          </a:ln>
          <a:effectLst/>
          <a:sp3d contourW="25400">
            <a:contourClr>
              <a:schemeClr val="lt1"/>
            </a:contourClr>
          </a:sp3d>
        </c:spPr>
      </c:pivotFmt>
      <c:pivotFmt>
        <c:idx val="12"/>
        <c:spPr>
          <a:solidFill>
            <a:schemeClr val="accent2">
              <a:tint val="65000"/>
            </a:schemeClr>
          </a:solidFill>
          <a:ln w="25400">
            <a:solidFill>
              <a:schemeClr val="lt1"/>
            </a:solidFill>
          </a:ln>
          <a:effectLst/>
          <a:sp3d contourW="25400">
            <a:contourClr>
              <a:schemeClr val="lt1"/>
            </a:contourClr>
          </a:sp3d>
        </c:spPr>
      </c:pivotFmt>
    </c:pivotFmts>
    <c:view3D>
      <c:rotX val="30"/>
      <c:rotY val="13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341854646399069E-2"/>
          <c:y val="0.17322650028343436"/>
          <c:w val="0.90014252508368919"/>
          <c:h val="0.62628091331573232"/>
        </c:manualLayout>
      </c:layout>
      <c:pie3DChart>
        <c:varyColors val="1"/>
        <c:ser>
          <c:idx val="0"/>
          <c:order val="0"/>
          <c:tx>
            <c:strRef>
              <c:f>Sheet3!$B$1</c:f>
              <c:strCache>
                <c:ptCount val="1"/>
                <c:pt idx="0">
                  <c:v>Total</c:v>
                </c:pt>
              </c:strCache>
            </c:strRef>
          </c:tx>
          <c:dPt>
            <c:idx val="0"/>
            <c:bubble3D val="0"/>
            <c:spPr>
              <a:solidFill>
                <a:schemeClr val="accent2">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C63-4FA7-B719-3D6106BD9D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C63-4FA7-B719-3D6106BD9D2D}"/>
              </c:ext>
            </c:extLst>
          </c:dPt>
          <c:dPt>
            <c:idx val="2"/>
            <c:bubble3D val="0"/>
            <c:spPr>
              <a:solidFill>
                <a:schemeClr val="accent2">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8C63-4FA7-B719-3D6106BD9D2D}"/>
              </c:ext>
            </c:extLst>
          </c:dPt>
          <c:dLbls>
            <c:dLbl>
              <c:idx val="0"/>
              <c:spPr>
                <a:solidFill>
                  <a:srgbClr val="FFC000">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ln>
                        <a:solidFill>
                          <a:schemeClr val="accent1"/>
                        </a:solidFill>
                      </a:ln>
                      <a:solidFill>
                        <a:srgbClr val="FF0000"/>
                      </a:solidFill>
                      <a:effectLst>
                        <a:reflection stA="3000" dist="50800" dir="5400000" sy="-100000" algn="bl" rotWithShape="0"/>
                      </a:effectLst>
                      <a:latin typeface="Trebuchet MS" panose="020B06030202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C63-4FA7-B719-3D6106BD9D2D}"/>
                </c:ext>
              </c:extLst>
            </c:dLbl>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ln>
                      <a:solidFill>
                        <a:schemeClr val="accent1"/>
                      </a:solidFill>
                    </a:ln>
                    <a:solidFill>
                      <a:srgbClr val="FF0000"/>
                    </a:solidFill>
                    <a:effectLst>
                      <a:reflection stA="3000" dist="50800" dir="5400000" sy="-100000" algn="bl" rotWithShape="0"/>
                    </a:effectLst>
                    <a:latin typeface="Trebuchet MS" panose="020B0603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Sheet3!$A$2:$A$5</c:f>
              <c:strCache>
                <c:ptCount val="3"/>
                <c:pt idx="0">
                  <c:v>Bad</c:v>
                </c:pt>
                <c:pt idx="1">
                  <c:v>Good</c:v>
                </c:pt>
                <c:pt idx="2">
                  <c:v>Neutral</c:v>
                </c:pt>
              </c:strCache>
            </c:strRef>
          </c:cat>
          <c:val>
            <c:numRef>
              <c:f>Sheet3!$B$2:$B$5</c:f>
              <c:numCache>
                <c:formatCode>0.000</c:formatCode>
                <c:ptCount val="3"/>
                <c:pt idx="0">
                  <c:v>1404</c:v>
                </c:pt>
                <c:pt idx="1">
                  <c:v>614</c:v>
                </c:pt>
                <c:pt idx="2">
                  <c:v>192</c:v>
                </c:pt>
              </c:numCache>
            </c:numRef>
          </c:val>
          <c:extLst>
            <c:ext xmlns:c16="http://schemas.microsoft.com/office/drawing/2014/chart" uri="{C3380CC4-5D6E-409C-BE32-E72D297353CC}">
              <c16:uniqueId val="{00000006-8C63-4FA7-B719-3D6106BD9D2D}"/>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200" b="1" i="0" u="none" strike="noStrike" kern="1200" baseline="0">
              <a:ln>
                <a:noFill/>
              </a:ln>
              <a:solidFill>
                <a:schemeClr val="accent2">
                  <a:lumMod val="75000"/>
                </a:schemeClr>
              </a:solidFill>
              <a:effectLst>
                <a:reflection stA="3000" dist="50800" dir="5400000" sy="-100000" algn="bl" rotWithShape="0"/>
              </a:effectLst>
              <a:latin typeface="Trebuchet MS" panose="020B0603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[Manoranjithkumar B - Excel Project.xlsx]Sheet4!PivotTable3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cap="all" spc="100" baseline="0">
                <a:ln>
                  <a:solidFill>
                    <a:srgbClr val="4472C4"/>
                  </a:solidFill>
                </a:ln>
                <a:solidFill>
                  <a:sysClr val="windowText" lastClr="000000"/>
                </a:solidFill>
                <a:effectLst>
                  <a:reflection stA="3000" dist="50800" dir="5400000" sy="-100000" algn="bl" rotWithShape="0"/>
                </a:effectLst>
                <a:latin typeface="Trebuchet MS" panose="020B0603020202020204" pitchFamily="34" charset="0"/>
                <a:ea typeface="+mn-ea"/>
                <a:cs typeface="+mn-cs"/>
              </a:defRPr>
            </a:pPr>
            <a:r>
              <a:rPr lang="en-IN" sz="1600" b="1" i="0" u="none" strike="noStrike" kern="1200" cap="all" spc="100" baseline="0">
                <a:ln>
                  <a:solidFill>
                    <a:srgbClr val="4472C4"/>
                  </a:solidFill>
                </a:ln>
                <a:solidFill>
                  <a:schemeClr val="tx1"/>
                </a:solidFill>
                <a:effectLst>
                  <a:reflection stA="3000" dist="50800" dir="5400000" sy="-100000" algn="bl" rotWithShape="0"/>
                </a:effectLst>
                <a:latin typeface="Trebuchet MS" panose="020B0603020202020204" pitchFamily="34" charset="0"/>
              </a:rPr>
              <a:t>Customer Recommendation %</a:t>
            </a:r>
          </a:p>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cap="all" spc="100" baseline="0">
                <a:ln>
                  <a:solidFill>
                    <a:srgbClr val="4472C4"/>
                  </a:solidFill>
                </a:ln>
                <a:solidFill>
                  <a:sysClr val="windowText" lastClr="000000"/>
                </a:solidFill>
                <a:effectLst>
                  <a:reflection stA="3000" dist="50800" dir="5400000" sy="-100000" algn="bl" rotWithShape="0"/>
                </a:effectLst>
                <a:latin typeface="Trebuchet MS" panose="020B0603020202020204" pitchFamily="34" charset="0"/>
                <a:ea typeface="+mn-ea"/>
                <a:cs typeface="+mn-cs"/>
              </a:defRPr>
            </a:pPr>
            <a:endParaRPr lang="en-US" sz="1600" b="1" i="0" u="none" strike="noStrike" kern="1200" spc="100" baseline="0">
              <a:ln>
                <a:solidFill>
                  <a:srgbClr val="4472C4"/>
                </a:solidFill>
              </a:ln>
              <a:solidFill>
                <a:schemeClr val="tx1"/>
              </a:solidFill>
              <a:effectLst>
                <a:reflection stA="3000" dist="50800" dir="5400000" sy="-100000" algn="bl" rotWithShape="0"/>
              </a:effectLst>
              <a:latin typeface="Trebuchet MS" panose="020B0603020202020204" pitchFamily="34" charset="0"/>
              <a:ea typeface="+mn-ea"/>
              <a:cs typeface="+mn-cs"/>
            </a:endParaRPr>
          </a:p>
        </c:rich>
      </c:tx>
      <c:layout>
        <c:manualLayout>
          <c:xMode val="edge"/>
          <c:yMode val="edge"/>
          <c:x val="9.8397634560265013E-2"/>
          <c:y val="3.8834951456310676E-2"/>
        </c:manualLayout>
      </c:layout>
      <c:overlay val="0"/>
      <c:spPr>
        <a:noFill/>
        <a:ln>
          <a:noFill/>
        </a:ln>
        <a:effectLst/>
      </c:sp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550156838586796"/>
          <c:y val="0.15976556941855979"/>
          <c:w val="0.48205240985264419"/>
          <c:h val="0.71268531966265269"/>
        </c:manualLayout>
      </c:layout>
      <c:doughnutChart>
        <c:varyColors val="1"/>
        <c:ser>
          <c:idx val="0"/>
          <c:order val="0"/>
          <c:tx>
            <c:strRef>
              <c:f>Sheet4!$B$1</c:f>
              <c:strCache>
                <c:ptCount val="1"/>
                <c:pt idx="0">
                  <c:v>Total</c:v>
                </c:pt>
              </c:strCache>
            </c:strRef>
          </c:tx>
          <c:dPt>
            <c:idx val="0"/>
            <c:bubble3D val="0"/>
            <c:explosion val="1"/>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EA-4084-80AB-35F7510F2253}"/>
              </c:ext>
            </c:extLst>
          </c:dPt>
          <c:dPt>
            <c:idx val="1"/>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EA-4084-80AB-35F7510F22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Trebuchet MS" panose="020B06030202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Sheet4!$A$2:$A$4</c:f>
              <c:strCache>
                <c:ptCount val="2"/>
                <c:pt idx="0">
                  <c:v>no</c:v>
                </c:pt>
                <c:pt idx="1">
                  <c:v>yes</c:v>
                </c:pt>
              </c:strCache>
            </c:strRef>
          </c:cat>
          <c:val>
            <c:numRef>
              <c:f>Sheet4!$B$2:$B$4</c:f>
              <c:numCache>
                <c:formatCode>General</c:formatCode>
                <c:ptCount val="2"/>
                <c:pt idx="0">
                  <c:v>1448</c:v>
                </c:pt>
                <c:pt idx="1">
                  <c:v>762</c:v>
                </c:pt>
              </c:numCache>
            </c:numRef>
          </c:val>
          <c:extLst>
            <c:ext xmlns:c16="http://schemas.microsoft.com/office/drawing/2014/chart" uri="{C3380CC4-5D6E-409C-BE32-E72D297353CC}">
              <c16:uniqueId val="{00000004-61EA-4084-80AB-35F7510F2253}"/>
            </c:ext>
          </c:extLst>
        </c:ser>
        <c:dLbls>
          <c:showLegendKey val="0"/>
          <c:showVal val="0"/>
          <c:showCatName val="0"/>
          <c:showSerName val="0"/>
          <c:showPercent val="1"/>
          <c:showBubbleSize val="0"/>
          <c:showLeaderLines val="1"/>
        </c:dLbls>
        <c:firstSliceAng val="0"/>
        <c:holeSize val="50"/>
      </c:doughnutChart>
      <c:spPr>
        <a:effectLst>
          <a:softEdge rad="38100"/>
        </a:effectLst>
      </c:spPr>
    </c:plotArea>
    <c:legend>
      <c:legendPos val="b"/>
      <c:overlay val="0"/>
      <c:spPr>
        <a:noFill/>
        <a:ln>
          <a:noFill/>
        </a:ln>
        <a:effectLst/>
      </c:spPr>
      <c:txPr>
        <a:bodyPr rot="0" spcFirstLastPara="1" vertOverflow="ellipsis" vert="horz" wrap="square" anchor="ctr" anchorCtr="1"/>
        <a:lstStyle/>
        <a:p>
          <a:pPr>
            <a:defRPr lang="en-US" sz="1200" b="1" i="0" u="none" strike="noStrike" kern="1200" baseline="0">
              <a:ln>
                <a:noFill/>
              </a:ln>
              <a:solidFill>
                <a:schemeClr val="accent2">
                  <a:lumMod val="75000"/>
                </a:schemeClr>
              </a:solidFill>
              <a:effectLst>
                <a:reflection stA="3000" dist="50800" dir="5400000" sy="-100000" algn="bl" rotWithShape="0"/>
              </a:effectLst>
              <a:latin typeface="Trebuchet MS" panose="020B0603020202020204" pitchFamily="34" charset="0"/>
              <a:ea typeface="+mn-ea"/>
              <a:cs typeface="+mn-cs"/>
            </a:defRPr>
          </a:pPr>
          <a:endParaRPr lang="en-US"/>
        </a:p>
      </c:txPr>
    </c:legend>
    <c:plotVisOnly val="1"/>
    <c:dispBlanksAs val="gap"/>
    <c:showDLblsOverMax val="0"/>
    <c:extLst/>
  </c:chart>
  <c:spPr>
    <a:solidFill>
      <a:schemeClr val="bg1"/>
    </a:solidFill>
    <a:effectLst>
      <a:glow rad="88900">
        <a:schemeClr val="bg1">
          <a:lumMod val="75000"/>
          <a:alpha val="40000"/>
        </a:schemeClr>
      </a:glow>
      <a:outerShdw blurRad="50800" dist="38100" dir="18900000" sx="95000" sy="95000" algn="bl" rotWithShape="0">
        <a:prstClr val="black">
          <a:alpha val="41000"/>
        </a:prstClr>
      </a:outerShdw>
      <a:softEdge rad="127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[Manoranjithkumar B - Excel Project.xlsx]Sheet5!PivotTable4</c:name>
    <c:fmtId val="2"/>
  </c:pivotSource>
  <c:chart>
    <c:title>
      <c:tx>
        <c:rich>
          <a:bodyPr rot="0" spcFirstLastPara="1" vertOverflow="ellipsis" vert="horz" wrap="square" anchor="ctr" anchorCtr="1"/>
          <a:lstStyle/>
          <a:p>
            <a:pPr algn="ctr" rtl="0">
              <a:defRPr lang="en-IN" sz="1600" b="1" i="0" u="none" strike="noStrike" kern="1200" cap="all" spc="100" baseline="0">
                <a:ln>
                  <a:solidFill>
                    <a:srgbClr val="4472C4"/>
                  </a:solidFill>
                </a:ln>
                <a:solidFill>
                  <a:schemeClr val="tx1"/>
                </a:solidFill>
                <a:effectLst>
                  <a:reflection stA="3000" dist="50800" dir="5400000" sy="-100000" algn="bl" rotWithShape="0"/>
                </a:effectLst>
                <a:latin typeface="Trebuchet MS" panose="020B0603020202020204" pitchFamily="34" charset="0"/>
                <a:ea typeface="+mn-ea"/>
                <a:cs typeface="+mn-cs"/>
              </a:defRPr>
            </a:pPr>
            <a:r>
              <a:rPr lang="en-IN" sz="1600" b="1" i="0" u="none" strike="noStrike" kern="1200" cap="all" spc="100" baseline="0">
                <a:ln>
                  <a:solidFill>
                    <a:srgbClr val="4472C4"/>
                  </a:solidFill>
                </a:ln>
                <a:solidFill>
                  <a:schemeClr val="tx1"/>
                </a:solidFill>
                <a:effectLst>
                  <a:reflection stA="3000" dist="50800" dir="5400000" sy="-100000" algn="bl" rotWithShape="0"/>
                </a:effectLst>
                <a:latin typeface="Trebuchet MS" panose="020B0603020202020204" pitchFamily="34" charset="0"/>
              </a:rPr>
              <a:t>Rating Over Time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cene3d>
            <a:camera prst="orthographicFront"/>
            <a:lightRig rig="threePt" dir="t"/>
          </a:scene3d>
          <a:sp3d/>
        </c:spPr>
        <c:marker>
          <c:symbol val="none"/>
        </c:marker>
        <c:dLbl>
          <c:idx val="0"/>
          <c:spPr>
            <a:noFill/>
            <a:ln>
              <a:noFill/>
            </a:ln>
            <a:effectLst>
              <a:softEdge rad="127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2">
                  <a:alpha val="0"/>
                </a:schemeClr>
              </a:gs>
              <a:gs pos="50000">
                <a:schemeClr val="accent2"/>
              </a:gs>
            </a:gsLst>
            <a:lin ang="5400000" scaled="0"/>
          </a:gradFill>
          <a:ln>
            <a:noFill/>
          </a:ln>
          <a:effectLst/>
          <a:scene3d>
            <a:camera prst="orthographicFront"/>
            <a:lightRig rig="threePt" dir="t"/>
          </a:scene3d>
          <a:sp3d/>
        </c:spPr>
        <c:marker>
          <c:symbol val="none"/>
        </c:marker>
        <c:dLbl>
          <c:idx val="0"/>
          <c:spPr>
            <a:noFill/>
            <a:ln>
              <a:noFill/>
            </a:ln>
            <a:effectLst>
              <a:softEdge rad="127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2">
                  <a:alpha val="0"/>
                </a:schemeClr>
              </a:gs>
              <a:gs pos="50000">
                <a:schemeClr val="accent2"/>
              </a:gs>
            </a:gsLst>
            <a:lin ang="5400000" scaled="0"/>
          </a:gradFill>
          <a:ln>
            <a:noFill/>
          </a:ln>
          <a:effectLst/>
          <a:scene3d>
            <a:camera prst="orthographicFront"/>
            <a:lightRig rig="threePt" dir="t"/>
          </a:scene3d>
          <a:sp3d/>
        </c:spPr>
        <c:marker>
          <c:symbol val="none"/>
        </c:marker>
        <c:dLbl>
          <c:idx val="0"/>
          <c:spPr>
            <a:noFill/>
            <a:ln>
              <a:noFill/>
            </a:ln>
            <a:effectLst>
              <a:softEdge rad="127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2">
                  <a:alpha val="0"/>
                </a:schemeClr>
              </a:gs>
              <a:gs pos="50000">
                <a:schemeClr val="accent2"/>
              </a:gs>
            </a:gsLst>
            <a:lin ang="5400000" scaled="0"/>
          </a:gradFill>
          <a:ln>
            <a:noFill/>
          </a:ln>
          <a:effectLst/>
          <a:scene3d>
            <a:camera prst="orthographicFront"/>
            <a:lightRig rig="threePt" dir="t"/>
          </a:scene3d>
          <a:sp3d/>
        </c:spPr>
        <c:marker>
          <c:symbol val="none"/>
        </c:marker>
        <c:dLbl>
          <c:idx val="0"/>
          <c:spPr>
            <a:noFill/>
            <a:ln>
              <a:noFill/>
            </a:ln>
            <a:effectLst>
              <a:softEdge rad="127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2">
                  <a:alpha val="0"/>
                </a:schemeClr>
              </a:gs>
              <a:gs pos="50000">
                <a:schemeClr val="accent2"/>
              </a:gs>
            </a:gsLst>
            <a:lin ang="5400000" scaled="0"/>
          </a:gradFill>
          <a:ln>
            <a:noFill/>
          </a:ln>
          <a:effectLst/>
          <a:scene3d>
            <a:camera prst="orthographicFront"/>
            <a:lightRig rig="threePt" dir="t"/>
          </a:scene3d>
          <a:sp3d/>
        </c:spPr>
        <c:marker>
          <c:symbol val="none"/>
        </c:marker>
        <c:dLbl>
          <c:idx val="0"/>
          <c:spPr>
            <a:noFill/>
            <a:ln>
              <a:noFill/>
            </a:ln>
            <a:effectLst>
              <a:softEdge rad="127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2">
                  <a:alpha val="0"/>
                </a:schemeClr>
              </a:gs>
              <a:gs pos="50000">
                <a:schemeClr val="accent2"/>
              </a:gs>
            </a:gsLst>
            <a:lin ang="5400000" scaled="0"/>
          </a:gradFill>
          <a:ln>
            <a:noFill/>
          </a:ln>
          <a:effectLst/>
          <a:scene3d>
            <a:camera prst="orthographicFront"/>
            <a:lightRig rig="threePt" dir="t"/>
          </a:scene3d>
          <a:sp3d/>
        </c:spPr>
        <c:marker>
          <c:symbol val="none"/>
        </c:marker>
        <c:dLbl>
          <c:idx val="0"/>
          <c:spPr>
            <a:noFill/>
            <a:ln>
              <a:noFill/>
            </a:ln>
            <a:effectLst>
              <a:softEdge rad="127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outerShdw blurRad="50800" dist="38100" dir="10800000" algn="r" rotWithShape="0">
            <a:schemeClr val="bg1">
              <a:lumMod val="65000"/>
              <a:alpha val="40000"/>
            </a:schemeClr>
          </a:outerShdw>
        </a:effectLst>
        <a:sp3d/>
      </c:spPr>
    </c:sideWall>
    <c:backWall>
      <c:thickness val="0"/>
      <c:spPr>
        <a:noFill/>
        <a:ln w="25400">
          <a:noFill/>
        </a:ln>
        <a:effectLst>
          <a:outerShdw blurRad="50800" dist="38100" dir="10800000" algn="r" rotWithShape="0">
            <a:schemeClr val="bg1">
              <a:lumMod val="65000"/>
              <a:alpha val="40000"/>
            </a:schemeClr>
          </a:outerShdw>
        </a:effectLst>
        <a:sp3d/>
      </c:spPr>
    </c:backWall>
    <c:plotArea>
      <c:layout/>
      <c:bar3DChart>
        <c:barDir val="col"/>
        <c:grouping val="clustered"/>
        <c:varyColors val="0"/>
        <c:ser>
          <c:idx val="0"/>
          <c:order val="0"/>
          <c:tx>
            <c:strRef>
              <c:f>Sheet5!$B$1</c:f>
              <c:strCache>
                <c:ptCount val="1"/>
                <c:pt idx="0">
                  <c:v>Total</c:v>
                </c:pt>
              </c:strCache>
            </c:strRef>
          </c:tx>
          <c:spPr>
            <a:gradFill>
              <a:gsLst>
                <a:gs pos="100000">
                  <a:schemeClr val="accent2">
                    <a:alpha val="0"/>
                  </a:schemeClr>
                </a:gs>
                <a:gs pos="50000">
                  <a:schemeClr val="accent2"/>
                </a:gs>
              </a:gsLst>
              <a:lin ang="5400000" scaled="0"/>
            </a:gradFill>
            <a:ln>
              <a:noFill/>
            </a:ln>
            <a:effectLst/>
            <a:scene3d>
              <a:camera prst="orthographicFront"/>
              <a:lightRig rig="threePt" dir="t"/>
            </a:scene3d>
            <a:sp3d/>
          </c:spPr>
          <c:invertIfNegative val="0"/>
          <c:dLbls>
            <c:spPr>
              <a:noFill/>
              <a:ln>
                <a:noFill/>
              </a:ln>
              <a:effectLst>
                <a:softEdge rad="127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Sheet5!$A$2:$A$14</c:f>
              <c:strCach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strCache>
            </c:strRef>
          </c:cat>
          <c:val>
            <c:numRef>
              <c:f>Sheet5!$B$2:$B$14</c:f>
              <c:numCache>
                <c:formatCode>0</c:formatCode>
                <c:ptCount val="12"/>
                <c:pt idx="0">
                  <c:v>8.9642857142857135</c:v>
                </c:pt>
                <c:pt idx="1">
                  <c:v>6.9230769230769234</c:v>
                </c:pt>
                <c:pt idx="2">
                  <c:v>7.8620689655172411</c:v>
                </c:pt>
                <c:pt idx="3">
                  <c:v>8.2799999999999994</c:v>
                </c:pt>
                <c:pt idx="4">
                  <c:v>5.8857142857142861</c:v>
                </c:pt>
                <c:pt idx="5">
                  <c:v>4.6846153846153848</c:v>
                </c:pt>
                <c:pt idx="6">
                  <c:v>4.2115384615384617</c:v>
                </c:pt>
                <c:pt idx="7">
                  <c:v>4.9000000000000004</c:v>
                </c:pt>
                <c:pt idx="8">
                  <c:v>4.0761904761904759</c:v>
                </c:pt>
                <c:pt idx="9">
                  <c:v>3.395</c:v>
                </c:pt>
                <c:pt idx="10">
                  <c:v>3.2763636363636364</c:v>
                </c:pt>
                <c:pt idx="11">
                  <c:v>2.989655172413793</c:v>
                </c:pt>
              </c:numCache>
            </c:numRef>
          </c:val>
          <c:shape val="cylinder"/>
          <c:extLst>
            <c:ext xmlns:c16="http://schemas.microsoft.com/office/drawing/2014/chart" uri="{C3380CC4-5D6E-409C-BE32-E72D297353CC}">
              <c16:uniqueId val="{00000000-5581-4EDF-B0D2-5412A5B597FF}"/>
            </c:ext>
          </c:extLst>
        </c:ser>
        <c:dLbls>
          <c:showLegendKey val="0"/>
          <c:showVal val="1"/>
          <c:showCatName val="0"/>
          <c:showSerName val="0"/>
          <c:showPercent val="0"/>
          <c:showBubbleSize val="0"/>
        </c:dLbls>
        <c:gapWidth val="239"/>
        <c:gapDepth val="177"/>
        <c:shape val="box"/>
        <c:axId val="1999201919"/>
        <c:axId val="1999196159"/>
        <c:axId val="0"/>
      </c:bar3DChart>
      <c:catAx>
        <c:axId val="1999201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Trebuchet MS" panose="020B0603020202020204" pitchFamily="34" charset="0"/>
                <a:ea typeface="+mn-ea"/>
                <a:cs typeface="+mn-cs"/>
              </a:defRPr>
            </a:pPr>
            <a:endParaRPr lang="en-US"/>
          </a:p>
        </c:txPr>
        <c:crossAx val="1999196159"/>
        <c:crosses val="autoZero"/>
        <c:auto val="1"/>
        <c:lblAlgn val="ctr"/>
        <c:lblOffset val="100"/>
        <c:noMultiLvlLbl val="0"/>
      </c:catAx>
      <c:valAx>
        <c:axId val="1999196159"/>
        <c:scaling>
          <c:orientation val="minMax"/>
        </c:scaling>
        <c:delete val="1"/>
        <c:axPos val="l"/>
        <c:numFmt formatCode="0" sourceLinked="1"/>
        <c:majorTickMark val="out"/>
        <c:minorTickMark val="none"/>
        <c:tickLblPos val="nextTo"/>
        <c:crossAx val="1999201919"/>
        <c:crosses val="autoZero"/>
        <c:crossBetween val="between"/>
      </c:valAx>
      <c:spPr>
        <a:noFill/>
        <a:ln w="25400">
          <a:noFill/>
        </a:ln>
      </c:spPr>
    </c:plotArea>
    <c:plotVisOnly val="1"/>
    <c:dispBlanksAs val="gap"/>
    <c:showDLblsOverMax val="0"/>
    <c:extLst/>
  </c:chart>
  <c:spPr>
    <a:solidFill>
      <a:schemeClr val="bg1"/>
    </a:solidFill>
    <a:effectLst>
      <a:glow rad="139700">
        <a:schemeClr val="accent2">
          <a:lumMod val="20000"/>
          <a:lumOff val="80000"/>
          <a:alpha val="40000"/>
        </a:schemeClr>
      </a:glow>
      <a:outerShdw blurRad="50800" dist="38100" dir="13500000" algn="br" rotWithShape="0">
        <a:prstClr val="black">
          <a:alpha val="40000"/>
        </a:prstClr>
      </a:outerShdw>
      <a:softEdge rad="50800"/>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148772</xdr:colOff>
      <xdr:row>5</xdr:row>
      <xdr:rowOff>38619</xdr:rowOff>
    </xdr:from>
    <xdr:to>
      <xdr:col>6</xdr:col>
      <xdr:colOff>148772</xdr:colOff>
      <xdr:row>17</xdr:row>
      <xdr:rowOff>103414</xdr:rowOff>
    </xdr:to>
    <mc:AlternateContent xmlns:mc="http://schemas.openxmlformats.org/markup-compatibility/2006" xmlns:a14="http://schemas.microsoft.com/office/drawing/2010/main">
      <mc:Choice Requires="a14">
        <xdr:graphicFrame macro="">
          <xdr:nvGraphicFramePr>
            <xdr:cNvPr id="12" name="AirLine_Name">
              <a:extLst>
                <a:ext uri="{FF2B5EF4-FFF2-40B4-BE49-F238E27FC236}">
                  <a16:creationId xmlns:a16="http://schemas.microsoft.com/office/drawing/2014/main" id="{4E82AC39-C37D-BA1B-8EE8-19C836A2D96D}"/>
                </a:ext>
              </a:extLst>
            </xdr:cNvPr>
            <xdr:cNvGraphicFramePr/>
          </xdr:nvGraphicFramePr>
          <xdr:xfrm>
            <a:off x="0" y="0"/>
            <a:ext cx="0" cy="0"/>
          </xdr:xfrm>
          <a:graphic>
            <a:graphicData uri="http://schemas.microsoft.com/office/drawing/2010/slicer">
              <sle:slicer xmlns:sle="http://schemas.microsoft.com/office/drawing/2010/slicer" name="AirLine_Name"/>
            </a:graphicData>
          </a:graphic>
        </xdr:graphicFrame>
      </mc:Choice>
      <mc:Fallback xmlns="">
        <xdr:sp macro="" textlink="">
          <xdr:nvSpPr>
            <xdr:cNvPr id="0" name=""/>
            <xdr:cNvSpPr>
              <a:spLocks noTextEdit="1"/>
            </xdr:cNvSpPr>
          </xdr:nvSpPr>
          <xdr:spPr>
            <a:xfrm>
              <a:off x="148772" y="952634"/>
              <a:ext cx="3030682" cy="2258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71923</xdr:colOff>
      <xdr:row>18</xdr:row>
      <xdr:rowOff>136070</xdr:rowOff>
    </xdr:from>
    <xdr:to>
      <xdr:col>23</xdr:col>
      <xdr:colOff>279269</xdr:colOff>
      <xdr:row>36</xdr:row>
      <xdr:rowOff>90713</xdr:rowOff>
    </xdr:to>
    <xdr:graphicFrame macro="">
      <xdr:nvGraphicFramePr>
        <xdr:cNvPr id="13" name="Chart 12">
          <a:extLst>
            <a:ext uri="{FF2B5EF4-FFF2-40B4-BE49-F238E27FC236}">
              <a16:creationId xmlns:a16="http://schemas.microsoft.com/office/drawing/2014/main" id="{52F3BD04-D262-41CD-AAFE-C53379CB7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292748</xdr:colOff>
      <xdr:row>5</xdr:row>
      <xdr:rowOff>69850</xdr:rowOff>
    </xdr:from>
    <xdr:to>
      <xdr:col>23</xdr:col>
      <xdr:colOff>279269</xdr:colOff>
      <xdr:row>18</xdr:row>
      <xdr:rowOff>85529</xdr:rowOff>
    </xdr:to>
    <xdr:graphicFrame macro="">
      <xdr:nvGraphicFramePr>
        <xdr:cNvPr id="5" name="Chart 4">
          <a:extLst>
            <a:ext uri="{FF2B5EF4-FFF2-40B4-BE49-F238E27FC236}">
              <a16:creationId xmlns:a16="http://schemas.microsoft.com/office/drawing/2014/main" id="{1671946A-11D2-4E52-AE01-98488CD85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171837</xdr:rowOff>
    </xdr:from>
    <xdr:to>
      <xdr:col>7</xdr:col>
      <xdr:colOff>989822</xdr:colOff>
      <xdr:row>36</xdr:row>
      <xdr:rowOff>61683</xdr:rowOff>
    </xdr:to>
    <xdr:graphicFrame macro="">
      <xdr:nvGraphicFramePr>
        <xdr:cNvPr id="7" name="Chart 6">
          <a:extLst>
            <a:ext uri="{FF2B5EF4-FFF2-40B4-BE49-F238E27FC236}">
              <a16:creationId xmlns:a16="http://schemas.microsoft.com/office/drawing/2014/main" id="{B853E48E-5EF2-456F-A0AA-933874780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51837</xdr:colOff>
      <xdr:row>18</xdr:row>
      <xdr:rowOff>155120</xdr:rowOff>
    </xdr:from>
    <xdr:to>
      <xdr:col>15</xdr:col>
      <xdr:colOff>596122</xdr:colOff>
      <xdr:row>36</xdr:row>
      <xdr:rowOff>61683</xdr:rowOff>
    </xdr:to>
    <xdr:graphicFrame macro="">
      <xdr:nvGraphicFramePr>
        <xdr:cNvPr id="8" name="Chart 7">
          <a:extLst>
            <a:ext uri="{FF2B5EF4-FFF2-40B4-BE49-F238E27FC236}">
              <a16:creationId xmlns:a16="http://schemas.microsoft.com/office/drawing/2014/main" id="{BF651751-8D6B-49B2-9225-354F8B1FE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438149</xdr:colOff>
      <xdr:row>12</xdr:row>
      <xdr:rowOff>0</xdr:rowOff>
    </xdr:from>
    <xdr:to>
      <xdr:col>13</xdr:col>
      <xdr:colOff>117798</xdr:colOff>
      <xdr:row>18</xdr:row>
      <xdr:rowOff>0</xdr:rowOff>
    </xdr:to>
    <xdr:sp macro="" textlink="">
      <xdr:nvSpPr>
        <xdr:cNvPr id="9" name="Rectangle 8">
          <a:extLst>
            <a:ext uri="{FF2B5EF4-FFF2-40B4-BE49-F238E27FC236}">
              <a16:creationId xmlns:a16="http://schemas.microsoft.com/office/drawing/2014/main" id="{A0FBE409-F3A1-134B-E14C-0D7E85E38C15}"/>
            </a:ext>
          </a:extLst>
        </xdr:cNvPr>
        <xdr:cNvSpPr/>
      </xdr:nvSpPr>
      <xdr:spPr>
        <a:xfrm>
          <a:off x="4092639" y="2177143"/>
          <a:ext cx="3606281" cy="1088571"/>
        </a:xfrm>
        <a:prstGeom prst="rect">
          <a:avLst/>
        </a:prstGeom>
        <a:ln>
          <a:noFill/>
        </a:ln>
        <a:effectLst>
          <a:glow rad="63500">
            <a:schemeClr val="bg1">
              <a:lumMod val="6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a:t>      </a:t>
          </a:r>
          <a:r>
            <a:rPr lang="en-IN" sz="1200"/>
            <a:t>⭐  </a:t>
          </a:r>
          <a:r>
            <a:rPr lang="en-IN" sz="1400" b="1" i="0" u="none" strike="noStrike">
              <a:solidFill>
                <a:srgbClr val="FF6600"/>
              </a:solidFill>
              <a:effectLst/>
              <a:latin typeface="Trebuchet MS" panose="020B0603020202020204" pitchFamily="34" charset="0"/>
              <a:ea typeface="+mn-ea"/>
              <a:cs typeface="+mn-cs"/>
            </a:rPr>
            <a:t>Total Reviews             </a:t>
          </a:r>
          <a:r>
            <a:rPr lang="en-IN" sz="1200" b="1" baseline="0">
              <a:solidFill>
                <a:schemeClr val="tx1"/>
              </a:solidFill>
              <a:latin typeface="Trebuchet MS" panose="020B0603020202020204" pitchFamily="34" charset="0"/>
            </a:rPr>
            <a:t>:</a:t>
          </a:r>
          <a:r>
            <a:rPr lang="en-IN" sz="1200" b="1">
              <a:solidFill>
                <a:schemeClr val="tx1"/>
              </a:solidFill>
              <a:latin typeface="Trebuchet MS" panose="020B0603020202020204" pitchFamily="34" charset="0"/>
            </a:rPr>
            <a:t> </a:t>
          </a:r>
          <a:r>
            <a:rPr lang="en-IN" sz="1200" b="1" baseline="0">
              <a:solidFill>
                <a:schemeClr val="tx1"/>
              </a:solidFill>
              <a:latin typeface="Trebuchet MS" panose="020B0603020202020204" pitchFamily="34" charset="0"/>
            </a:rPr>
            <a:t> </a:t>
          </a:r>
          <a:r>
            <a:rPr lang="en-IN" sz="1600" b="1" i="0" u="none" strike="noStrike">
              <a:solidFill>
                <a:srgbClr val="ED0000"/>
              </a:solidFill>
              <a:effectLst/>
              <a:latin typeface="Trebuchet MS" panose="020B0603020202020204" pitchFamily="34" charset="0"/>
              <a:ea typeface="+mn-ea"/>
              <a:cs typeface="+mn-cs"/>
            </a:rPr>
            <a:t>2206 </a:t>
          </a:r>
          <a:r>
            <a:rPr lang="en-IN" sz="1600" b="1">
              <a:solidFill>
                <a:srgbClr val="ED0000"/>
              </a:solidFill>
              <a:latin typeface="Trebuchet MS" panose="020B0603020202020204" pitchFamily="34" charset="0"/>
            </a:rPr>
            <a:t> </a:t>
          </a:r>
        </a:p>
        <a:p>
          <a:pPr algn="l"/>
          <a:r>
            <a:rPr lang="en-IN" sz="1200" b="1" i="0" u="none" strike="noStrike">
              <a:solidFill>
                <a:srgbClr val="FF6600"/>
              </a:solidFill>
              <a:effectLst/>
              <a:latin typeface="Trebuchet MS" panose="020B0603020202020204" pitchFamily="34" charset="0"/>
              <a:ea typeface="+mn-ea"/>
              <a:cs typeface="+mn-cs"/>
            </a:rPr>
            <a:t>     📊 </a:t>
          </a:r>
          <a:r>
            <a:rPr lang="en-IN" sz="1400" b="1" i="0" u="none" strike="noStrike">
              <a:solidFill>
                <a:srgbClr val="FF6600"/>
              </a:solidFill>
              <a:effectLst/>
              <a:latin typeface="Trebuchet MS" panose="020B0603020202020204" pitchFamily="34" charset="0"/>
              <a:ea typeface="+mn-ea"/>
              <a:cs typeface="+mn-cs"/>
            </a:rPr>
            <a:t>Average Rating           </a:t>
          </a:r>
          <a:r>
            <a:rPr lang="en-IN" sz="1200" b="1">
              <a:solidFill>
                <a:srgbClr val="FF6600"/>
              </a:solidFill>
              <a:latin typeface="Trebuchet MS" panose="020B0603020202020204" pitchFamily="34" charset="0"/>
            </a:rPr>
            <a:t>:  </a:t>
          </a:r>
          <a:r>
            <a:rPr lang="en-IN" sz="1600" b="1" i="0" u="none" strike="noStrike">
              <a:solidFill>
                <a:srgbClr val="ED0000"/>
              </a:solidFill>
              <a:effectLst/>
              <a:latin typeface="Trebuchet MS" panose="020B0603020202020204" pitchFamily="34" charset="0"/>
              <a:ea typeface="+mn-ea"/>
              <a:cs typeface="+mn-cs"/>
            </a:rPr>
            <a:t>4.03</a:t>
          </a:r>
          <a:r>
            <a:rPr lang="en-IN" sz="1200" b="1">
              <a:solidFill>
                <a:srgbClr val="ED0000"/>
              </a:solidFill>
              <a:latin typeface="Trebuchet MS" panose="020B0603020202020204" pitchFamily="34" charset="0"/>
            </a:rPr>
            <a:t> </a:t>
          </a:r>
          <a:endParaRPr lang="en-IN" sz="1200" b="1" i="0" u="none" strike="noStrike">
            <a:solidFill>
              <a:srgbClr val="ED0000"/>
            </a:solidFill>
            <a:effectLst/>
            <a:latin typeface="Trebuchet MS" panose="020B0603020202020204" pitchFamily="34" charset="0"/>
            <a:ea typeface="+mn-ea"/>
            <a:cs typeface="+mn-cs"/>
          </a:endParaRPr>
        </a:p>
        <a:p>
          <a:pPr algn="l"/>
          <a:r>
            <a:rPr lang="en-IN" sz="1200" b="1" i="0" u="none" strike="noStrike">
              <a:solidFill>
                <a:srgbClr val="FF6600"/>
              </a:solidFill>
              <a:effectLst/>
              <a:latin typeface="Trebuchet MS" panose="020B0603020202020204" pitchFamily="34" charset="0"/>
              <a:ea typeface="+mn-ea"/>
              <a:cs typeface="+mn-cs"/>
            </a:rPr>
            <a:t>     ✅ </a:t>
          </a:r>
          <a:r>
            <a:rPr lang="en-IN" sz="1400" b="1" i="0" u="none" strike="noStrike">
              <a:solidFill>
                <a:srgbClr val="FF6600"/>
              </a:solidFill>
              <a:effectLst/>
              <a:latin typeface="Trebuchet MS" panose="020B0603020202020204" pitchFamily="34" charset="0"/>
              <a:ea typeface="+mn-ea"/>
              <a:cs typeface="+mn-cs"/>
            </a:rPr>
            <a:t>Recommended</a:t>
          </a:r>
          <a:r>
            <a:rPr lang="en-IN" sz="1200" b="1">
              <a:solidFill>
                <a:srgbClr val="FF6600"/>
              </a:solidFill>
              <a:latin typeface="Trebuchet MS" panose="020B0603020202020204" pitchFamily="34" charset="0"/>
            </a:rPr>
            <a:t>              :</a:t>
          </a:r>
          <a:r>
            <a:rPr lang="en-IN" sz="1200" b="1" baseline="0">
              <a:solidFill>
                <a:srgbClr val="FF6600"/>
              </a:solidFill>
              <a:latin typeface="Trebuchet MS" panose="020B0603020202020204" pitchFamily="34" charset="0"/>
            </a:rPr>
            <a:t>  </a:t>
          </a:r>
          <a:r>
            <a:rPr lang="en-IN" sz="1600" b="1" i="0" u="none" strike="noStrike" baseline="0">
              <a:solidFill>
                <a:srgbClr val="ED0000"/>
              </a:solidFill>
              <a:effectLst/>
              <a:latin typeface="Trebuchet MS" panose="020B0603020202020204" pitchFamily="34" charset="0"/>
              <a:ea typeface="+mn-ea"/>
              <a:cs typeface="+mn-cs"/>
            </a:rPr>
            <a:t>66 </a:t>
          </a:r>
          <a:r>
            <a:rPr lang="en-IN" sz="1600" b="1" i="0" u="none" strike="noStrike">
              <a:solidFill>
                <a:srgbClr val="ED0000"/>
              </a:solidFill>
              <a:effectLst/>
              <a:latin typeface="Trebuchet MS" panose="020B0603020202020204" pitchFamily="34" charset="0"/>
              <a:ea typeface="+mn-ea"/>
              <a:cs typeface="+mn-cs"/>
            </a:rPr>
            <a:t>% </a:t>
          </a:r>
        </a:p>
        <a:p>
          <a:pPr algn="l"/>
          <a:r>
            <a:rPr lang="en-IN" sz="1200" b="1" i="0" u="none" strike="noStrike">
              <a:solidFill>
                <a:srgbClr val="FF6600"/>
              </a:solidFill>
              <a:effectLst/>
              <a:latin typeface="Trebuchet MS" panose="020B0603020202020204" pitchFamily="34" charset="0"/>
              <a:ea typeface="+mn-ea"/>
              <a:cs typeface="+mn-cs"/>
            </a:rPr>
            <a:t>    </a:t>
          </a:r>
          <a:r>
            <a:rPr lang="en-IN" sz="1200" b="1">
              <a:solidFill>
                <a:srgbClr val="FF6600"/>
              </a:solidFill>
              <a:latin typeface="Trebuchet MS" panose="020B0603020202020204" pitchFamily="34" charset="0"/>
            </a:rPr>
            <a:t> 🏆 </a:t>
          </a:r>
          <a:r>
            <a:rPr lang="en-IN" sz="1400" b="1" i="0" u="none" strike="noStrike">
              <a:solidFill>
                <a:srgbClr val="FF6600"/>
              </a:solidFill>
              <a:effectLst/>
              <a:latin typeface="Trebuchet MS" panose="020B0603020202020204" pitchFamily="34" charset="0"/>
              <a:ea typeface="+mn-ea"/>
              <a:cs typeface="+mn-cs"/>
            </a:rPr>
            <a:t>Top Rated Airline</a:t>
          </a:r>
          <a:r>
            <a:rPr lang="en-IN" sz="1400" b="1">
              <a:solidFill>
                <a:srgbClr val="FF6600"/>
              </a:solidFill>
              <a:latin typeface="Trebuchet MS" panose="020B0603020202020204" pitchFamily="34" charset="0"/>
            </a:rPr>
            <a:t>       </a:t>
          </a:r>
          <a:r>
            <a:rPr lang="en-IN" sz="1200" b="1">
              <a:solidFill>
                <a:srgbClr val="ED0000"/>
              </a:solidFill>
              <a:latin typeface="Trebuchet MS" panose="020B0603020202020204" pitchFamily="34" charset="0"/>
            </a:rPr>
            <a:t>:  </a:t>
          </a:r>
          <a:r>
            <a:rPr lang="en-IN" sz="1600" b="1" i="0" u="none" strike="noStrike">
              <a:solidFill>
                <a:srgbClr val="ED0000"/>
              </a:solidFill>
              <a:effectLst/>
              <a:latin typeface="Trebuchet MS" panose="020B0603020202020204" pitchFamily="34" charset="0"/>
              <a:ea typeface="+mn-ea"/>
              <a:cs typeface="+mn-cs"/>
            </a:rPr>
            <a:t>Vistara</a:t>
          </a:r>
          <a:r>
            <a:rPr lang="en-IN" sz="1200" b="1">
              <a:solidFill>
                <a:srgbClr val="ED0000"/>
              </a:solidFill>
              <a:latin typeface="Trebuchet MS" panose="020B0603020202020204" pitchFamily="34" charset="0"/>
            </a:rPr>
            <a:t>    </a:t>
          </a:r>
        </a:p>
      </xdr:txBody>
    </xdr:sp>
    <xdr:clientData/>
  </xdr:twoCellAnchor>
  <xdr:twoCellAnchor editAs="oneCell">
    <xdr:from>
      <xdr:col>7</xdr:col>
      <xdr:colOff>438150</xdr:colOff>
      <xdr:row>5</xdr:row>
      <xdr:rowOff>11405</xdr:rowOff>
    </xdr:from>
    <xdr:to>
      <xdr:col>13</xdr:col>
      <xdr:colOff>140750</xdr:colOff>
      <xdr:row>10</xdr:row>
      <xdr:rowOff>177800</xdr:rowOff>
    </xdr:to>
    <xdr:pic>
      <xdr:nvPicPr>
        <xdr:cNvPr id="14" name="Picture 13">
          <a:extLst>
            <a:ext uri="{FF2B5EF4-FFF2-40B4-BE49-F238E27FC236}">
              <a16:creationId xmlns:a16="http://schemas.microsoft.com/office/drawing/2014/main" id="{31C92570-648C-D647-7743-8E49563EAB8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092640" y="918548"/>
          <a:ext cx="3774750" cy="1073538"/>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xdr:from>
      <xdr:col>5</xdr:col>
      <xdr:colOff>598715</xdr:colOff>
      <xdr:row>1</xdr:row>
      <xdr:rowOff>0</xdr:rowOff>
    </xdr:from>
    <xdr:to>
      <xdr:col>18</xdr:col>
      <xdr:colOff>598715</xdr:colOff>
      <xdr:row>3</xdr:row>
      <xdr:rowOff>0</xdr:rowOff>
    </xdr:to>
    <xdr:sp macro="" textlink="">
      <xdr:nvSpPr>
        <xdr:cNvPr id="15" name="TextBox 14">
          <a:extLst>
            <a:ext uri="{FF2B5EF4-FFF2-40B4-BE49-F238E27FC236}">
              <a16:creationId xmlns:a16="http://schemas.microsoft.com/office/drawing/2014/main" id="{9C6D9ED5-117E-A420-BE9B-F567D9D26B75}"/>
            </a:ext>
          </a:extLst>
        </xdr:cNvPr>
        <xdr:cNvSpPr txBox="1"/>
      </xdr:nvSpPr>
      <xdr:spPr>
        <a:xfrm>
          <a:off x="3029858" y="181429"/>
          <a:ext cx="8309428" cy="362857"/>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FF0000"/>
              </a:solidFill>
              <a:latin typeface="Trebuchet MS" panose="020B0603020202020204" pitchFamily="34" charset="0"/>
            </a:rPr>
            <a:t>Indian Airline Customer Feedback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ranjithkumar" refreshedDate="45834.893797800927" createdVersion="8" refreshedVersion="8" minRefreshableVersion="3" recordCount="2210" xr:uid="{6951390C-09E1-4801-BAAC-D4A0481F701F}">
  <cacheSource type="worksheet">
    <worksheetSource ref="A1:J2211" sheet="Indian Airlane "/>
  </cacheSource>
  <cacheFields count="10">
    <cacheField name="AirLine_Name" numFmtId="0">
      <sharedItems/>
    </cacheField>
    <cacheField name="Rating" numFmtId="0">
      <sharedItems containsString="0" containsBlank="1" containsNumber="1" containsInteger="1" minValue="1" maxValue="10"/>
    </cacheField>
    <cacheField name="Review Type" numFmtId="0">
      <sharedItems count="3">
        <s v="Neutral"/>
        <s v="Bad"/>
        <s v="Good"/>
      </sharedItems>
    </cacheField>
    <cacheField name="Title" numFmtId="0">
      <sharedItems/>
    </cacheField>
    <cacheField name="Name" numFmtId="0">
      <sharedItems count="2051">
        <s v="V Bakshi"/>
        <s v="G Oscar"/>
        <s v="Rahul Verma"/>
        <s v="G Akron"/>
        <s v="Sirajudeen Jawahar ali"/>
        <s v="Arpita Chatterjee"/>
        <s v="Sharayu Parab"/>
        <s v="N Padesh"/>
        <s v="V Krishnan"/>
        <s v="Kartika Rai"/>
        <s v="S Haraye"/>
        <s v="J Verlin"/>
        <s v="Rahul Anand"/>
        <s v="Ankur Arora"/>
        <s v="S Jarmeer"/>
        <s v="R Majesa"/>
        <s v="N Barun"/>
        <s v="Amit Das"/>
        <s v="Kinshuk Kumar"/>
        <s v="Hashokmi Kamkara"/>
        <s v="S Hanecas"/>
        <s v="D Jasana"/>
        <s v="S Payal"/>
        <s v="Pooja Bisht"/>
        <s v="R Vanush"/>
        <s v="Ravi Chithajhallu"/>
        <s v="Saurav Kumar"/>
        <s v="Madhavi Mishra"/>
        <s v="Swati Pandey"/>
        <s v="Chinmay Deshpande"/>
        <s v="N Tharkude"/>
        <s v="K Laghari"/>
        <s v="C Halchar"/>
        <s v="Arunima Singh"/>
        <s v="H Shavun"/>
        <s v="Sayandip Ghosh"/>
        <s v="S Shavun"/>
        <s v="M Maltafan"/>
        <s v="S Marpati"/>
        <s v="Y Hardikar"/>
        <s v="Snehitha Vundi"/>
        <s v="Nilesh Singh"/>
        <s v="V Agarwal"/>
        <s v="Deeksha Rajpoot"/>
        <s v="V Purna"/>
        <s v="Divya Garg"/>
        <s v="K Khan"/>
        <s v="Vimi Raikhan"/>
        <s v="Santosh Battepati"/>
        <s v="Swastika Gurung"/>
        <s v="Ankit Gautam"/>
        <s v="Sakshi Chandwani"/>
        <s v="R K Shrivastaw"/>
        <s v="Deepak Dahale"/>
        <s v="Manpreet Kaur"/>
        <s v="S Snehil"/>
        <s v="Ganesh Radhakrishnan"/>
        <s v="Naushaad Ginwalla"/>
        <s v="Shakeel Bakshi"/>
        <s v="R Vashun"/>
        <s v="Praveen Elavarasan"/>
        <s v="Kulwinder Deol"/>
        <s v="Anamika Singh"/>
        <s v="L Shamali"/>
        <s v="M Weares"/>
        <s v="PBahalli"/>
        <s v="R Hashini"/>
        <s v="Shudhanshu Shekhar"/>
        <s v="G Ranil"/>
        <s v="Sarita Shetty"/>
        <s v="G Reddy"/>
        <s v="Deepapriya Vishwanathan"/>
        <s v="Basavaraj Bagewadi"/>
        <s v="R Manirya"/>
        <s v="D Bahnav"/>
        <s v="Nikhil Menon"/>
        <s v="Johnu Marattil"/>
        <s v="A Danyan"/>
        <s v="G Yoyo"/>
        <s v="A Sharawisha"/>
        <s v="Jyoti Prakash Nanda"/>
        <s v="K Reddy"/>
        <s v="R Prakasa"/>
        <s v="Soumik Dam"/>
        <s v="Priya Basaiawmoit"/>
        <s v="Rishad Patell"/>
        <s v="Chandni Biju"/>
        <s v="Vivek Kumar"/>
        <s v="M Kalesima"/>
        <s v="Prachi Rajpuria"/>
        <s v="R Barishi"/>
        <s v="James Koruthu"/>
        <s v="P Adan"/>
        <s v="R Tharjit"/>
        <s v="S Kantarya"/>
        <s v="R Chandry"/>
        <s v="Vivek Pal"/>
        <s v="Sandhya Mungara"/>
        <s v="Sayuj Jaganath"/>
        <s v="Deepak Kurumoju"/>
        <s v="S Sahi"/>
        <s v="J Dimutta"/>
        <s v="Subhradeep Kanjilal"/>
        <s v="V Harante"/>
        <s v="P Priyadarshi"/>
        <s v="S Kamani"/>
        <s v="Sushree Bishwal"/>
        <s v="S Bamistry"/>
        <s v="Rajasekhar Tolety"/>
        <s v="L Vishakha"/>
        <s v="Arpit Narang"/>
        <s v="Midhun Biju"/>
        <s v="A Sudita"/>
        <s v="R Jain"/>
        <s v="Dinesh Arora"/>
        <s v="S Mohan"/>
        <s v="Hemanth Uppada"/>
        <s v="T Reddy"/>
        <s v="Joshua Heath"/>
        <s v="Alex Simion"/>
        <s v="Mahesh Sharma"/>
        <s v="Meenakshi Shrivastava"/>
        <s v="Harpreet Kaur"/>
        <s v="Mahesh Reddy"/>
        <s v="Negine Vatani"/>
        <s v="Amit Sood"/>
        <s v="P Cooper"/>
        <s v="J Morten"/>
        <s v="P Hashel"/>
        <s v="Jean-Claude Albrecht"/>
        <s v="J Vogelmann"/>
        <s v="Dilip Kumar"/>
        <s v="Vihar Deshpande"/>
        <s v="N Hashun"/>
        <s v="Chandan Prakash"/>
        <s v="M Sharp"/>
        <s v="R Maltin"/>
        <s v="N Vankash"/>
        <s v="Tanmoy Mukherjee"/>
        <s v="Seema Malik"/>
        <s v="Sharika Qureshi"/>
        <s v="T Garmina"/>
        <s v="N Darten"/>
        <s v="Johanna Gomez"/>
        <s v="C Ranaja"/>
        <s v="Noel Francis Lukwaro"/>
        <s v="Ashna John"/>
        <s v="J Horsman"/>
        <s v="Devinder Pal Singh"/>
        <s v="Varun Pasricha"/>
        <s v="Gursharan Chhabra"/>
        <s v="J McCarthy"/>
        <s v="Eb Binney"/>
        <s v="Birendra Chaudhary"/>
        <s v="Nitin, Timsi Malhotra"/>
        <s v="A Edmondson"/>
        <s v="D Parsham"/>
        <s v="Dan Leffler"/>
        <s v="Puneet Dua"/>
        <s v="P Kamardan"/>
        <s v="Kunal Sood"/>
        <s v="K Vydehi"/>
        <s v="R Hashali"/>
        <s v="R Ramalakshman"/>
        <s v="S Leety"/>
        <s v="Gautam Chakraborty"/>
        <s v="M Manos"/>
        <s v="E Lameyre"/>
        <s v="K Rai"/>
        <s v="Manju Chandran"/>
        <s v="Sreejith Pillai"/>
        <s v="O Shaw"/>
        <s v="R Parjun"/>
        <s v="Chris Dangelo"/>
        <s v="S Ram"/>
        <s v="Aniruddha Agnihotri"/>
        <s v="Shivani Bhandari"/>
        <s v="S Maybu"/>
        <s v="Sam Reed"/>
        <s v="N Harsun"/>
        <s v="Alok Mishra"/>
        <s v="Maya Koren Kofman"/>
        <s v="S Furman"/>
        <s v="Sallie Palanivel"/>
        <s v="H Varsun"/>
        <s v="N Marten"/>
        <s v="Rajiv Jaggi"/>
        <s v="Nakul Sharma"/>
        <s v="O Norris"/>
        <s v="G Purvat"/>
        <s v="Richard Samra"/>
        <s v="V Harsun"/>
        <s v="G Halden"/>
        <s v="S Lansali"/>
        <s v="R Garjen"/>
        <s v="S Hartens"/>
        <s v="Jitendra Prasad"/>
        <s v="B Paneyas"/>
        <s v="Gulmira Chamoli"/>
        <s v="Usha Nair"/>
        <s v="K Cheung"/>
        <s v="Nidhi Nigam"/>
        <s v="Alex Parvati"/>
        <s v="Anjana Dhrestha"/>
        <s v="Kishor Bhattarai"/>
        <s v="B Hanullar"/>
        <s v="R Davidson"/>
        <s v="T Parshi"/>
        <s v="G Halat"/>
        <s v="Sven Olsson"/>
        <s v="Simran Singh"/>
        <s v="V Agrawl"/>
        <s v="A Dunand"/>
        <s v="D Haysan"/>
        <s v="Pankaj Mandhyan"/>
        <s v="J Lane"/>
        <s v="Gurjot Singh"/>
        <s v="Mohammed Imran Ameer Amza"/>
        <s v="Akshay Jain"/>
        <s v="Maduri Asokan"/>
        <s v="P Reddy"/>
        <s v="N Harsul"/>
        <s v="Sanjay Deshmukh"/>
        <s v="L Han"/>
        <s v="D Kadin"/>
        <s v="B Kadin"/>
        <s v="Umesh Sharma"/>
        <s v="Daniel Miles"/>
        <s v="Sukhbir Bolina"/>
        <s v="Gauri Shetty"/>
        <s v="S Walden"/>
        <s v="Rav Dan"/>
        <s v="D Marshan"/>
        <s v="A Passi"/>
        <s v="Prasad Vinnakota"/>
        <s v="Amar Yadav"/>
        <s v="Prathamesh Pradhan"/>
        <s v="Christian Metcalf"/>
        <s v="D Reddy"/>
        <s v="A Kaushik"/>
        <s v="Keshav Baral"/>
        <s v="Puja Bhowmick"/>
        <s v="H Hashimur"/>
        <s v="Bhawana Thaker"/>
        <s v="V Mehta"/>
        <s v="Mercy Manjaly"/>
        <s v="Oliver Vavro"/>
        <s v="N Malhotra"/>
        <s v="Surinder Gandhi"/>
        <s v="Radhakrishnan Nair"/>
        <s v="Russell Huntington"/>
        <s v="C Cherry Modi Saraogi"/>
        <s v="V Reddy"/>
        <s v="S Gavenka"/>
        <s v="Lakshmi Kudalore"/>
        <s v="K Singh"/>
        <s v="Rajiv Patel"/>
        <s v="Kaminiben Joshi"/>
        <s v="Pravesh Dhanola"/>
        <s v="S Jaival"/>
        <s v="J Latshi"/>
        <s v="M Kulkarni"/>
        <s v="S Harjeet"/>
        <s v="S Singh"/>
        <s v="Saurabh Wahal"/>
        <s v="Ravinder Kaur"/>
        <s v="Prachi Keemtani"/>
        <s v="Deepak Sharma"/>
        <s v="N Panir"/>
        <s v="Johnâ€‹ Arnold"/>
        <s v="Harjinder Singh"/>
        <s v="Hallie Flappie"/>
        <s v="Vijaya Duvvuri"/>
        <s v="C Janjua"/>
        <s v="Sanjeev Bhakri"/>
        <s v="Mike Law"/>
        <s v="P Ranya"/>
        <s v="R Sharma"/>
        <s v="Partha Chakraborty"/>
        <s v="Shriram Tari"/>
        <s v="Jayesh Iyer"/>
        <s v="Yechezkel Kashi"/>
        <s v="Jaspreet kaur"/>
        <s v="S Lenton"/>
        <s v="R Marden"/>
        <s v="Srijan Thapa"/>
        <s v="Shaista Tabassum"/>
        <s v="Maureen Dinkins"/>
        <s v="Barak Tunta"/>
        <s v="Muhammed Shefeek"/>
        <s v="Gagandeep Gupta"/>
        <s v="Kavitaba Zala"/>
        <s v="H Adersh"/>
        <s v="Manjeet Singh"/>
        <s v="Anil Singhal"/>
        <s v="Stuart Allen"/>
        <s v="Haresh Sonar"/>
        <s v="Marie Strydom"/>
        <s v="Rajveer Kaur"/>
        <s v="Ronen Gilady"/>
        <s v="Gurpreet Kumar"/>
        <s v="Rajesh Nagar"/>
        <s v="M Benn"/>
        <s v="S Marton"/>
        <s v="D Keale"/>
        <s v="S Mangen"/>
        <s v="C Paldano"/>
        <s v="Jeppe Juel Dam Sorensen"/>
        <s v="B Watani"/>
        <s v="S Sunila"/>
        <s v="Simon Taylor"/>
        <s v="Rohit Kaushal"/>
        <s v="Ann Benny Alackal"/>
        <s v="R Singh"/>
        <s v="S Sethi"/>
        <s v="Ashish Varun"/>
        <s v="Nicola Mazzucchelli"/>
        <s v="H Harmeenan"/>
        <s v="valentine Beatini"/>
        <s v="S Jensen"/>
        <s v="S Hashun"/>
        <s v="Radha Rani"/>
        <s v="S Halkash"/>
        <s v="N Reddy"/>
        <s v="G Madeva"/>
        <s v="Pavan Isekella"/>
        <s v="Jenson Colaco"/>
        <s v="Sufi Azman"/>
        <s v="Sherin Mathew"/>
        <s v="T Sharma"/>
        <s v="Mohamed Ashrafali"/>
        <s v="S Patil"/>
        <s v="Mathew Joseph"/>
        <s v="Dhaval Parikh"/>
        <s v="Sameer Vohra"/>
        <s v="AP Pandey"/>
        <s v="Bikash Chakraborty"/>
        <s v="S Payrdus"/>
        <s v="J Thanilake"/>
        <s v="G Varsha"/>
        <s v="Hemant Bhadana"/>
        <s v="Abhishek Raj"/>
        <s v="Vishesh Madan"/>
        <s v="Shashi Raj"/>
        <s v="H Norton"/>
        <s v="Namitha Jasmin"/>
        <s v="Neha Sharma"/>
        <s v="M Fathima"/>
        <s v="Aditya Arvandekar"/>
        <s v="Ashhar Khan"/>
        <s v="Omar Abdul Jabbar"/>
        <s v="Rahul Nadkarni"/>
        <s v="AP Ramachandran"/>
        <s v="Anand Ramachandran"/>
        <s v="J Palanaya"/>
        <s v="Aditya Ramakrishnan"/>
        <s v="Gayan Kanchana Gunathunga"/>
        <s v="S Hamish"/>
        <s v="Amarjit Kaur"/>
        <s v="Mani Yerragudi"/>
        <s v="S Vashun"/>
        <s v="Abhay Sharma"/>
        <s v="Chanuka Wettasinghe"/>
        <s v="Kuldeep Sharma"/>
        <s v="M Herkatar"/>
        <s v="Vindhya Hegde"/>
        <s v="S Mansall"/>
        <s v="Uthra Subramanian"/>
        <s v="A Harnasha"/>
        <s v="Nisarg Gajera"/>
        <s v="Intan Nurhati"/>
        <s v="Lakshmi Shree"/>
        <s v="Jennifer Almeida"/>
        <s v="M More"/>
        <s v="shelly chauhan"/>
        <s v="Manoj Badgujar"/>
        <s v="Richard Baker"/>
        <s v="Glenn McGee"/>
        <s v="Zulfiquar Babu"/>
        <s v="N Karinder"/>
        <s v="Pradip Goswami"/>
        <s v="Bakthisaran Elanagar Rangamani"/>
        <s v="Malvica Dsouza"/>
        <s v="T Hanewardana"/>
        <s v="A Singh"/>
        <s v="R Hatton"/>
        <s v="Pooja Chawla"/>
        <s v="Audrey Jacob"/>
        <s v="R Dawson"/>
        <s v="Narendrakumar Patel"/>
        <s v="Prathyusha Bhupathi"/>
        <s v="John Roder"/>
        <s v="N Kalamaran"/>
        <s v="Karishma Chandiramani"/>
        <s v="Britti Paudyal"/>
        <s v="Ravi Srinivas"/>
        <s v="Uminder Malhi"/>
        <s v="D Agar"/>
        <s v="Abhinav Singh"/>
        <s v="Gabriel Kamtam"/>
        <s v="K Hanish"/>
        <s v="Ashok Rastogi"/>
        <s v="D Paneel"/>
        <s v="Aditi Gaba"/>
        <s v="Dipangshu Basu Chaudhuri"/>
        <s v="Rahul Habbu"/>
        <s v="Abhishek Roy"/>
        <s v="Shanthanu Naidu"/>
        <s v="Naresh Nerma"/>
        <s v="Mukesh Maddala"/>
        <s v="Beverly Gordon"/>
        <s v="Lee Benbow"/>
        <s v="Ravikaran Pilli"/>
        <s v="Harmanjot Kaur"/>
        <s v="Sutirtha Chowdhury"/>
        <s v="Anurag Yadav"/>
        <s v="Suhas Kamble"/>
        <s v="S Harjesh"/>
        <s v="Harshit Agarwal"/>
        <s v="Neeraj Jaggi"/>
        <s v="Sami Saghie"/>
        <s v="Abhishek Shetty"/>
        <s v="Swadha Vaid"/>
        <s v="S Jaylani"/>
        <s v="S Hayana"/>
        <s v="R Barton"/>
        <s v="Marina Rodrigues"/>
        <s v="C Ganapathy"/>
        <s v="A Kaldan"/>
        <s v="V Abbas"/>
        <s v="Cajetain Sequeira"/>
        <s v="S Parun"/>
        <s v="D Paria"/>
        <s v="M Wakade"/>
        <s v="Smriti Walia"/>
        <s v="Rajiv Rajpal"/>
        <s v="Pratibha Garewal"/>
        <s v="F Andrews"/>
        <s v="T Kole"/>
        <s v="Arun Sharma"/>
        <s v="Inderpreet Singh"/>
        <s v="Manpreet Singh"/>
        <s v="Nishant Koladiya"/>
        <s v="Sandeep Gill"/>
        <s v="E Valha"/>
        <s v="Prathima Raghava"/>
        <s v="R Panyat"/>
        <s v="H Rupareliya"/>
        <s v="Rajasekhara Reddy"/>
        <s v="Shekhar Purohit"/>
        <s v="S Patel"/>
        <s v="R Bardin"/>
        <s v="L Kajeluk"/>
        <s v="T Pelton"/>
        <s v="T Norton"/>
        <s v="J Halmas"/>
        <s v="S Hadkir"/>
        <s v="Sharad Sapra"/>
        <s v="L Dalkur"/>
        <s v="E Marsam"/>
        <s v="Prerna Arora"/>
        <s v="A Nalikan"/>
        <s v="Sagel Patel"/>
        <s v="Gargi Mankame"/>
        <s v="N Shantar"/>
        <s v="Sana Patel"/>
        <s v="Rameez Qamar"/>
        <s v="Venkata Gudlavalleti"/>
        <s v="Pratishthit Chauhan"/>
        <s v="Pavani Vellal"/>
        <s v="S Garner"/>
        <s v="Kunaal Patel"/>
        <s v="S Marzon"/>
        <s v="J Landon"/>
        <s v="Ronak Gani"/>
        <s v="V Agar"/>
        <s v="A Reddy"/>
        <s v="Brian Dahl"/>
        <s v="Shareek Singh"/>
        <s v="Parul Jain"/>
        <s v="Parvinder Sidhu"/>
        <s v="C Tan"/>
        <s v="Jagdeesh Singh Dhaliwal"/>
        <s v="Khajuria Aseem"/>
        <s v="P Tayel"/>
        <s v="K Gupta"/>
        <s v="J Thornton"/>
        <s v="M Harsin"/>
        <s v="S Sharma"/>
        <s v="Paras Garg"/>
        <s v="M Gupta"/>
        <s v="Harjit Dhaliwal"/>
        <s v="V Atwal"/>
        <s v="Venkitarayan Pallipuram"/>
        <s v="Ramapati Singhania"/>
        <s v="Agnes Chadi"/>
        <s v="Mary Jones"/>
        <s v="Lalita Basra"/>
        <s v="Simi Seth"/>
        <s v="Anand David Chelliah"/>
        <s v="J Basan"/>
        <s v="Shovan Das"/>
        <s v="G Patush"/>
        <s v="G Masindra"/>
        <s v="T Gayal"/>
        <s v="S Shubham"/>
        <s v="H Gardav"/>
        <s v="Reena Makkar"/>
        <s v="Nikhil Jasrotia"/>
        <s v="V Jaydel"/>
        <s v="Jyoti Nair"/>
        <s v="Vivek Anand"/>
        <s v="R Hasin"/>
        <s v="Vamshi Krishnan"/>
        <s v="Advay Biswal"/>
        <s v="N Shavun"/>
        <s v="Jen Thomas"/>
        <s v="Hussain Lokhandwala"/>
        <s v="Harjinder Bamrah"/>
        <s v="Sahil Malhotra"/>
        <s v="Sridhar Makkena"/>
        <s v="Alpa Gandhi"/>
        <s v="Akhilesh Joshi"/>
        <s v="Amit Kumar Sanghi"/>
        <s v="D Vargalli"/>
        <s v="R Marbini"/>
        <s v="D Baji"/>
        <s v="Prashaant Chaudhry"/>
        <s v="Sampath Kunta"/>
        <s v="Tania Sharma"/>
        <s v="Bobby Nair"/>
        <s v="Azizuddin Mohammed"/>
        <s v="Mark Wilhite"/>
        <s v="Deepesh Ganguli"/>
        <s v="K Ankur"/>
        <s v="S Harmaj"/>
        <s v="R Gauran"/>
        <s v="S Meeta"/>
        <s v="Coline Coessens"/>
        <s v="Isha Thakur"/>
        <s v="D Meares"/>
        <s v="E Han"/>
        <s v="Ramesh Vureti"/>
        <s v="Eleanor Vear"/>
        <s v="A Kajay"/>
        <s v="Harmeet Singh"/>
        <s v="A Marjash"/>
        <s v="Amin Virani"/>
        <s v="P Martak"/>
        <s v="L Marsden"/>
        <s v="S Havingar"/>
        <s v="Ritika Periwal"/>
        <s v="Gopa Biswas"/>
        <s v="Amandeep Singh"/>
        <s v="A Nambiar"/>
        <s v="Freny Zaveri"/>
        <s v="Amber Teufel"/>
        <s v="Sandeep Bhola"/>
        <s v="S Garbeda"/>
        <s v="C Ajit"/>
        <s v="Aditya Oza"/>
        <s v="Zaheda Saiyed"/>
        <s v="S Kamalaya"/>
        <s v="J Fernandez"/>
        <s v="Mohit Gheewala"/>
        <s v="Mayil Vahanan"/>
        <s v="Shefal Sharma"/>
        <s v="Rajan Puri"/>
        <s v="M Jubi"/>
        <s v="T Ashwin"/>
        <s v="J Havawin"/>
        <s v="Sudipto Sarkar"/>
        <s v="H Karshar"/>
        <s v="Joseph Cherian"/>
        <s v="C Kathir"/>
        <s v="Jay Gupta"/>
        <s v="S Kaur"/>
        <s v="N Singh"/>
        <s v="A Sahyra"/>
        <s v="C Thane"/>
        <s v="S Shetty"/>
        <s v="P Vardel"/>
        <s v="Urvashie Pruthi"/>
        <s v="Dhaval Patel"/>
        <s v="Bhakti Panchal"/>
        <s v="Anisha Judge"/>
        <s v="Satheesh Kottayil"/>
        <s v="Ankit Dubey"/>
        <s v="Sukhjinder Singh"/>
        <s v="Anjan Yaragani"/>
        <s v="CÃ©cilia Lopez"/>
        <s v="Sekh Mallik"/>
        <s v="Lovlit Goplani"/>
        <s v="Anjan Mandal"/>
        <s v="Somik Sinha"/>
        <s v="Ajay Maru"/>
        <s v="Ash Walker"/>
        <s v="Narendran Pillai"/>
        <s v="Ashif Nelleri"/>
        <s v="H Kaur"/>
        <s v="D Kabey"/>
        <s v="J Kultin"/>
        <s v="Lilesh Karade"/>
        <s v="Manav Joshi"/>
        <s v="Kartik Panchal"/>
        <s v="Sreejith Kurup"/>
        <s v="Arun Tej Gorji"/>
        <s v="M R Raghunath"/>
        <s v="N Shah Jenkins"/>
        <s v="Jyoti Kumari"/>
        <s v="M Saleemuddin"/>
        <s v="Harry Downey"/>
        <s v="Nimisha Mehta"/>
        <s v="N Kadey"/>
        <s v="Anand Vijayakumar"/>
        <s v="Nagendra Chougule"/>
        <s v="Nynan Noushad"/>
        <s v="G Palaya"/>
        <s v="Gurjit Nijjar"/>
        <s v="K Narani"/>
        <s v="Jyoti Singh"/>
        <s v="R Jahani"/>
        <s v="P Kalesh"/>
        <s v="Mohit Sharma"/>
        <s v="Anoop Kumar"/>
        <s v="J Datesh"/>
        <s v="E Sanhee"/>
        <s v="S Kanukhar"/>
        <s v="Zarina Frederick"/>
        <s v="Neha Chauhan"/>
        <s v="K Parvar"/>
        <s v="N Barden"/>
        <s v="Rani Ajay"/>
        <s v="S Karjan"/>
        <s v="Atiya Panjwani"/>
        <s v="B Mayshek"/>
        <s v="I Kaur"/>
        <s v="R Pardolan"/>
        <s v="Siddaram Ishwaragond"/>
        <s v="S Harush"/>
        <s v="Sushant Rana"/>
        <s v="Sathiavathy Karappan"/>
        <s v="Annmary Jacob"/>
        <s v="Sangita dubey Dubey"/>
        <s v="Gazal Banga"/>
        <s v="Eliza Kento"/>
        <s v="S Harten"/>
        <s v="S Garheen"/>
        <s v="Beale"/>
        <s v="Hemchand Kamat"/>
        <s v="Resmi Raj"/>
        <s v="Shameem Elachola"/>
        <s v="N Rasanu"/>
        <s v="Dharmesh Vaghasiya"/>
        <s v="Mahr Banday"/>
        <s v="Mitha Jose"/>
        <s v="N Karpala"/>
        <s v="Sidhartha Kumar Jena"/>
        <s v="Mathias Pinto"/>
        <s v="Smriti Jain"/>
        <s v="Jensen Thomas"/>
        <s v="Parveaz Malik"/>
        <s v="S Kashinel"/>
        <s v="Benial Daniel"/>
        <s v="S Karjeen"/>
        <s v="Zabid Ali Molla"/>
        <s v="Balvinder nath Chaganla"/>
        <s v="G Faizan"/>
        <s v="Partha Longjam"/>
        <s v="Saloni Agarwal"/>
        <s v="B Kalatan"/>
        <s v="Chinmaya Hooli"/>
        <s v="Altmas Khan"/>
        <s v="Jaya Yadav"/>
        <s v="B Pooja"/>
        <s v="Ajith Venugopal"/>
        <s v="Sujith Kesavan"/>
        <s v="Shahbaz Ummer"/>
        <s v="B Hashek"/>
        <s v="Muhsin Mohammed"/>
        <s v="E Kalasamian"/>
        <s v="S Reddy"/>
        <s v="T Pathmah"/>
        <s v="Y Farser"/>
        <s v="S Hariyash"/>
        <s v="Thamem Ansari"/>
        <s v="Akhil Ashok"/>
        <s v="Banumathy Bharathi"/>
        <s v="Hassan Ali"/>
        <s v="Abhineet Taneja"/>
        <s v="Sreenath Nandakumar"/>
        <s v="Rohith Nayak"/>
        <s v="Tarih Basheer"/>
        <s v="K Madury"/>
        <s v="Parijat Mukherjee"/>
        <s v="Saniha Ajith"/>
        <s v="Amol Borwankar"/>
        <s v="Sak Shab"/>
        <s v="M Bartal"/>
        <s v="Pramod Mohandas"/>
        <s v="S Sahni"/>
        <s v="Ravi Valiya"/>
        <s v="K Marsam"/>
        <s v="Mahesh Pisal"/>
        <s v="C Mahlat"/>
        <s v="Pradeep Marolkar"/>
        <s v="B Karmuda"/>
        <s v="Alan Sargeant"/>
        <s v="P Balten"/>
        <s v="Indranil Mukherjee"/>
        <s v="B Majun"/>
        <s v="Sathish Shetty"/>
        <s v="Mohd Nazeer"/>
        <s v="Ravichandar Pavanassm"/>
        <s v="Priyanka Nailwla"/>
        <s v="Neha Montgomery"/>
        <s v="S Lamish"/>
        <s v="Abhishek Dey"/>
        <s v="Riddhi Parekh"/>
        <s v="Mathews Chennattu"/>
        <s v="Jaspreet Malhotra"/>
        <s v="M Pathiliya"/>
        <s v="Bhanu Parashar"/>
        <s v="Kulbhushan Godase"/>
        <s v="Manvinder Sachdeva"/>
        <s v="Ayswarya Vj"/>
        <s v="Ishan Kumar"/>
        <s v="Ara Thareja"/>
        <s v="Rachna Shetty"/>
        <s v="Francisco Fernandes"/>
        <s v="Kalpesh Mehta"/>
        <s v="Erika Pereira"/>
        <s v="H Dammas"/>
        <s v="M Valsek"/>
        <s v="Karthikeyan Jeyaseelan"/>
        <s v="E Lanse"/>
        <s v="R Mendonca"/>
        <s v="B Hallir"/>
        <s v="Mohammed Asif Mansoori"/>
        <s v="Jordan Saldanha"/>
        <s v="C Lameure"/>
        <s v="Sanjeev Gupta"/>
        <s v="Leo Gertrude David"/>
        <s v="Shaleel Kesavan"/>
        <s v="Rajan Bulchand"/>
        <s v="Mohammed Nazeer"/>
        <s v="Sanjay Modak"/>
        <s v="Shlok Misra"/>
        <s v="Harsh Gidwani"/>
        <s v="Siddharth Ghaisas"/>
        <s v="M Rajeev"/>
        <s v="Jiju Joseph"/>
        <s v="S Modak"/>
        <s v="Rohit Fernandes"/>
        <s v="M Haridas"/>
        <s v="Souk Lan Lim"/>
        <s v="Ramanathan Krishnan"/>
        <s v="P Bhaduri"/>
        <s v="G Mandal"/>
        <s v="Vishwanath Deshpande"/>
        <s v="Akash Raval"/>
        <s v="M Reddy"/>
        <s v="Deepika Rana"/>
        <s v="A Panarash"/>
        <s v="Shahid Alam Mohammad"/>
        <s v="S Hayle"/>
        <s v="Priyanshi Jain"/>
        <s v="Dharmesh Kapadia"/>
        <s v="Vaishnavi Chillal"/>
        <s v="Ankit Chawla"/>
        <s v="Suhail Ali"/>
        <s v="N Kamayr"/>
        <s v="Anjali Dutta"/>
        <s v="Gaurav Singh"/>
        <s v="Akshat Dewan"/>
        <s v="Jahangir Saleem"/>
        <s v="Phalguni Rathod"/>
        <s v="Muzzammil Ansari"/>
        <s v="S Parban"/>
        <s v="E Haldin"/>
        <s v="S Mandel"/>
        <s v="Venkata Raghavendra"/>
        <s v="D Palser"/>
        <s v="R Harjash"/>
        <s v="N Kadish"/>
        <s v="Sunidhi Padiyar"/>
        <s v="M Kahul"/>
        <s v="Ankita Lalwani"/>
        <s v="V Gashinav"/>
        <s v="Zia Ghadialy"/>
        <s v="Avijit Das"/>
        <s v="Vikrant Bhola"/>
        <s v="R Garnev"/>
        <s v="Rupal Ruhani"/>
        <s v="Mohit Aggarwal"/>
        <s v="S Hasinder"/>
        <s v="Rakesh Ranjan"/>
        <s v="Sai Kumar Salveru"/>
        <s v="Srinidhi Jois"/>
        <s v="M Jeevan"/>
        <s v="Neha Chaturvedi"/>
        <s v="Sameer Sharma"/>
        <s v="Shekhar Verma"/>
        <s v="Harsh Kumar"/>
        <s v="Hrishikesh Joshi"/>
        <s v="Amit Vats"/>
        <s v="Ashwin Shetty"/>
        <s v="G Singh"/>
        <s v="S Varinder"/>
        <s v="R Parmek"/>
        <s v="D Varya"/>
        <s v="Aarathi Ajit"/>
        <s v="Imran Akbar Dar"/>
        <s v="P Anand"/>
        <s v="V Danakesh"/>
        <s v="Vidhi Srivastava"/>
        <s v="Satyam Srivastava"/>
        <s v="Ankita Singh"/>
        <s v="Peter Linn"/>
        <s v="Abhijay Mitra"/>
        <s v="Nitika Shaw"/>
        <s v="Y Shailesh"/>
        <s v="Jaik Singh"/>
        <s v="B Adithan"/>
        <s v="D Yew"/>
        <s v="Prajyoth Reddy"/>
        <s v="Siddharth Nair"/>
        <s v="S Choudhary"/>
        <s v="Vinti Chhoker"/>
        <s v="S Harah"/>
        <s v="Archana Rampruia"/>
        <s v="S Parshi"/>
        <s v="B Shair"/>
        <s v="Rashmi Nagari"/>
        <s v="S Kashani"/>
        <s v="P Karish"/>
        <s v="Biswajit Barman"/>
        <s v="Sunita Lal"/>
        <s v="Tirth Bhatt"/>
        <s v="Surendra Srivastava"/>
        <s v="Virender Kumar"/>
        <s v="D Pankul"/>
        <s v="Santosh Tantri"/>
        <s v="E Sathyamurthy"/>
        <s v="Gayatri Kamath"/>
        <s v="V Anu"/>
        <s v="Mehnaz Bano"/>
        <s v="R Beale"/>
        <s v="Lalith Chandra"/>
        <s v="Pavan Gajare"/>
        <s v="Renu Ruhil"/>
        <s v="Kumar Gaurav"/>
        <s v="Sadasivan Nair"/>
        <s v="Tobias Deininger"/>
        <s v="H Varkash"/>
        <s v="J Patel"/>
        <s v="Chandresh Sanghavi"/>
        <s v="Eldho Thomas"/>
        <s v="Denis Karpukhin"/>
        <s v="Anil Krishnan"/>
        <s v="P Galash"/>
        <s v="Girish Babu"/>
        <s v="Manish Mishra"/>
        <s v="Ankit Kumar Jain"/>
        <s v="T Harpesh"/>
        <s v="S Rajeev"/>
        <s v="Srikanta Mukherjee"/>
        <s v="Dharitri Das"/>
        <s v="Nishant Agarwal"/>
        <s v="Arjun Kumar"/>
        <s v="Gargi Das"/>
        <s v="Sushant Rawat"/>
        <s v="A Kanesh"/>
        <s v="N Danesh"/>
        <s v="R Kalaj"/>
        <s v="Merlin John"/>
        <s v="Akhil Bisht"/>
        <s v="W Tahir"/>
        <s v="N Martin"/>
        <s v="Biki Biswas"/>
        <s v="Israr Ahmed Khan"/>
        <s v="Milind Meher"/>
        <s v="N Lasari"/>
        <s v="S Garun"/>
        <s v="B Sadarthi"/>
        <s v="Sruthi Kolla"/>
        <s v="Jaya Mishra"/>
        <s v="H Garsav"/>
        <s v="S Hayesh"/>
        <s v="Rahul Razdan"/>
        <s v="Y Satumar"/>
        <s v="Dharu Abraham"/>
        <s v="Ayush Malpani"/>
        <s v="Aijaz Ghare"/>
        <s v="Jessica Aguiar"/>
        <s v="Chirag Kansal"/>
        <s v="Jitin Varghese"/>
        <s v="T Abin"/>
        <s v="S Cherla"/>
        <s v="H Banesh"/>
        <s v="A Hayton"/>
        <s v="S Marnadez"/>
        <s v="D Vardenar"/>
        <s v="Nikitha Chandran"/>
        <s v="M Harkim"/>
        <s v="A Harkalar"/>
        <s v="Nardeep Gill"/>
        <s v="Rajasthan Kumar"/>
        <s v="Yash Gandhi"/>
        <s v="Sooraj Krishna"/>
        <s v="H Girash"/>
        <s v="S Khan"/>
        <s v="K Abhi"/>
        <s v="P Ramosa"/>
        <s v="Akshay Patil"/>
        <s v="Rahul Choudhuri"/>
        <s v="R Hallesh"/>
        <s v="Pravin P Shastri"/>
        <s v="Jahnavi Miriyala"/>
        <s v="Radha Meena"/>
        <s v="Urvashi Gupta"/>
        <s v="Caren Menon"/>
        <s v="N Sharzen"/>
        <s v="M Mishra"/>
        <s v="Shreeja Mohanta"/>
        <s v="Vishal Kumar Gupta"/>
        <s v="V Sharma"/>
        <s v="Himani Goyal"/>
        <s v="Barnali Shankar"/>
        <s v="Randall Hamilton"/>
        <s v="N Harkiya"/>
        <s v="S Nagabhirava"/>
        <s v="M Habur"/>
        <s v="Steve Dsouza"/>
        <s v="H Darsayn"/>
        <s v="S Comar"/>
        <s v="Manin Kulkarni"/>
        <s v="Pooja Deshpande"/>
        <s v="N Hasani"/>
        <s v="T Maykell"/>
        <s v="Saramma Pa"/>
        <s v="Manoj Jena"/>
        <s v="Gaspard Grass"/>
        <s v="Namrata Dubey"/>
        <s v="L Gomil"/>
        <s v="T Sanderson"/>
        <s v="V Katayumah"/>
        <s v="Suhas Madan"/>
        <s v="Aarjun Malhotra"/>
        <s v="S Hartin"/>
        <s v="S Haltin"/>
        <s v="M Aishwarya"/>
        <s v="Yogendra Shrestha"/>
        <s v="Dhriti Ranjan"/>
        <s v="Suneet Mishra"/>
        <s v="Rajesh Mehra"/>
        <s v="G Pea"/>
        <s v="S Halshya"/>
        <s v="Ira Nagel"/>
        <s v="S Garven"/>
        <s v="Shashi Singh"/>
        <s v="E Zografakis"/>
        <s v="B Latlae"/>
        <s v="Giovanni Tropea"/>
        <s v="Achim Nuhr"/>
        <s v="Tangirala Reddy"/>
        <s v="Chirag Acharya"/>
        <s v="Sanjana K Murthy"/>
        <s v="A Rasouli"/>
        <s v="Mahendra Kumar"/>
        <s v="Niraj Patel"/>
        <s v="R Harshem"/>
        <s v="B Anildeep"/>
        <s v="Rahul Shrivastava"/>
        <s v="K Shetty"/>
        <s v="C Han"/>
        <s v="N Nishanth"/>
        <s v="Prasad Reddy"/>
        <s v="Suneet Rajshekhar"/>
        <s v="A Deol"/>
        <s v="S Ganhela"/>
        <s v="Tapas Datta"/>
        <s v="Pargat Singh"/>
        <s v="G Das"/>
        <s v="M Yadav"/>
        <s v="P Jareyn"/>
        <s v="A Calendez"/>
        <s v="Bharat Datt"/>
        <s v="Parul Pujary"/>
        <s v="K Manasa"/>
        <s v="G Keen"/>
        <s v="Arindra Mishra"/>
        <s v="Akanksha Shrivastava"/>
        <s v="F Durand"/>
        <s v="Satya Roy"/>
        <s v="Jerome Jacob Xavier"/>
        <s v="S Birvali"/>
        <s v="Srini Veera"/>
        <s v="Gladys Swamy"/>
        <s v="Sayed Fayaz"/>
        <s v="M Johal"/>
        <s v="Saptarup Saha"/>
        <s v="S Jashende"/>
        <s v="Prasad Jog"/>
        <s v="R Kumar"/>
        <s v="D Rao"/>
        <s v="M Haldan"/>
        <s v="HP Naz"/>
        <s v="K Sharma"/>
        <s v="S Kamihal"/>
        <s v="Mohammed Nazeer Abdulrehman"/>
        <s v="Priya Rao"/>
        <s v="K Modi"/>
        <s v="Shaun Tully"/>
        <s v="Nicola Dsilva"/>
        <s v="S Morten"/>
        <s v="Mark Peake"/>
        <s v="Thirupathi Paalepu"/>
        <s v="Dr Kalpana Gopan"/>
        <s v="Saheen Ahzan"/>
        <s v="Jai Sharda"/>
        <s v="J Lale"/>
        <s v="Sunanda Dutta"/>
        <s v="Fabrizio Speziale"/>
        <s v="P Kaur"/>
        <s v="Meher Kanuri"/>
        <s v="M Dawalnar"/>
        <s v="Y Vus"/>
        <s v="Paras Suneja"/>
        <s v="Marcus Ravi"/>
        <s v="J Hadul"/>
        <s v="Dhannya Binoy"/>
        <s v="John Hebron"/>
        <s v="Rachna Kumari"/>
        <s v="Atul Phillips"/>
        <s v="K Nagel"/>
        <s v="A Manshay"/>
        <s v="Rajat Mehta"/>
        <s v="H Vanush"/>
        <s v="Sharanesh Kumaraswamy"/>
        <s v="Vivek Meempat"/>
        <s v="R Martillo"/>
        <s v="Charanjit Bhinder"/>
        <s v="S Kipgen"/>
        <s v="Tausif Chowdhury"/>
        <s v="R Shaw"/>
        <s v="M Keele"/>
        <s v="B Jalan"/>
        <s v="Mathews Manampuram"/>
        <s v="Smrithi Ramakrishnan"/>
        <s v="Komal Khedkar"/>
        <s v="Alina Poghosyan"/>
        <s v="Raghavendra Rai"/>
        <s v="K Hakim"/>
        <s v="S Johal"/>
        <s v="J Joseph"/>
        <s v="S Wayamandi"/>
        <s v="Sutham Nair"/>
        <s v="Fabio Marroni"/>
        <s v="Ronak Baul"/>
        <s v="Md. Shamsul Islam"/>
        <s v="Flora Mawi"/>
        <s v="Abdulellah Almurshed"/>
        <s v="Siva Kumar Thadakalur"/>
        <s v="B Wasmali"/>
        <s v="E Madara"/>
        <s v="Ambika Gautam"/>
        <s v="N Bartan"/>
        <s v="S Hapta"/>
        <s v="S Haranes"/>
        <s v="C Harduri"/>
        <s v="Jyothsna Reddy"/>
        <s v="Krishan Lal Sikka"/>
        <s v="Z Madayan"/>
        <s v="Pete Brar"/>
        <s v="P Kanyamee"/>
        <s v="R Kabasri"/>
        <s v="Sanjeev Kumar"/>
        <s v="Stephanie Preyer"/>
        <s v="A Harper"/>
        <s v="A Vashun"/>
        <s v="Vipin Babu"/>
        <s v="S Vanush"/>
        <s v="Akhil Pavi"/>
        <s v="Sumit Arora"/>
        <s v="Rio Fernandes"/>
        <s v="Washim Akhter"/>
        <s v="Irfan Ismail"/>
        <s v="V Sharun"/>
        <s v="H Sharvun"/>
        <s v="Aamli Agarwal"/>
        <s v="Ashish Khokar"/>
        <s v="T Patusa"/>
        <s v="Khyati Sethia"/>
        <s v="S Venkatesh"/>
        <s v="Amitansu Dasgupta"/>
        <s v="K Sandi"/>
        <s v="S Harshun"/>
        <s v="H Kamil"/>
        <s v="Sana Tilwalli"/>
        <s v="H Vashun"/>
        <s v="Milton Fernando"/>
        <s v="Vaithiya Nathan"/>
        <s v="Sanghamitra Chatterjee"/>
        <s v="Dr. Rijeesh Keloth"/>
        <s v="V Agrawal"/>
        <s v="W McDonnell"/>
        <s v="Jins Kochenudiyil"/>
        <s v="V Harish"/>
        <s v="Parag Mhatre"/>
        <s v="B Caille"/>
        <s v="Prathmesh Yadav"/>
        <s v="Elizabeth Huber"/>
        <s v="Glenn Biffen"/>
        <s v="M Gadman"/>
        <s v="A Mahdesh"/>
        <s v="A Kanavarma"/>
        <s v="A Marpura"/>
        <s v="Anastasia Kolesnik"/>
        <s v="S Gamil"/>
        <s v="S Martha"/>
        <s v="S Vanesh"/>
        <s v="N Sharvin"/>
        <s v="D Nelson"/>
        <s v="Vydyanath Pisupati"/>
        <s v="Suresh Balakrishnan"/>
        <s v="Sapna Agarwal"/>
        <s v="Sandeep Patil"/>
        <s v="Michael Little"/>
        <s v="T Taylor"/>
        <s v="A Carden"/>
        <s v="Madan Kashyap"/>
        <s v="Debraj Chatterjee"/>
        <s v="G Mahajan"/>
        <s v="N Danitya"/>
        <s v="Harsh Shah"/>
        <s v="Neetan Meenia"/>
        <s v="A Garamal"/>
        <s v="Aashish Kumar Sonu Bikram Jaiswal"/>
        <s v="N Beale"/>
        <s v="Carolyn Moncur"/>
        <s v="A Darnul"/>
        <s v="Santosh Kulkarni"/>
        <s v="Mudit Jalan"/>
        <s v="Mahendra Sagar"/>
        <s v="Mohammed Nishal"/>
        <s v="S Jahavan"/>
        <s v="Arshad Noor Siddiquee"/>
        <s v="G Sayakum"/>
        <s v="Naresh Jallu"/>
        <s v="Phil Medlin"/>
        <s v="M Junaid Ali"/>
        <s v="R Jalin"/>
        <s v="G Sawyer"/>
        <s v="Suresh Kumar"/>
        <s v="Rittick Nandy"/>
        <s v="Krishnan Srinivas"/>
        <s v="T Shanekar"/>
        <s v="Deepa Mukerji"/>
        <s v="Arathi Pv"/>
        <s v="P Chalnish"/>
        <s v="L Bursell"/>
        <s v="Ayushi Dixit"/>
        <s v="S Marbanian"/>
        <s v="Aastha Gupta"/>
        <s v="D Alagiah"/>
        <s v="P Densah"/>
        <s v="N Rafe"/>
        <s v="I Tavoni"/>
        <s v="S Gordon"/>
        <s v="Amitha Sathish"/>
        <s v="N Kahlasanan"/>
        <s v="C King"/>
        <s v="Shirin Kakayeva"/>
        <s v="Olena Viechkanova"/>
        <s v="V  Sharun"/>
        <s v="Sameer Phatak"/>
        <s v="D Vartya"/>
        <s v="Torsten Wiemann"/>
        <s v="H Kapawal"/>
        <s v="A Sorlan"/>
        <s v="R Reddy"/>
        <s v="Ishita Bhowmick"/>
        <s v="Eric Chassagnolle"/>
        <s v="M Fraser"/>
        <s v="A Bamhate"/>
        <s v="Mary Tawadros"/>
        <s v="Rajesh Lamba"/>
        <s v="J Seibt"/>
        <s v="Heena Soni"/>
        <s v="B Gamesani"/>
        <s v="B Singh"/>
        <s v="Shefali Patel"/>
        <s v="A S Kavya"/>
        <s v="G Barani"/>
        <s v="P Veesai"/>
        <s v="Sandeep Kulkarni"/>
        <s v="Jay Jayant"/>
        <s v="Nikita Puri"/>
        <s v="Ahmad Shaik"/>
        <s v="P Singh"/>
        <s v="H Gadesse"/>
        <s v="S Najida"/>
        <s v="John Maynard"/>
        <s v="K Mahuddin"/>
        <s v="G Eardly"/>
        <s v="Chinmay Natu"/>
        <s v="Arsha Ignatius"/>
        <s v="Jaganathan Venkatesh"/>
        <s v="Suramya Naik"/>
        <s v="Karan Chauhan"/>
        <s v="Mamata Dalai"/>
        <s v="Arindam Mahapatra"/>
        <s v="A Adam"/>
        <s v="J Masim"/>
        <s v="Kiranraj Nayak"/>
        <s v="Dr Bhawna Johri"/>
        <s v="Bhawna Johri"/>
        <s v="Pankaj Garg"/>
        <s v="S Jabathra"/>
        <s v="S Richardson"/>
        <s v="S Rajur"/>
        <s v="Gokal Chittaranjan"/>
        <s v="B Marala"/>
        <s v="J Reddy"/>
        <s v="Ravi Pullanikattil"/>
        <s v="J Haron"/>
        <s v="Shiva Sitaraman"/>
        <s v="H Advani"/>
        <s v="V Talapu"/>
        <s v="Nafis Ahmed Raiyan"/>
        <s v="K Patmar"/>
        <s v="Arul Prakash Samathuvamani"/>
        <s v="Shubhi Singh"/>
        <s v="G Shakari"/>
        <s v="Praveen Sharma"/>
        <s v="D Narash"/>
        <s v="U Patel"/>
        <s v="Bergen Stephen"/>
        <s v="Gaurav Surwade"/>
        <s v="S Chhatwani"/>
        <s v="S Moors"/>
        <s v="Ashish Menon"/>
        <s v="G Marezy"/>
        <s v="P Henderson"/>
        <s v="F Burton"/>
        <s v="Anjay Krishnamurthy"/>
        <s v="Rucha Save"/>
        <s v="Bhargav Dodla"/>
        <s v="S Hashavi"/>
        <s v="Nikhil Shah"/>
        <s v="Sounak Moulik"/>
        <s v="Khalid Nadeem"/>
        <s v="H Reddy"/>
        <s v="V Andrews"/>
        <s v="G Johar"/>
        <s v="A Satuha"/>
        <s v="V Sam"/>
        <s v="P Kamoorta"/>
        <s v="Udit Thakar"/>
        <s v="Pratik Bavlecha"/>
        <s v="K Khanna"/>
        <s v="A Amir"/>
        <s v="Natesh Selvaraj"/>
        <s v="Himanshu Chauhan"/>
        <s v="Sunil Mahato"/>
        <s v="P Richards"/>
        <s v="Mehul Choudhury"/>
        <s v="A Greenberg"/>
        <s v="S Allam"/>
        <s v="V Sawaji"/>
        <s v="S Hutahu"/>
        <s v="S Shuhatar"/>
        <s v="M Sakeenu"/>
        <s v="Sajit Vishu"/>
        <s v="Vishal Shrivastava"/>
        <s v="Ashutosh Sahu"/>
        <s v="E Malhotra"/>
        <s v="A Pandesh"/>
        <s v="Avi Singh"/>
        <s v="Harshwardhan Sharma"/>
        <s v="Chandan Kodgirwar"/>
        <s v="Dhruv Bhatt"/>
        <s v="Gunjan Singh"/>
        <s v="Ravi Mene"/>
        <s v="Thomas Zasso"/>
        <s v="Zavier Murtza"/>
        <s v="M Sekhri"/>
        <s v="Prayash Giria"/>
        <s v="Chinar Dankhara"/>
        <s v="Scherazade Irani"/>
        <s v="Ramesh Chidamparam"/>
        <s v="Amrita Kishore"/>
        <s v="Debasish Chatterjee"/>
        <s v="Anurag Dave"/>
        <s v="S Shivdasani"/>
        <s v="Adnan Mir"/>
        <s v="Rakesh Dhareshwar"/>
        <s v="Bakhtiyar Tarapore"/>
        <s v="Karthikeyan Chidambaram"/>
        <s v="Aaditya Suratkar"/>
        <s v="Shrivallabh Randad"/>
        <s v="B Vincent"/>
        <s v="Kalpesh Ashar"/>
        <s v="Pinaki Bhadury"/>
        <s v="Roma Solomon"/>
        <s v="P Gould"/>
        <s v="Tan Ying Kuan"/>
        <s v="M Herler"/>
        <s v="B Dossin"/>
        <s v="S Friedman"/>
        <s v="Manoj Chaumal"/>
        <s v="Shyamala Seshan"/>
        <s v="P Ryan"/>
        <s v="M Riccardo"/>
        <s v="S Sankar"/>
        <s v="Purna Ananth"/>
        <s v="Kumar Ganesh"/>
        <s v="Haresh Advani"/>
        <s v="Adam Miller"/>
        <s v="S Shivadasani"/>
        <s v="Arup Ghosh"/>
        <s v="Varun Ravichandran"/>
        <s v="Sriharsha Narasimhan"/>
        <s v="Singh Ashutosh"/>
        <s v="J Knibbe"/>
        <s v="Narendra Gajala"/>
        <s v="Tanmay Bhakta"/>
        <s v="M Fewster"/>
        <s v="Patell Rishad"/>
        <s v="Prithvi Ramesh"/>
        <s v="Rahul Kumar"/>
        <s v="Devayani Hirani"/>
        <s v="Marek Wrobel"/>
        <s v="M Satish"/>
        <s v="P Kale"/>
        <s v="R Manohar"/>
        <s v="Chadha Jitender"/>
        <s v="S Srinivasan"/>
        <s v="Patel Beena"/>
        <s v="A Kashyap"/>
        <s v="J Sastry"/>
        <s v="I Lancaster"/>
        <s v="Debaditya Haldar"/>
        <s v="M Jasuja"/>
        <s v="A Swamy"/>
        <s v="S Naida"/>
        <s v="Ranjeet Bhardwaj"/>
        <s v="D Gujrathi"/>
        <s v="Giridhar Penumarti"/>
        <s v="S Menon"/>
        <s v="Daniel Johnson"/>
        <s v="S Karthekeyaan"/>
        <s v="A Krummacher"/>
        <s v="Bansal Shailesh"/>
        <s v="N Sundera"/>
        <s v="N Sasilatha"/>
        <s v="Karl Moosbrugger"/>
        <s v="Sidath Baranage"/>
        <s v="Alan Lacey"/>
        <s v="U V Naresh"/>
        <s v="Tasneem Yousuff"/>
        <s v="W Montego"/>
        <s v="Kapil Khandelwal"/>
        <s v="V Bagaria"/>
        <s v="Ameya Chitre"/>
        <s v="Saketh Rahm"/>
        <s v="J Kalumar"/>
        <s v="Sonu Dhami"/>
        <s v="Raman Dhawan"/>
        <s v="Sachin Atri"/>
        <s v="Sanket Shah"/>
        <s v="P Bhatnagar"/>
        <s v="Kamal Dhama"/>
        <s v="Preeti Bhargava"/>
        <s v="Soniq Lafuente"/>
        <s v="Priyanka Kumari"/>
        <s v="T Paniyal"/>
        <s v="Victor Bordoloi"/>
        <s v="K Mansour"/>
        <s v="A Kajan"/>
        <s v="Satvir Singh"/>
        <s v="Z Hakira"/>
        <s v="A Masyan"/>
        <s v="Nirav Gala"/>
        <s v="Shruthy Sabu"/>
        <s v="M Bajwa"/>
        <s v="Sanath Kumar"/>
        <s v="Aaditya Gupta"/>
        <s v="Srividya Giridharan"/>
        <s v="Praveen Gupta"/>
        <s v="Neel Shah"/>
        <s v="N Haksin"/>
        <s v="Narendra Deraje"/>
        <s v="F Kassin"/>
        <s v="R Varson"/>
        <s v="Vanishree Kulkarni"/>
        <s v="Manas Gupta"/>
        <s v="Basheer Chennat"/>
        <s v="N Rath"/>
        <s v="Ashwin Bansal"/>
        <s v="Ramya Moolemajalu Vishwanatha"/>
        <s v="M Parjin"/>
        <s v="Manish Namdev"/>
        <s v="Thyagaraju Palisetty"/>
        <s v="Ranjita Pandey"/>
        <s v="Kashyap Sistla"/>
        <s v="Sanjay Hodlur"/>
        <s v="Irum Jan"/>
        <s v="S Chatterjee"/>
        <s v="Balraj Muthu"/>
        <s v="Amit Kumar"/>
        <s v="K Shaban"/>
        <s v="Raghunathji S Sankaran"/>
        <s v="Asif Khan"/>
        <s v="Deepa Sambhwani"/>
        <s v="Akhila Anil"/>
        <s v="Roni Munshi"/>
        <s v="H Jayashree"/>
        <s v="APURVA Sanghvi"/>
        <s v="Abhinav Agarwal"/>
        <s v="Asha Kumar"/>
        <s v="A Ashmi"/>
        <s v="Cody Rai"/>
        <s v="Manashwini Gurumurthy"/>
        <s v="T Hamson"/>
        <s v="Rishabh Malhotra"/>
        <s v="N Jaltam"/>
        <s v="S Suryawanshi"/>
        <s v="Pratik Kadu"/>
        <s v="S Janeer"/>
        <s v="Jayraj Dabral"/>
        <s v="Jnana Devaprasad"/>
        <s v="R Prasanna"/>
        <s v="S Marhan"/>
        <s v="Vignesh Vicky"/>
        <s v="Apurba Patra"/>
        <s v="S Kornas"/>
        <s v="Shamit Bhasin"/>
        <s v="R Shakar"/>
        <s v="V Gupta"/>
        <s v="Mukesh Venugopal"/>
        <s v="R Thamashil"/>
        <s v="Ramanathan Ramchandra"/>
        <s v="Guddu Kumar"/>
        <s v="Rohit Chaturvedi"/>
        <s v="Mahek Sharma"/>
        <s v="C Arthurs"/>
        <s v="T Raj"/>
        <s v="Lengoumang Haokip"/>
        <s v="Feryal Banday"/>
        <s v="Sachin Temghare"/>
        <s v="Sanjay Patnaik"/>
        <s v="Apurba Arun"/>
        <s v="Kousambi Roy"/>
        <s v="R Lohana"/>
        <s v="N Dantu"/>
        <s v="M Fazil"/>
        <s v="R Shaeer"/>
        <s v="A Hamarata"/>
        <s v="Akriti Singh"/>
        <s v="V Vikram"/>
        <s v="Tanvi Yadav"/>
        <s v="Ieva Berica"/>
        <s v="Sreeram Singh"/>
        <s v="Venkataramani Sriraman"/>
        <s v="N Mete"/>
        <s v="Anil Magdum"/>
        <s v="Sajith Paul"/>
        <s v="Neha Bhat"/>
        <s v="Rakshit Gupta"/>
        <s v="Mujeer Hussain"/>
        <s v="Valluri Srinivas"/>
        <s v="Kajal Jain"/>
        <s v="Harshada Newaskar"/>
        <s v="Dmitrii Karabanev"/>
        <s v="Mayank Baid"/>
        <s v="Talib Wakeel"/>
        <s v="Mohit Kumar"/>
        <s v="Umaimah Shamsi"/>
        <s v="P Serhim"/>
        <s v="Ekta Gupta"/>
        <s v="T Portah"/>
        <s v="B Hasir"/>
        <s v="B Deasen"/>
        <s v="Sana Gupta"/>
        <s v="H Venkatesh"/>
        <s v="Shibin Thazhissery"/>
        <s v="C Jansen"/>
        <s v="Shubhanker Tuteja"/>
        <s v="Tony Lobo"/>
        <s v="M Qufar"/>
        <s v="A Kumar"/>
        <s v="C Barushan"/>
        <s v="Kamalesh Chaudhury"/>
        <s v="L Kayran"/>
        <s v="Faizal Ahamed"/>
        <s v="Anas Rafique"/>
        <s v="A Parmesh"/>
        <s v="Mandeep Gujral"/>
        <s v="Joy Choudhury"/>
        <s v="S Praveen"/>
        <s v="Walid Lahoud"/>
        <s v="P Sernah"/>
        <s v="S Margiya"/>
        <s v="Sonam Lohani"/>
        <s v="L Neiran"/>
        <s v="Nitin Prasad"/>
        <s v="Lionel Agostini"/>
        <s v="Apoorva Dube"/>
        <s v="R Agarwal"/>
        <s v="Habeeb Mohammed"/>
        <s v="V Lakis"/>
        <s v="Gulshan Kumar"/>
        <s v="S Laghari"/>
        <s v="Sanjay Tarale"/>
        <s v="Vineet Gupta"/>
        <s v="Sunil Kumar Khetarpal"/>
        <s v="Suraj Chaurasiya"/>
        <s v="D Wansiya"/>
        <s v="M Hasana"/>
        <s v="T Merchant"/>
        <s v="D Rakesh"/>
        <s v="Somil Jain Jain"/>
        <s v="Anup Kumar"/>
        <s v="Manoj Kumar Jha"/>
        <s v="Nawal Bansal"/>
        <s v="Manish Mukhija"/>
        <s v="Kush Goel"/>
        <s v="Atul Sehgal"/>
        <s v="Aruneeta Srivastava"/>
        <s v="Peter Colaco"/>
        <s v="Jaya Prem Shetty"/>
        <s v="J Marendo"/>
        <s v="Aayush Taneja"/>
        <s v="A Bameen"/>
        <s v="Abhimanyu Gupta"/>
        <s v="R Karnuda"/>
        <s v="Meenu Batra"/>
        <s v="Tanvi Sharma"/>
        <s v="Umar Jan"/>
        <s v="Kshipra Kalantri"/>
        <s v="G Thorvey"/>
        <s v="Sanjiv Jani"/>
        <s v="Kaushik Rathi"/>
        <s v="R Hartish"/>
        <s v="Laxmi Kant Kuthiala"/>
        <s v="S Kalyan"/>
        <s v="Sanchita Guha"/>
        <s v="Rajesh Jain"/>
        <s v="Vineet Sahay"/>
        <s v="Niharika Sharma"/>
        <s v="Saji Konath"/>
        <s v="Kuresh Limdiyawala"/>
        <s v="Amitava Mukherjee"/>
        <s v="N Karwan"/>
        <s v="Dharmesh Chotai"/>
        <s v="Abhishek Saxena"/>
        <s v="R Babin"/>
        <s v="Bhavin Shah"/>
        <s v="Somil Rajdev"/>
        <s v="T Agarwal"/>
        <s v="Deepak Sharan Sinha"/>
        <s v="Manish Pathak"/>
        <s v="Alpana Varma"/>
        <s v="Koyel Banerjee"/>
        <s v="M Ramdur"/>
        <s v="H Sandelhan"/>
        <s v="Anurag Kumar"/>
        <s v="S Karnash"/>
        <s v="K Nageen"/>
        <s v="Shaikat Sarkar"/>
        <s v="A Asha"/>
        <s v="Sadruddin Ansari"/>
        <s v="Gareth Moore"/>
        <s v="Sneihil Kohli"/>
        <s v="Rajlaxmi Rao"/>
        <s v="S Targan"/>
        <s v="Venkat Devan"/>
        <s v="Pragya Mishra"/>
        <s v="V Pakaran"/>
        <s v="Ankita Sadhwani"/>
        <s v="Sejal Barot"/>
        <s v="Rahul Nundy"/>
        <s v="Malli Krishna"/>
        <s v="Monica Milwani"/>
        <s v="Swati Patel"/>
        <s v="Nitin Sahni Nitin"/>
        <s v="Ashish Pandita"/>
        <s v="Sivaprasad Thekkile Matam"/>
        <s v="Sandeep Mehra"/>
        <s v="D Patel"/>
        <s v="Lalitha Muthukumar"/>
        <s v="Sudhir Satyanarayan"/>
        <s v="Ganika Khurana"/>
        <s v="N Banerjee"/>
        <s v="Aditya Nag"/>
        <s v="Swami Mahesh"/>
        <s v="Priyanki Saikia"/>
        <s v="Zahida Begum"/>
        <s v="Mridul Gehlot"/>
        <s v="Daljit Saluja"/>
        <s v="Shobhik Dutta"/>
        <s v="Jaideep Singh"/>
        <s v="Satyaprakash Singh Gurjar"/>
        <s v="Meetheen Mundeth Askhar"/>
        <s v="F Elach"/>
        <s v="Parimal Santra"/>
        <s v="N Garshan"/>
        <s v="Simran Laungani"/>
        <s v="Raunak Bhivpathaki"/>
        <s v="Saurabh Rai"/>
        <s v="R Marvalan"/>
        <s v="S Vanran"/>
        <s v="Rishil Shah"/>
        <s v="Mayank Kashkari"/>
        <s v="Grenville Vaz"/>
        <s v="Siddhartha Ghosh"/>
        <s v="S Mahin"/>
        <s v="Unnikrishnan Nair"/>
        <s v="Tanmoy Adhikari"/>
        <s v="Jereena Babu Vanpuzha"/>
        <s v="Anshul Sharma"/>
        <s v="Ruchi Agarwal"/>
        <s v="Farida Sultana"/>
        <s v="B Amari"/>
        <s v="Presanna Nair"/>
        <s v="Dhilip Kumar"/>
        <s v="Anupama Tripathy"/>
        <s v="S Marshel"/>
        <s v="Karan Sharma"/>
        <s v="Shahroj Ansari"/>
        <s v="Jean Bloise"/>
        <s v="J Naveen"/>
        <s v="Vaibhav Mayur"/>
        <s v="Kausik Purakayastha"/>
        <s v="Bhushan Bhushan"/>
        <s v="H Huang"/>
        <s v="Noufal Cheriyabadan"/>
        <s v="J Mears"/>
        <s v="Kiran Waghmare"/>
        <s v="Zaheer Ansari"/>
        <s v="U Falleysi"/>
        <s v="Chandan Saha"/>
        <s v="Disha Kothari"/>
        <s v="A Postma"/>
        <s v="Shashank Tomar"/>
        <s v="Rajneesh Modi"/>
        <s v="H Mead"/>
        <s v="S Darsharia"/>
        <s v="M Kamirandan"/>
        <s v="B Prashanth"/>
        <s v="M Jhamb"/>
        <s v="A Sharvun"/>
        <s v="Riya Tamang"/>
        <s v="Susant Guragain"/>
        <s v="A Gamish"/>
        <s v="V Hanush"/>
        <s v="Akshat Yagnic"/>
        <s v="Anil Agarwal"/>
        <s v="Nisha Shrivastava"/>
        <s v="Syamini Yarlagadda"/>
        <s v="S K Sabesan"/>
        <s v="Ankit Agarwal"/>
        <s v="P Halesh"/>
        <s v="Ashwani Sindhwani"/>
        <s v="M Hazalwa"/>
        <s v="R Deshpande"/>
        <s v="Harjot Munday"/>
        <s v="Shruti Sinha"/>
        <s v="S Lavikov"/>
        <s v="H Marmish"/>
        <s v="Shipra Ojha"/>
        <s v="Mahamudul Haque"/>
        <s v="Jayanta Basu"/>
        <s v="Jaijit Bhattacharya"/>
        <s v="Raghu Prasad Gopal"/>
        <s v="Angshuman Chatterjee"/>
        <s v="P Gahal"/>
        <s v="V Lewis"/>
        <s v="Zainab Karim"/>
        <s v="Biswanath Pal"/>
        <s v="Chetan Sadhu"/>
        <s v="Daniel Boyd"/>
        <s v="Ajoy Chandnani"/>
        <s v="P Shasawath"/>
        <s v="S Hadanty"/>
        <s v="S Markul"/>
        <s v="Kaifee Ahmad"/>
        <s v="Amaram Madhuri"/>
        <s v="C Garlen"/>
        <s v="A Bahjit"/>
        <s v="Sachin Benjamin"/>
        <s v="Hossam Ziada"/>
        <s v="D Gedeep"/>
        <s v="Samina Khan"/>
        <s v="C Murton"/>
        <s v="Ravindra Taparia"/>
        <s v="C Rakoorna"/>
        <s v="Mary Halder"/>
        <s v="Tauqeer Alam"/>
        <s v="J Harese"/>
        <s v="Manish Agrawal"/>
        <s v="N Maya"/>
        <s v="R Hajira"/>
        <s v="Sadaf Khan"/>
        <s v="Sunil Kumar Rajanna"/>
        <s v="Debashis Roy"/>
        <s v="L Nawin"/>
        <s v="Jyoti Kumar Pathak"/>
        <s v="Bhavishya Gupta"/>
        <s v="Prateek Gupta"/>
        <s v="Anima Dey"/>
        <s v="G Shanepi"/>
        <s v="Gaurav Gupta"/>
        <s v="Padmapriya Swaminathan"/>
        <s v="G Carter"/>
        <s v="S Vadisha"/>
        <s v="Arijit Aditya"/>
        <s v="Anand Limaye"/>
        <s v="B Hartosh"/>
        <s v="K Mickalova"/>
        <s v="Dileep Kumar"/>
        <s v="Shilpa Khurana Shilpa"/>
        <s v="N Kardy"/>
        <s v="Binod Kumar"/>
        <s v="Sweta Goel"/>
        <s v="A Shetty"/>
        <s v="C Kanasant"/>
        <s v="N Karki"/>
        <s v="Deepali Bhamare"/>
        <s v="C Mahan"/>
        <s v="S Haksil"/>
        <s v="R Kapeshkar"/>
        <s v="Soham Panchamiya"/>
        <s v="Akansha Singh Gautam"/>
        <s v="Gillian Barber"/>
        <s v="Rakesh Rachwani"/>
        <s v="Ujjval Jain"/>
        <s v="Srinivasan Iyer"/>
        <s v="T C Athul"/>
        <s v="Hussain Zaidi"/>
        <s v="Sayali Shinde"/>
        <s v="Gauri Ranjan"/>
        <s v="C Parchul"/>
        <s v="Gopi Joghee"/>
        <s v="D Panal"/>
        <s v="Naman Pratyush"/>
        <s v="V Avineni"/>
        <s v="Shiraj Ali Khan"/>
        <s v="P Ahmed"/>
        <s v="Mohsin Khan"/>
        <s v="M Shah"/>
        <s v="Pallavi Sethia"/>
        <s v="P Nasseyn"/>
        <s v="R Jaju"/>
        <s v="E Lamaka"/>
        <s v="Alok Agarwaol"/>
        <s v="Arul Poulraj"/>
        <s v="M Gauresh"/>
        <s v="Shomita Mukherjee"/>
        <s v="S Parhash"/>
        <s v="Faraan Memon"/>
        <s v="Nitin Patil"/>
        <s v="Ruchita Pathak"/>
        <s v="Nakul Sethuram"/>
        <s v="Pavarit Manchanda"/>
        <s v="S Shenoy"/>
        <s v="Malaviga Sethurajah"/>
        <s v="B Marle"/>
        <s v="S Harmati"/>
        <s v="K Lee"/>
        <s v="N Nicholls"/>
        <s v="N Palattapin"/>
        <s v="C Simona"/>
        <s v="H Gamesh"/>
        <s v="P Dalera"/>
        <s v="B Galingh"/>
        <s v="Alap Vadnerkar"/>
        <s v="Vinayak Veerakesavan"/>
        <s v="N Halmetra"/>
        <s v="T Rabana"/>
        <s v="Lata Jagwani"/>
        <s v="R Vasimargan"/>
        <s v="G Hamasvana"/>
        <s v="Z Can"/>
        <s v="S Jamani"/>
        <s v="K Maushan"/>
        <s v="Ali Eissapouran Irany"/>
        <s v="T Sarindeep"/>
        <s v="S Rani"/>
        <s v="R Martin"/>
        <s v="T Sawyer"/>
        <s v="A Ransil"/>
        <s v="P Masvihas"/>
        <s v="P Gaurasa"/>
        <s v="Aman Nurani"/>
        <s v="Gaurav Pasrija"/>
        <s v="Shoeb Ismail"/>
        <s v="Rajiv Sinha"/>
        <s v="Gopan Sivasankaran"/>
        <s v="S Vekarwal"/>
        <s v="A Sharish"/>
        <s v="Jamila Kapasi"/>
        <s v="H Kubash"/>
        <s v="Kamal Gupta"/>
        <s v="S Manehar"/>
        <s v="Roshith Kattungal"/>
        <s v="Sailaja Sarbada"/>
        <s v="L Sharma"/>
        <s v="R Sharman"/>
        <s v="Rohit Suri"/>
        <s v="Subhrajit Chakravorty"/>
        <s v="M Kaliya"/>
        <s v="Prashant Ramakrishnan"/>
        <s v="Biju Bharali"/>
        <s v="P Hanarao"/>
        <s v="T Pamava"/>
        <s v="Suneel Kumar Jillella"/>
        <s v="T Andreu"/>
        <s v="Pradipkumar Patel"/>
        <s v="Renu Sinha"/>
        <s v="Sridhar Pemasani Mohamdoss"/>
        <s v="Sabesan Ramani"/>
        <s v="C Ramhary"/>
        <s v="Balakumar Thanulingam"/>
        <s v="Bilal Aladia"/>
        <s v="Praveen Reddy"/>
        <s v="P Torven"/>
        <s v="Seana Harvey"/>
        <s v="S Buhmari"/>
        <s v="Vishal Tarolkar"/>
        <s v="C Armand"/>
        <s v="Suhas Thambi Kareparambil"/>
        <s v="N Ison"/>
        <s v="P Gamesh"/>
        <s v="S Hawati"/>
        <s v="Kamlesh Pillai"/>
        <s v="Sachin Singh"/>
        <s v="R Vincent"/>
        <s v="Vinayak Mohan"/>
        <s v="Gaurav Kulkarni"/>
        <s v="Vikas Verma"/>
        <s v="M Saju"/>
        <s v="S Hunsel"/>
        <s v="Kirti Dubey"/>
        <s v="M Hanajan"/>
        <s v="Shreyans Sheth"/>
        <s v="Rajesh Bhimani"/>
        <s v="Kunal Shah"/>
        <s v="G Kan"/>
        <s v="Belal Habib"/>
        <s v="Mike Flynn"/>
        <s v="Shama Joseph"/>
        <s v="J Cerny"/>
        <s v="R Keytir"/>
        <s v="Gupta Abhimanyu"/>
        <s v="Nirali Patel"/>
        <s v="Payal Patel"/>
        <s v="Diya Puthur"/>
        <s v="A Kadyta"/>
        <s v="Gunter Neeb"/>
        <s v="Maria Romel"/>
        <s v="Ibrahim Mohammed"/>
        <s v="Jitendra Nath Kapoor"/>
        <s v="Utkarsh Bundele"/>
        <s v="HM Joshi"/>
        <s v="A Taldul"/>
        <s v="Kiran Subedi"/>
        <s v="M Walsh"/>
        <s v="H Saunders"/>
        <s v="Scott Francis"/>
        <s v="Kanwaljit Singh"/>
        <s v="Nisha Jain"/>
        <s v="Akshat Pande"/>
        <s v="Rajan Parrikar"/>
        <s v="Najeem Puthuval"/>
        <s v="T Hallej"/>
        <s v="R Neesen"/>
        <s v="Read Emmanuel"/>
        <s v="Soumil Gupta"/>
        <s v="V Ranganathan"/>
        <s v="M Allam"/>
        <s v="Vijayendranath D Kabadi"/>
        <s v="Swathi Ramachandran"/>
        <s v="S Harashina"/>
        <s v="Glen George"/>
        <s v="Maitri Sivaraman"/>
        <s v="Abhijit Banerjee"/>
        <s v="Anish Barot"/>
        <s v="Vishal Pritwani"/>
        <s v="Johar Maredia"/>
        <s v="Aseem Bhattarai"/>
        <s v="Lee Tovell"/>
        <s v="Rupesh Thakkar"/>
        <s v="S Marshad"/>
        <s v="W Hasara"/>
        <s v="T Rahkina"/>
        <s v="D Basariya"/>
        <s v="Carrie Lobo"/>
        <s v="J Bernard"/>
        <s v="A Rahman"/>
        <s v="Hemant Sahu"/>
        <s v="Neeta Kohli"/>
        <s v="Pooja Singh"/>
        <s v="Nakul Khandelwalji"/>
        <s v="Sohil Sharma"/>
        <s v="Rubina Jamshidi"/>
        <s v="V Madhusudana Rao"/>
        <s v="S Alabramian"/>
        <s v="Manu Anand"/>
        <s v="G Marler"/>
        <s v="Carl Pinto"/>
        <s v="A Kamath"/>
        <s v="I Thardatha"/>
        <s v="N Bajisan"/>
        <s v="Joseph Sebastian"/>
        <s v="Hem Desai"/>
        <s v="Urvi Shah"/>
        <s v="N Hardy"/>
        <s v="Amit Baboo"/>
        <s v="Namrata Malhotra"/>
        <s v="Madrid Vetticad"/>
        <s v="Kuldeep Singh"/>
        <s v="Amanpreet Chander"/>
        <s v="Kavitha Valeriparambath"/>
        <s v="N Teck"/>
        <s v="Manickam Jayamurthy"/>
        <s v="Nitin John"/>
        <s v="V Ladhani"/>
        <s v="N Savina"/>
        <s v="P Brar"/>
        <s v="Bhaswati Goswami"/>
        <s v="Vijay Vivek"/>
        <s v="Davinder Nahar"/>
        <s v="Divakar Prasad"/>
        <s v="F Mazet-Mulye"/>
        <s v="Imran Kanth"/>
        <s v="Yashika Sahdev"/>
        <s v="Umesh Vijrani"/>
        <s v="Harpz Singh"/>
        <s v="N Mardala"/>
        <s v="Subbu Dharna"/>
        <s v="Naitik JIndal"/>
        <s v="Natarajan Sen"/>
        <s v="S Kavyaa"/>
        <s v="Rishita Mehta"/>
        <s v="S Fernandes"/>
        <s v="L Hardani"/>
        <s v="P Varwan"/>
        <s v="A Banesh"/>
        <s v="Sahil Singla"/>
        <s v="S Karsham"/>
        <s v="Pravin Thomas"/>
        <s v="Alen Roy"/>
        <s v="Naiya Rana"/>
        <s v="H Barten"/>
        <s v="Jonathan Rivas"/>
        <s v="S Pardelo"/>
        <s v="Dhondi Pradeep"/>
        <s v="J Tovey"/>
        <s v="Kalyani Sakalkale"/>
        <s v="Amreen Khan"/>
        <s v="B Chardour"/>
        <s v="H Madyesh"/>
        <s v="Adnan Maulvi"/>
        <s v="Anup Nair"/>
        <s v="S Darshema"/>
        <s v="M Thane"/>
        <s v="S Pradhan"/>
        <s v="S Srijeeta"/>
        <s v="X Parnier"/>
        <s v="P Lahdun"/>
        <s v="S Kanjun"/>
        <s v="S Rayan"/>
        <s v="S Harmul"/>
        <s v="Laxmi Mrig"/>
        <s v="T Kavenagar"/>
        <s v="Mohammad Sahil"/>
        <s v="S Kawana"/>
        <s v="Dinesh Jhunjhnuwala"/>
        <s v="D Badey"/>
        <s v="D Kuney"/>
        <s v="Rishad Patel"/>
        <s v="Ankit Kumar Pandey"/>
        <s v="Ishan Pai"/>
        <s v="Manidipa De"/>
        <s v="S Ubaid"/>
        <s v="Saif Ali"/>
        <s v="Anna Whyte"/>
        <s v="Harish Raheja"/>
        <s v="C Banil"/>
        <s v="Fathima Samah"/>
        <s v="Rajeev Sud"/>
        <s v="R Rani"/>
        <s v="Sarah Moore"/>
        <s v="A Madilya"/>
        <s v="Priyanka Ghosh"/>
        <s v="C Haloudry"/>
        <s v="Sumesh Dudani"/>
        <s v="T Ashyer"/>
        <s v="Monish Mathur"/>
        <s v="Gaurav Dhaka"/>
        <s v="H Rajesh"/>
        <s v="Aakanksha Munjhal"/>
        <s v="S Anand"/>
        <s v="Gordana Medunic"/>
        <s v="Mridula Dua"/>
        <s v="Jerril John"/>
        <s v="G Firth"/>
        <s v="T Thomson"/>
        <s v="Vaibhav Shete"/>
        <s v="C Haltin"/>
        <s v="Shilpi Sharan"/>
        <s v="Sharma Umessh Kumar"/>
        <s v="Souvik Das"/>
        <s v="Usha Ganisetti"/>
        <s v="Sandi Kunda"/>
        <s v="Kailash Kumar"/>
        <s v="Vipin Jain"/>
        <s v="Shubham Mantri"/>
        <s v="Nitin Bajaj"/>
        <s v="Karan Gupta"/>
        <s v="Chandar Venkatesh Nandi"/>
        <s v="Siddhartha Das"/>
        <s v="B Victor"/>
        <s v="S Vickers"/>
        <s v="Kevin Barrance"/>
        <s v="T Gantog"/>
        <s v="Shivam Negi"/>
        <s v="Savi Mull"/>
        <s v="D Amir"/>
        <s v="Chandra Dubey"/>
        <s v="Anitha Sathya"/>
        <s v="Avinash Sadarangani"/>
        <s v="A Bandey"/>
        <s v="D Chopra"/>
        <s v="Yamshi Sagir"/>
        <s v="D Kubin"/>
        <s v="D Bunay"/>
        <s v="M Theeran"/>
        <s v="Ravin Ramachandran Nair"/>
        <s v="Nandita Ahuja"/>
        <s v="G Vakesh"/>
        <s v="D Hoover"/>
        <s v="P Dayal"/>
        <s v="Vikaas Kalantri"/>
        <s v="Rudra Bhattacharya"/>
        <s v="Atharva Agashe"/>
        <s v="Abhishek Ghamande"/>
        <s v="Samarendra Patra"/>
      </sharedItems>
    </cacheField>
    <cacheField name="Date" numFmtId="164">
      <sharedItems count="212">
        <s v="14th October 2023"/>
        <s v="7th April 2023"/>
        <s v="29th September 2022"/>
        <s v="26th June 2022"/>
        <s v="11th December 2021"/>
        <s v="26th February 2021"/>
        <s v="17th February 2020"/>
        <s v="27th October 2019"/>
        <s v="12th June 2019"/>
        <s v="24th November 2018"/>
        <s v="14th May 2018"/>
        <s v="20th October 2017"/>
        <s v="26th September 2024"/>
        <s v="11th September 2024"/>
        <s v="27th August 2024"/>
        <s v="19th July 2024"/>
        <s v="19th June 2024"/>
        <s v="17th May 2024"/>
        <s v="29th April 2024"/>
        <s v="11th April 2024"/>
        <s v="16th March 2024"/>
        <s v="3rd March 2024"/>
        <s v="2nd February 2024"/>
        <s v="3rd January 2024"/>
        <s v="5th December 2023"/>
        <s v="21st November 2023"/>
        <s v="27th October 2023"/>
        <s v="9th October 2023"/>
        <s v="26th September 2023"/>
        <s v="11th September 2023"/>
        <s v="19th August 2023"/>
        <s v="7th August 2023"/>
        <s v="18th July 2023"/>
        <s v="5th July 2023"/>
        <s v="27th June 2023"/>
        <s v="20th June 2023"/>
        <s v="14th June 2023"/>
        <s v="9th June 2023"/>
        <s v="26th May 2023"/>
        <s v="3rd May 2023"/>
        <s v="19th April 2023"/>
        <s v="4th April 2023"/>
        <s v="18th March 2023"/>
        <s v="5th March 2023"/>
        <s v="25th February 2023"/>
        <s v="18th February 2023"/>
        <s v="27th January 2023"/>
        <s v="14th January 2023"/>
        <s v="2nd January 2023"/>
        <s v="11th December 2022"/>
        <s v="19th November 2022"/>
        <s v="25th October 2022"/>
        <s v="30th September 2022"/>
        <s v="15th September 2022"/>
        <s v="20th August 2022"/>
        <s v="7th August 2022"/>
        <s v="9th July 2022"/>
        <s v="21st May 2022"/>
        <s v="30th April 2022"/>
        <s v="4th April 2022"/>
        <s v="13th March 2022"/>
        <s v="16th January 2022"/>
        <s v="2nd December 2021"/>
        <s v="24th October 2021"/>
        <s v="12th September 2021"/>
        <s v="17th June 2021"/>
        <s v="14th March 2021"/>
        <s v="12th September 2024"/>
        <s v="15th June 2024"/>
        <s v="3rd February 2024"/>
        <s v="20th September 2023"/>
        <s v="4th March 2023"/>
        <s v="9th December 2021"/>
        <s v="14th February 2020"/>
        <s v="28th December 2018"/>
        <s v="5th July 2018"/>
        <s v="28th October 2017"/>
        <s v="12th October 2014"/>
        <s v="2nd May 2023"/>
        <s v="21st April 2023"/>
        <s v="12th April 2023"/>
        <s v="25th March 2023"/>
        <s v="19th March 2023"/>
        <s v="11th February 2023"/>
        <s v="8th December 2022"/>
        <s v="12th November 2022"/>
        <s v="19th October 2022"/>
        <s v="15th August 2022"/>
        <s v="7th April 2022"/>
        <s v="21st March 2022"/>
        <s v="21st February 2022"/>
        <s v="23rd January 2022"/>
        <s v="23rd December 2021"/>
        <s v="27th November 2021"/>
        <s v="23rd September 2024"/>
        <s v="10th August 2024"/>
        <s v="24th May 2024"/>
        <s v="5th March 2024"/>
        <s v="17th January 2024"/>
        <s v="30th November 2023"/>
        <s v="18th August 2023"/>
        <s v="8th July 2023"/>
        <s v="24th April 2023"/>
        <s v="20th February 2023"/>
        <s v="19th January 2023"/>
        <s v="30th October 2022"/>
        <s v="19th September 2022"/>
        <s v="16th July 2022"/>
        <s v="15th May 2022"/>
        <s v="27th February 2022"/>
        <s v="10th September 2021"/>
        <s v="17th March 2021"/>
        <s v="9th November 2020"/>
        <s v="5th March 2020"/>
        <s v="13th December 2019"/>
        <s v="13th November 2019"/>
        <s v="17th September 2019"/>
        <s v="21st July 2019"/>
        <s v="31st May 2019"/>
        <s v="18th April 2019"/>
        <s v="12th February 2019"/>
        <s v="21st December 2018"/>
        <s v="4th October 2018"/>
        <s v="28th June 2018"/>
        <s v="27th April 2018"/>
        <s v="26th February 2018"/>
        <s v="20th November 2017"/>
        <s v="12th August 2017"/>
        <s v="17th February 2017"/>
        <s v="17th November 2016"/>
        <s v="30th July 2016"/>
        <s v="26th January 2016"/>
        <s v="28th November 2015"/>
        <s v="3rd September 2015"/>
        <s v="10th April 2015"/>
        <s v="1st December 2014"/>
        <s v="22nd July 2014"/>
        <s v="13th January 2014"/>
        <s v="7th October 2013"/>
        <s v="23rd May 2013"/>
        <s v="8th January 2013"/>
        <s v="22nd June 2024"/>
        <s v="18th April 2024"/>
        <s v="11th March 2024"/>
        <s v="25th January 2024"/>
        <s v="7th December 2023"/>
        <s v="1st November 2023"/>
        <s v="21st September 2023"/>
        <s v="11th July 2023"/>
        <s v="2nd June 2023"/>
        <s v="8th January 2023"/>
        <s v="13th November 2022"/>
        <s v="26th August 2022"/>
        <s v="11th June 2022"/>
        <s v="20th May 2022"/>
        <s v="20th March 2022"/>
        <s v="6th December 2021"/>
        <s v="21st September 2021"/>
        <s v="15th September 2021"/>
        <s v="23rd August 2021"/>
        <s v="6th May 2021"/>
        <s v="8th March 2021"/>
        <s v="29th January 2021"/>
        <s v="8th December 2020"/>
        <s v="6th November 2020"/>
        <s v="4th October 2020"/>
        <s v="30th March 2020"/>
        <s v="17th March 2020"/>
        <s v="15th February 2020"/>
        <s v="30th January 2020"/>
        <s v="16th January 2020"/>
        <s v="1st January 2020"/>
        <s v="7th December 2019"/>
        <s v="21st November 2019"/>
        <s v="4th November 2019"/>
        <s v="10th October 2019"/>
        <s v="18th September 2019"/>
        <s v="8th August 2019"/>
        <s v="22nd July 2019"/>
        <s v="24th June 2019"/>
        <s v="29th May 2019"/>
        <s v="6th May 2019"/>
        <s v="21st April 2019"/>
        <s v="28th March 2019"/>
        <s v="26th February 2019"/>
        <s v="1st January 2019"/>
        <s v="2nd December 2018"/>
        <s v="15th November 2018"/>
        <s v="28th August 2024"/>
        <s v="30th April 2024"/>
        <s v="17th February 2024"/>
        <s v="28th November 2023"/>
        <s v="25th September 2023"/>
        <s v="14th August 2023"/>
        <s v="11th April 2023"/>
        <s v="4th October 2022"/>
        <s v="4th August 2022"/>
        <s v="5th June 2022"/>
        <s v="1st April 2022"/>
        <s v="26th November 2021"/>
        <s v="15th May 2021"/>
        <s v="29th November 2020"/>
        <s v="27th February 2020"/>
        <s v="10th November 2019"/>
        <s v="5th August 2019"/>
        <s v="22nd March 2019"/>
        <s v="13th September 2018"/>
        <s v="24th March 2018"/>
        <s v="19th October 2017"/>
        <s v="22nd January 2017"/>
        <s v="9th October 2016"/>
        <s v="15th June 2016"/>
      </sharedItems>
    </cacheField>
    <cacheField name="Date2" numFmtId="0">
      <sharedItems/>
    </cacheField>
    <cacheField name="Month" numFmtId="0">
      <sharedItems count="12">
        <s v="October"/>
        <s v="April"/>
        <s v="September"/>
        <s v="June"/>
        <s v="December"/>
        <s v="February"/>
        <s v="November"/>
        <s v="May"/>
        <s v="August"/>
        <s v="July"/>
        <s v="March"/>
        <s v="January"/>
      </sharedItems>
    </cacheField>
    <cacheField name="Year" numFmtId="0">
      <sharedItems count="12">
        <s v="2023"/>
        <s v="2022"/>
        <s v="2021"/>
        <s v="2020"/>
        <s v="2019"/>
        <s v="2018"/>
        <s v="2017"/>
        <s v="2024"/>
        <s v="2014"/>
        <s v="2016"/>
        <s v="2015"/>
        <s v="2013"/>
      </sharedItems>
    </cacheField>
    <cacheField name="Recommond"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ranjithkumar" refreshedDate="45837.395220949074" createdVersion="8" refreshedVersion="8" minRefreshableVersion="3" recordCount="2210" xr:uid="{3CC73A96-CBB3-4355-8ABD-8B30A6AA1104}">
  <cacheSource type="worksheet">
    <worksheetSource name="Table1"/>
  </cacheSource>
  <cacheFields count="10">
    <cacheField name="AirLine_Name" numFmtId="0">
      <sharedItems count="7">
        <s v="AirAsia India"/>
        <s v="AirIndia"/>
        <s v="Air India Express"/>
        <s v="Go First"/>
        <s v="IndiGo"/>
        <s v="SpiceJet"/>
        <s v="Vistara"/>
      </sharedItems>
    </cacheField>
    <cacheField name="Rating" numFmtId="0">
      <sharedItems containsString="0" containsBlank="1" containsNumber="1" containsInteger="1" minValue="1" maxValue="10" count="11">
        <n v="6"/>
        <n v="1"/>
        <n v="10"/>
        <n v="8"/>
        <n v="9"/>
        <n v="7"/>
        <n v="2"/>
        <n v="5"/>
        <n v="3"/>
        <n v="4"/>
        <m/>
      </sharedItems>
    </cacheField>
    <cacheField name="Review Type" numFmtId="0">
      <sharedItems count="3">
        <s v="Neutral"/>
        <s v="Bad"/>
        <s v="Good"/>
      </sharedItems>
    </cacheField>
    <cacheField name="Title" numFmtId="0">
      <sharedItems count="1964">
        <s v="&quot;crew were welcoming&quot;"/>
        <s v="&quot;furious and disappointed&quot;"/>
        <s v="&quot;amazing service and support&quot;"/>
        <s v="&quot;Waste of time and money&quot;"/>
        <s v="&quot;thumbs up to boarding crew&quot;"/>
        <s v="&quot;Services were good&quot;"/>
        <s v="&quot;thank entire staff of Air Asia&quot;"/>
        <s v="&quot;impressed with her fluency&quot;"/>
        <s v="&quot;completely unacceptable behaviour&quot;"/>
        <s v="&quot;hospitality and customer delight&quot;"/>
        <s v="&quot;customer service was excellent&quot;"/>
        <s v="&quot;exceptionally great service&quot;"/>
        <s v="&quot;Overall not a bad experience&quot;"/>
        <s v="&quot;most congested seating&quot;"/>
        <s v="&quot;most congested seating configuration I found in India&quot;"/>
        <s v="&quot;the staff was not cooperative&quot;"/>
        <s v="&quot;Worst customer service&quot;"/>
        <s v="&quot;had worst experience ever&quot;"/>
        <s v="&quot;none of them had received calls&quot;"/>
        <s v="&quot;Thanks to his generous behaviour&quot;"/>
        <s v="&quot;staff was good&quot;"/>
        <s v="&quot;It was a great experience&quot;"/>
        <s v="&quot;Terrible experience with check in&quot;"/>
        <s v="&quot;Awesome polite cabin crew&quot;"/>
        <s v="&quot;such a lovely staff&quot;"/>
        <s v="&quot;Boarding was delayed by 30 min&quot;"/>
        <s v="&quot;Overall a good flight&quot;"/>
        <s v="&quot;my experience was not pleasant&quot;"/>
        <s v="&quot;thankful to them&quot;"/>
        <s v="&quot;allow normal size sports equipment&quot;"/>
        <s v="&quot;Will never choose it again&quot;"/>
        <s v="&quot;we will not travel with you any more&quot;"/>
        <s v="&quot;very serious concern about baggage&quot;"/>
        <s v="&quot;for the first time and now I really regret my decision&quot;"/>
        <s v="&quot;Very disappointed with AirAsia India&quot;"/>
        <s v="!&quot;I am done with AirAsia India&quot;"/>
        <s v="&quot;The crew were friendly and welcoming&quot;"/>
        <s v="&quot;This has been a terrible experience&quot;"/>
        <s v="&quot;a very nice and unexpected touch&quot;"/>
        <s v="&quot;service offered were horrible&quot;"/>
        <s v="&quot;the worst airline you can board&quot;"/>
        <s v="&quot;charge you for every ounce of luggage&quot;"/>
        <s v="&quot;the refund amount is low&quot;"/>
        <s v="&quot;never recommend AirAsia India&quot;"/>
        <s v="&quot;seat pitch is something that needs to be kept in mind&quot;"/>
        <s v="&quot;wait in Pune airport for 7 hrs&quot;"/>
        <s v="&quot;overall flight went well&quot;"/>
        <s v="&quot;insisted on redistributing the luggage&quot;"/>
        <s v="&quot;received my refund after 6 weeks&quot;"/>
        <s v="&quot;Wonderful and attentive crew members&quot;"/>
        <s v="&quot;share the pleasant experience I had&quot;"/>
        <s v="&quot;Kudos to the entire team!&quot;"/>
        <s v="&quot;I cancelled the ticket&quot;"/>
        <s v="&quot;applied for cancellation&quot;"/>
        <s v="&quot;staff didnâ€™t let board&quot;"/>
        <s v="&quot;refund in the form of credit points &quot;"/>
        <s v="&quot;no telephone service outside India&quot;"/>
        <s v="&quot;cabin bag bigger than permitted size&quot;"/>
        <s v="&quot;cancellation charges will apply&quot;"/>
        <s v="&quot;I was pleasantly surprised&quot;"/>
        <s v="&quot;even changed the seat&quot;"/>
        <s v="&quot;the flight was quite nice&quot;"/>
        <s v="&quot;Need to learn a lot&quot;"/>
        <s v="&quot;Made me pay more for luggage&quot;"/>
        <s v="&quot;delayed for 2 hours initially&quot;"/>
        <s v="&quot;charge for rescheduling&quot;"/>
        <s v="&quot;rescheduled the flight&quot;"/>
        <s v="&quot;want the refund of prebooked meal&quot;"/>
        <s v="&quot;Rs 4000 for 2kgs extra hand luggage&quot;"/>
        <s v="&quot;Extremely poor services&quot;"/>
        <s v="&quot;Very frustrating experience&quot;"/>
        <s v="&quot;crew were very proactive and good&quot;"/>
        <s v="&quot;smooth take-off and landing&quot;"/>
        <s v="&quot;wonderful customer support&quot;"/>
        <s v="&quot;didn't offer refund&quot;"/>
        <s v="&quot;very bad experience&quot;"/>
        <s v="&quot;chaos at the airport&quot;"/>
        <s v="&quot;not informing the customers&quot;"/>
        <s v="&quot;a pretty unpleasant flight&quot;"/>
        <s v="&quot;couldnâ€™t find my baggage&quot;"/>
        <s v="&quot;virtual assistant is of no use&quot;"/>
        <s v="&quot;One of the best experiences &quot;"/>
        <s v="&quot;pay more for a couple of extra kgs&quot;"/>
        <s v="&quot;delayed for 4 hours&quot;"/>
        <s v="&quot;Clean aircraft and helpful crew&quot;"/>
        <s v="&quot;Gate changed 5 times&quot;"/>
        <s v="AirAsia India customer review"/>
        <s v="&quot;were all so warm and helpful&quot;"/>
        <s v="&quot;ground staff were well trained&quot;"/>
        <s v="&quot;amazing, good and polite&quot;"/>
        <s v="&quot;got rescheduled again&quot;"/>
        <s v="&quot;service was very good&quot;"/>
        <s v="&quot;not at all comfortable&quot;"/>
        <s v="&quot;low quality of service&quot;"/>
        <s v="&quot;I had to cancel my trip&quot;"/>
        <s v="&quot;Never ever go with AirAsia&quot;"/>
        <s v="&quot;like to applaud the staff&quot;"/>
        <s v="&quot;Poor seating arrangement&quot;"/>
        <s v="&quot;option in paid seats&quot;"/>
        <s v="&quot;seats at different places&quot;"/>
        <s v="&quot;really cheap tricks&quot;"/>
        <s v="&quot;staff are inefficient&quot;"/>
        <s v="&quot;main problem price of food and drink&quot;"/>
        <s v="&quot;arrival was not on time&quot;"/>
        <s v="&quot;Seat comfort was good&quot;"/>
        <s v="&quot;seat was really comfortable&quot;"/>
        <s v="&quot;got delayed for 2.5 hours&quot;"/>
        <s v="&quot;prefer AirAsia for my next trip&quot;"/>
        <s v="&quot;missed my International flight&quot;"/>
        <s v="&quot;no more check in baggage allowed&quot;"/>
        <s v="&quot;baggage got left behind&quot;"/>
        <s v="&quot;happy with the travel&quot;"/>
        <s v="&quot;was quite impressed&quot;"/>
        <s v="&quot;never to travel via Air Asia again&quot;"/>
        <s v="&quot;no option to pick a seat&quot;"/>
        <s v="&quot;paying almost nothing for the tickets&quot;"/>
        <s v="&quot;such a bad experience&quot;"/>
        <s v="&quot;demanded seat charges&quot;"/>
        <s v="&quot;not assisting on delays&quot;"/>
        <s v="&quot;reasonable low-fare airline&quot;"/>
        <s v="â€œFor the price paid flight was pretty goodâ€"/>
        <s v="&quot;the experience was extremely poor&quot;"/>
        <s v="&quot;incompetence of this airline&quot;"/>
        <s v="&quot;disappointed in Air India service&quot;"/>
        <s v="&quot;made me buy a new ticket&quot;"/>
        <s v="&quot;I had the worst experience&quot;"/>
        <s v="&quot;14.5 hour flight no entertainment&quot;"/>
        <s v="â€œWe wonâ€™t forget it!â€"/>
        <s v="&quot;worst of my flying experience&quot;"/>
        <s v="â€œservice is just getting worse and worseâ€"/>
        <s v="&quot;service they provide is beyond the worst&quot;"/>
        <s v="&quot;I have asked for compensation&quot;"/>
        <s v="&quot;18 hour delay&quot;"/>
        <s v="&quot;Annoying, frustrating and sad experience &quot;"/>
        <s v="&quot;ancient angled flat seat&quot;"/>
        <s v="&quot;equipment is super old&quot;"/>
        <s v="&quot;crew were quite nice and friendly&quot;"/>
        <s v="&quot;seats wont recline and handles broken&quot;"/>
        <s v="&quot;customer care is -1&quot;"/>
        <s v="&quot;embarrassing and unacceptable&quot;"/>
        <s v="&quot;Air India still has lot of work to do&quot;"/>
        <s v="&quot;Worst airline available&quot;"/>
        <s v="&quot;the worst experience&quot;"/>
        <s v="&quot;it was a horrible experience&quot;"/>
        <s v="&quot;bags were delayed by 2+ weeks&quot;"/>
        <s v="&quot;No concern for consumers&quot;"/>
        <s v="&quot;12hour flight without a working screen&quot;"/>
        <s v="&quot;Get your act together&quot;"/>
        <s v="&quot;Avoid flying Air India&quot;"/>
        <s v="&quot;didn't bother refunding my money&quot;"/>
        <s v="&quot;Air India do not care&quot;"/>
        <s v="&quot;no proper information to the travellers&quot;"/>
        <s v="&quot;give you the torture treatment&quot;"/>
        <s v="&quot; I was really disappointed&quot;"/>
        <s v="&quot;never fly Air India again&quot;"/>
        <s v="&quot;beyond useless and unhelpful&quot;"/>
        <s v="&quot;charged me for the weight of my duty-free&quot;"/>
        <s v="â€œNo value for moneyâ€"/>
        <s v="â€œFood was great as alwaysâ€"/>
        <s v="&quot;Very unhappy with the service&quot;"/>
        <s v="&quot;express my deep disappointment&quot;"/>
        <s v="â€œstaff was polite and helpfulâ€"/>
        <s v="&quot;boarding experience was tiring&quot;"/>
        <s v="&quot;Totally messed up airline&quot;"/>
        <s v="&quot;16 hour flight without entertainment&quot;"/>
        <s v="&quot;Horrible experience during check in&quot;"/>
        <s v="&quot;will not recommend&quot;"/>
        <s v="&quot;snack service was not up to par&quot;"/>
        <s v="&quot;Every service needs deep review&quot;"/>
        <s v="&quot;charging for carrying a laptop bag&quot;"/>
        <s v="&quot;The worst company ever&quot;"/>
        <s v="â€œCustomer Service is the worstâ€"/>
        <s v="&quot;please avoid Air India&quot;"/>
        <s v="&quot;pathetic service and attitude&quot;"/>
        <s v="â€œpoor management and bad decisionsâ€"/>
        <s v="&quot; disaster from start to finish&quot;"/>
        <s v="&quot;worst experience Iâ€™ve had&quot;"/>
        <s v="&quot;3 toilets out of order&quot;"/>
        <s v="â€œnot the customer service we expectâ€"/>
        <s v="&quot;terrible customer service experience&quot;"/>
        <s v="&quot;Worst Staff behaviour&quot;"/>
        <s v="&quot;no in flight entertainment&quot;"/>
        <s v="Air India customer review"/>
        <s v="â€œnothing short of a nightmareâ€"/>
        <s v="&quot;ridiculous customer service&quot;"/>
        <s v="&quot;No working entertainment&quot;"/>
        <s v="&quot;a pretty routine flight&quot;"/>
        <s v="&quot;seat back was in a catastrophic state&quot;"/>
        <s v="&quot;One way my IFE was not working&quot;"/>
        <s v="&quot;Will not fly on them again&quot;"/>
        <s v="â€œTerrible experienceâ€"/>
        <s v="&quot;the disgrace to the country&quot;"/>
        <s v="&quot;not in any way attentive&quot;"/>
        <s v="&quot;Overall had a good experience&quot;"/>
        <s v="&quot;Entertainment was not working&quot;"/>
        <s v="&quot;disheartening to see such discrepancies&quot;"/>
        <s v="&quot;Worst trip in a business class ever&quot;"/>
        <s v="&quot;Worst experience!&quot;"/>
        <s v="&quot;change the gates any time&quot;"/>
        <s v="&quot;unprofessional and uncooperative&quot;"/>
        <s v="&quot;Air India lost my luggage&quot;"/>
        <s v="&quot;Excellent leg room&quot;"/>
        <s v="&quot;very unenjoyable flight&quot;"/>
        <s v="&quot;No light button for reading too&quot;"/>
        <s v="&quot;worst international flight experience&quot;"/>
        <s v="â€œNothing was workingâ€"/>
        <s v="&quot;a nightmare that might haunt me&quot;"/>
        <s v="â€œgood decent serviceâ€"/>
        <s v="â€œdidn't offer any kind of compensationâ€"/>
        <s v="&quot;Very disappointed&quot;"/>
        <s v="&quot;extremely dissatisfied with Air India&quot;"/>
        <s v="&quot;I asked for compensation&quot;"/>
        <s v="&quot;Itâ€™s a bad experience&quot;"/>
        <s v="&quot;Very polite cabin crew&quot;"/>
        <s v="&quot;horrible, dirty and old&quot;"/>
        <s v="&quot;Our worst flying experience&quot;"/>
        <s v="â€œa fabulous experienceâ€œ"/>
        <s v="&quot;Excellent crew, polite and professional&quot;"/>
        <s v="&quot;Absolutely the worst flight&quot;"/>
        <s v="&quot;My worst flying experience&quot;"/>
        <s v="&quot;A very bad experience&quot;"/>
        <s v="&quot;experience left much to be desired&quot;"/>
        <s v="â€œhad a very pleasant experienceâ€"/>
        <s v="&quot;Total waste of your money&quot;"/>
        <s v="&quot;outstanding service provided&quot;"/>
        <s v="&quot;the seats are falling apart&quot;"/>
        <s v="&quot;clean and comfortable seats&quot;"/>
        <s v="&quot;25kg check in Baggage&quot;"/>
        <s v="&quot;Avoid like a Plague&quot;"/>
        <s v="&quot;Both my flights were delayed&quot;"/>
        <s v="&quot;did not enjoy the flight&quot;"/>
        <s v="&quot;cancelled our flight just 2 hours prior&quot;"/>
        <s v="&quot;terrible airline&quot;"/>
        <s v="&quot;wouldn't recommend this nasty airline&quot;"/>
        <s v="&quot;Do not expect a comfortable seat&quot;"/>
        <s v="â€œfly another carrierâ€"/>
        <s v="&quot;a disappointing experience&quot;"/>
        <s v="â€œflight was delayed by 14 hrsâ€"/>
        <s v="â€œWorst airline everâ€"/>
        <s v="&quot;attempting to profit $700 from me&quot;"/>
        <s v="â€œinfotainment system wasnâ€™t workingâ€"/>
        <s v="â€œdirty toilets, tray table and stained seatsâ€"/>
        <s v="&quot;customer service was terrible&quot;"/>
        <s v="â€œthey have done a commendable jobâ€"/>
        <s v="&quot;lack the concept of hospitality&quot;"/>
        <s v="â€œexperience with Air India was challengingâ€"/>
        <s v="â€œcrew were quite nice and soothingâ€"/>
        <s v="&quot;experience was much worse than ever before&quot;"/>
        <s v="&quot;Just a terrible experience&quot;"/>
        <s v="&quot;experienced excellent service&quot;"/>
        <s v="&quot;disappoints on international routes&quot;"/>
        <s v="&quot;Comfortable seating&quot;"/>
        <s v="&quot;Pathetic airline&quot;"/>
        <s v="&quot;No entertainment at all&quot;"/>
        <s v="&quot;a very humiliating experience&quot;"/>
        <s v="â€œthe soft product was markedly improvedâ€"/>
        <s v="&quot;the worst Iâ€™ve travelled&quot;"/>
        <s v="&quot;never expected or experienced such a difficult flight&quot;"/>
        <s v="&quot;like a never ending nightmare&quot;"/>
        <s v="&quot;I was just refunded taxes&quot;"/>
        <s v="&quot;whole food experience was disgusting&quot;"/>
        <s v="&quot;half of the screens weren't working&quot;"/>
        <s v="&quot;The worst airline to fly&quot;"/>
        <s v="&quot;nothing is right&quot;"/>
        <s v="&quot;entire experience left us deeply disappointed&quot;"/>
        <s v="&quot;Spend your money on other airlines&quot;"/>
        <s v="&quot;Be aware of this airline&quot;"/>
        <s v="&quot;Not a good experience&quot;"/>
        <s v="&quot;deep disappointment and frustration&quot;"/>
        <s v="&quot;pay 14,000 INR because of extra luggage&quot;"/>
        <s v="&quot;a very disappointing experience&quot;"/>
        <s v="&quot;seats were worn out, uncomfortable&quot;"/>
        <s v="&quot;Staff on both flights were poorly trained&quot;"/>
        <s v="&quot;No lounge or compensation was given&quot;"/>
        <s v="&quot;the most horrible airline&quot;"/>
        <s v="&quot;they need to make some changes&quot;"/>
        <s v="&quot;Pathetic service&quot;"/>
        <s v="&quot;experience is very bad&quot;"/>
        <s v="&quot;site bombed when I tried to pay&quot;"/>
        <s v="&quot;I will never choose Air India&quot;"/>
        <s v="&quot;I had to spend 3 days in the airport&quot;"/>
        <s v="&quot;staff changed our seat numbers&quot;"/>
        <s v="&quot;Worst airline I traveled with&quot;"/>
        <s v="&quot;The seat was broken&quot;"/>
        <s v="&quot;avoid any flight with Air India&quot;"/>
        <s v="&quot;it is highly inconvenient&quot;"/>
        <s v="&quot;a very good experience&quot;"/>
        <s v="&quot;Business class is not roomy&quot;"/>
        <s v="&quot;a really comfortable and good flight&quot;"/>
        <s v="&quot;This is the worst flight service&quot;"/>
        <s v="&quot;very disappointing that they didn't help me&quot;"/>
        <s v="&quot;one of the worst experiences&quot;"/>
        <s v="&quot;everyone was sweating for nearly 2 hours&quot;"/>
        <s v="&quot;food they serve is so bad&quot;"/>
        <s v="&quot;an amazing experience&quot;"/>
        <s v="&quot;It's a third class flight&quot;"/>
        <s v="&quot;a waste of money&quot;"/>
        <s v="&quot;denied to take the bag saying that I am late&quot;"/>
        <s v="&quot;plane seemed terribly run down&quot;"/>
        <s v="&quot;soon lose their customer base&quot;"/>
        <s v="&quot;Worst experience of my life&quot;"/>
        <s v="&quot;delayed almost 5-6 hours&quot;"/>
        <s v="&quot;very low cost aircraft&quot;"/>
        <s v="&quot;IFE screens don't work&quot;"/>
        <s v="&quot;Keep up the good work&quot;"/>
        <s v="&quot;Pathetic and unprofessional&quot;"/>
        <s v="&quot;no different from a low-budget airline&quot;"/>
        <s v="&quot;bathrooms on the plane were disgusting&quot;"/>
        <s v="&quot;Horrible service&quot;"/>
        <s v="&quot;outstanding service from staff&quot;"/>
        <s v="&quot;never ever again Air India&quot;"/>
        <s v="&quot;Disappointed to the core&quot;"/>
        <s v="&quot;going from bad to worst&quot;"/>
        <s v="&quot;was given a regular meal&quot;"/>
        <s v="&quot;both times it was torture&quot;"/>
        <s v="&quot;flight was disgusting and dirty&quot;"/>
        <s v="&quot;gotten progressively worse&quot;"/>
        <s v="&quot;most disappointed&quot;"/>
        <s v="&quot;this was a welcome flight&quot;"/>
        <s v="&quot;company to really avoid&quot;"/>
        <s v="&quot;excellent service provided by staff&quot;"/>
        <s v="&quot;entertainment did not work&quot;"/>
        <s v="&quot;The service was non-existent&quot;"/>
        <s v="&quot;I would still recommend&quot;"/>
        <s v="&quot;first and last flight with Air India&quot;"/>
        <s v="&quot;Again bad experience&quot;"/>
        <s v="&quot;No value for money&quot;"/>
        <s v="&quot;there was nobody there to help&quot;"/>
        <s v="&quot;Worst quality of food!"/>
        <s v="&quot;Worst flight&quot;"/>
        <s v="&quot;No entertainment, no call lights, no seat reclining&quot;"/>
        <s v="&quot;A terrible nightmare&quot;"/>
        <s v="&quot;more than 45 minutes for baggage check&quot;"/>
        <s v="&quot;top notch crew experience&quot;"/>
        <s v="&quot;Worst experience ever&quot;"/>
        <s v="&quot;seats are absolutely atrocious&quot;"/>
        <s v="&quot;service is horrible&quot;"/>
        <s v="&quot;worst customer support&quot;"/>
        <s v="&quot;never seen such kind of chaos&quot;"/>
        <s v="&quot;web check-in was harrowing&quot;"/>
        <s v="&quot;service and customer experience lacking&quot;"/>
        <s v="&quot;Overall good customer service&quot;"/>
        <s v="&quot;held passengers for nearly 4 hours&quot;"/>
        <s v="&quot;seat was completely broken&quot;"/>
        <s v="&quot;Worst inflight experience&quot;"/>
        <s v="&quot;Customer service is getting worse day by day&quot;"/>
        <s v="&quot;Good experience overall&quot;"/>
        <s v="&quot;last time flying Air India&quot;"/>
        <s v="&quot;AI has given nothing but lousy service&quot;"/>
        <s v="&quot;a wonderful experience&quot;"/>
        <s v="&quot;cabin crew not arrived&quot;"/>
        <s v="&quot;Worst flight experience&quot;"/>
        <s v="&quot;staff extremely kind and helpful&quot;"/>
        <s v="&quot;the worst flight experience&quot;"/>
        <s v="&quot;Seats small and uncomfortable&quot;"/>
        <s v="&quot;book at your peril&quot;"/>
        <s v="&quot;Boarding a bit messy&quot;"/>
        <s v="&quot;staff super efficient and friendly&quot;"/>
        <s v="&quot;One of the worst flight experiences&quot;"/>
        <s v="&quot;experienced such poor service&quot;"/>
        <s v="&quot;Very poor flight management&quot;"/>
        <s v="&quot;Food quality horrible&quot;"/>
        <s v="&quot;the worst flight experience &quot;"/>
        <s v="&quot;delayed for more than 5 hours&quot;"/>
        <s v="&quot;a very good flight&quot;"/>
        <s v="&quot;very poor service&quot;"/>
        <s v="&quot;Some seats were not reclining&quot;"/>
        <s v="&quot;Horrible service by Air India&quot;"/>
        <s v="&quot;I asked if he could upgrade me&quot;"/>
        <s v="&quot;bad airline service&quot;"/>
        <s v="&quot;hated my overall flight experience&quot;"/>
        <s v="&quot;Avoid booking Air India&quot;"/>
        <s v="&quot;old planes with no inflight entertainment&quot;"/>
        <s v="&quot;One of the worst airlines&quot;"/>
        <s v="&quot;Very disappointing&quot;"/>
        <s v="&quot;irresponsible airline&quot;"/>
        <s v="&quot;Pathetic experience&quot;"/>
        <s v="&quot;Seats are not at all hygienic&quot;"/>
        <s v="&quot;No Inflight Entertainment&quot;"/>
        <s v="&quot;disappointed that I never got to fly&quot;"/>
        <s v="&quot;the flight was so horrible&quot;"/>
        <s v="&quot;Absolutely primitive aircraft&quot;"/>
        <s v="&quot;food was top class&quot;"/>
        <s v="&quot;better than the last time I flew&quot;"/>
        <s v="&quot;the service was very poor&quot;"/>
        <s v="&quot;Staff new and not efficient&quot;"/>
        <s v="&quot;never travel again with Air India&quot;"/>
        <s v="&quot;comment is mainly for safety concern&quot;"/>
        <s v="&quot;it was shocking&quot;"/>
        <s v="&quot;Would never fly again&quot;"/>
        <s v="&quot;not friendly to customers&quot;"/>
        <s v="&quot;very bad experience in plane&quot;"/>
        <s v="&quot;food was improved&quot;"/>
        <s v="&quot;an excellent flight&quot;"/>
        <s v="&quot;nervous about our journey back home&quot;"/>
        <s v="&quot;Terrible customer service&quot;"/>
        <s v="&quot;entertainment non existent&quot;"/>
        <s v="&quot;Will not fly Air India again&quot;"/>
        <s v="&quot;Air India are idling&quot;"/>
        <s v="&quot;Never flying Air India again&quot;"/>
        <s v="&quot;unfair and bad service&quot;"/>
        <s v="&quot;Seat armrests are broken&quot;"/>
        <s v="&quot;reluctant to help in any way&quot;"/>
        <s v="&quot;Nothing was working at all&quot;"/>
        <s v="&quot;scammed me for such a huge amount&quot;"/>
        <s v="&quot;The flight experience was horrible&quot;"/>
        <s v="&quot;Baggage service to be improved&quot;"/>
        <s v="&quot;Extremely disgusted by Air India&quot;"/>
        <s v="&quot;amazing legroom&quot;"/>
        <s v="&quot;IFE screen does not work&quot;"/>
        <s v="&quot;Flight was clean and neat&quot;"/>
        <s v="&quot;Air India did not disappoint&quot;"/>
        <s v="&quot;the worst I have ever flown with&quot;"/>
        <s v="&quot;not a good customer experience&quot;"/>
        <s v="&quot;rude in their services&quot;"/>
        <s v="&quot;my luggage was damaged&quot;"/>
        <s v="&quot;I appreciate the attitude of the crew&quot;"/>
        <s v="&quot;Appalling airline&quot;"/>
        <s v="&quot;No accountability or professionalism&quot;"/>
        <s v="&quot;Complete disaster&quot;"/>
        <s v="&quot;A total disgrace&quot;"/>
        <s v="&quot;the seats did not recline&quot;"/>
        <s v="&quot;I was very disappointed&quot;"/>
        <s v="&quot;Service gone so down&quot;"/>
        <s v="&quot;Food was below average quality&quot;"/>
        <s v="&quot;Not a good value for money&quot;"/>
        <s v="&quot;did not answer any call button&quot;"/>
        <s v="&quot;beyond a horrible experience&quot;"/>
        <s v="&quot;service was quite nice&quot;"/>
        <s v="&quot;Very pathetic service&quot;"/>
        <s v="&quot;Cabin crew were extremely rude.&quot;"/>
        <s v="&quot;unexpected and unhappy experience&quot;"/>
        <s v="&quot; A big no for Air India&quot;"/>
        <s v="&quot;Long delays are just norm&quot;"/>
        <s v="&quot;Horrible experience&quot;"/>
        <s v="&quot;do avoid at all costs&quot;"/>
        <s v="&quot;Disrespectful and rude cabin crew&quot;"/>
        <s v="&quot;entertainment system not working&quot;"/>
        <s v="&quot;Seats were very uncomfortable&quot;"/>
        <s v="&quot;Very uncooperative airline&quot;"/>
        <s v="&quot;such a bad flight and experience&quot;"/>
        <s v="&quot;So disappointing&quot;"/>
        <s v="&quot;don't care about people&quot;"/>
        <s v="&quot;non-customer friendly company&quot;"/>
        <s v="&quot;a worst experience with check-in&quot;"/>
        <s v="&quot;Never travel with this airline&quot;"/>
        <s v="&quot;delayed for 12 hrs&quot;"/>
        <s v="&quot;Very disappointed with the service&quot;"/>
        <s v="&quot;Disgusting airline&quot;"/>
        <s v="&quot;its prices are reasonable&quot;"/>
        <s v="&quot;wouldn't recommend to anybody&quot;"/>
        <s v="&quot;food was very bad and substandard&quot;"/>
        <s v="&quot;poor services and management&quot;"/>
        <s v="&quot;comfortable seats&quot;"/>
        <s v="&quot;will not fly this airline&quot;"/>
        <s v="&quot;bad quality of food&quot;"/>
        <s v="&quot;A319 and leg room was better&quot;"/>
        <s v="&quot;big difference in quality of service&quot;"/>
        <s v="&quot;screens were not working&quot;"/>
        <s v="&quot;Seats were poorly maintained&quot;"/>
        <s v="&quot;Customer service is very rude&quot;"/>
        <s v="&quot;hygiene on these flights is horrendous&quot;"/>
        <s v="&quot;Excellent experience on board&quot;"/>
        <s v="&quot;2 day delay in our travel plan&quot;"/>
        <s v="&quot;Air India is disgusting&quot;"/>
        <s v="&quot;does not reflect well on the new owners&quot;"/>
        <s v="&quot;check in was chaotic and unorganised&quot;"/>
        <s v="&quot;&quot;"/>
        <s v="&quot;dirty seats and covers&quot;"/>
        <s v="&quot;Most disgusting service&quot;"/>
        <s v="&quot;staff were friendly and helpful&quot;"/>
        <s v="&quot;please avoid this airline&quot;"/>
        <s v="&quot;This flight was appalling&quot;"/>
        <s v="&quot;Never using the airline again&quot;"/>
        <s v="&quot;Complete waste of money&quot;"/>
        <s v="&quot;Great food and customer service&quot;"/>
        <s v="&quot;dropped the ball here big time&quot;"/>
        <s v="&quot;outstanding hospitality&quot;"/>
        <s v="&quot;on time departure and arrival&quot;"/>
        <s v="&quot;I would not recommend this airline&quot;"/>
        <s v="&quot;Customer care and cabin crew are very rude and uncooperative&quot;"/>
        <s v="&quot;Worst flight ever&quot;"/>
        <s v="&quot;I am truly impressed&quot;"/>
        <s v="&quot;cabin crew were absolutely delightful&quot;"/>
        <s v="&quot;disappointed with the Customer Care&quot;"/>
        <s v="&quot;Received very nice service&quot;"/>
        <s v="&quot;Worst flight I have even taken&quot;"/>
        <s v="&quot;The food was good&quot;"/>
        <s v="&quot;Never going to fly with them again&quot;"/>
        <s v="&quot;Food quality was extremely poor&quot;"/>
        <s v="&quot;Worst airline ever&quot;"/>
        <s v="&quot;there was no decent meal available&quot;"/>
        <s v="&quot;great value for money&quot;"/>
        <s v="&quot;Good experience&quot;"/>
        <s v="&quot;a very comfortable experience&quot;"/>
        <s v="&quot;ticket was cheaper by 40%&quot;"/>
        <s v="&quot;do not care for their customers&quot;"/>
        <s v="&quot;Airport staff is not trained well&quot;"/>
        <s v="2seats are broken in business class&quot;"/>
        <s v="&quot;Donâ€™t fly Air India&quot;"/>
        <s v="&quot;very poor experience&quot;"/>
        <s v="&quot;very customer friendly&quot;"/>
        <s v="&quot;experience has been improving&quot;"/>
        <s v="&quot;Flight is the worst&quot;"/>
        <s v="&quot;plane was not cleaned properly&quot;"/>
        <s v="&quot;Her polite behavior was amazing&quot;"/>
        <s v="&quot;smooth and comfortable flight&quot;"/>
        <s v="&quot;a great experience for us2"/>
        <s v="&quot;Outdated aircraft&quot;"/>
        <s v="&quot;Will travel again&quot;"/>
        <s v="&quot;Smooth experience&quot;"/>
        <s v="&quot;offers 20kg baggage allowance&quot;"/>
        <s v="&quot;We had the worst experience&quot;"/>
        <s v="&quot;The airline has improved&quot;"/>
        <s v="&quot;aircraft seats were torn and dirty&quot;"/>
        <s v="&quot;supposedly too late for boarding&quot;"/>
        <s v="&quot;won't fly Air India again&quot;"/>
        <s v="&quot;new ownership is interested in cutting costs&quot;"/>
        <s v="&quot;Worst flight I ever had&quot;"/>
        <s v="&quot;Leg space was also very small&quot;"/>
        <s v="&quot;Totally poor service&quot;"/>
        <s v="&quot; My seat stopped reclining&quot;"/>
        <s v="&quot;I decided to not fly Air India again&quot;"/>
        <s v="&quot;Air India will certainly be my last option&quot;"/>
        <s v="&quot;not cleaned since many of the past flights&quot;"/>
        <s v="&quot;Overall good flight&quot;"/>
        <s v="&quot;Staff were courteous&quot;"/>
        <s v="&quot;Very disappointed with Air India&quot;"/>
        <s v="&quot;I would recommend&quot;"/>
        <s v="&quot;It was a nightmare for us&quot;"/>
        <s v="&quot;stewards were efficient&quot;"/>
        <s v="&quot;seat is not functioning&quot;"/>
        <s v="&quot;Crew was attentive&quot;"/>
        <s v="&quot;not worth the risk of flying with them&quot;"/>
        <s v="&quot;providing low budget airline facilities&quot;"/>
        <s v="&quot;first and the last time on Air India&quot;"/>
        <s v="&quot;One of the worst experience&quot;"/>
        <s v="&quot;Worst experience I have ever had&quot;"/>
        <s v="&quot;not choose this airline&quot;"/>
        <s v="&quot;a dilapidated and outdated aircraft&quot;"/>
        <s v="&quot;Never travel Air India&quot;"/>
        <s v="&quot;Absolute worst airline and service&quot;"/>
        <s v="&quot;Do not fly with them&quot;"/>
        <s v="&quot;This is the worst airline&quot;"/>
        <s v="&quot;It was a horror show&quot;"/>
        <s v="&quot;I am severely disappointed&quot;"/>
        <s v="&quot;surprisingly had a pleasant experience&quot;"/>
        <s v="&quot;wouldn't choose to fly with Air India&quot;"/>
        <s v="&quot;relates to my lost luggage&quot;"/>
        <s v="&quot;Horrible, horrible airline&quot;"/>
        <s v="&quot;the worst customer service&quot;"/>
        <s v="&quot;cabin crew service was very rude&quot;"/>
        <s v="&quot;the worst airline&quot;"/>
        <s v="&quot;rude, unhelpful and unapologetic&quot;"/>
        <s v="&quot;I was told that flight is overbooked&quot;"/>
        <s v="&quot;Just appalled by the poor service&quot;"/>
        <s v="&quot;not able to contact customer service&quot;"/>
        <s v="&quot;Overall a poor experience&quot;"/>
        <s v="&quot;first and last Air India experience&quot;"/>
        <s v="&quot;found the flights enjoyable&quot;"/>
        <s v="&quot;only 10% of the screens started working&quot;"/>
        <s v="&quot;None of the TVs worked and no WIFI&quot;"/>
        <s v="&quot;I will never fly with Air India again&quot;"/>
        <s v="&quot;bad experience with this flight&quot;"/>
        <s v="&quot;Horrible communication&quot;"/>
        <s v="&quot;be ready for a very stressful travel if you choose this Airline&quot;"/>
        <s v="&quot;Terrible customer support&quot;"/>
        <s v="&quot;left stranded with very little options&quot;"/>
        <s v="&quot;entertainment screen wasn't working&quot;"/>
        <s v="&quot;Not recommending anymore&quot;"/>
        <s v="&quot;Very disappointed by the attitude&quot;"/>
        <s v="&quot;She was very unprofessional&quot;"/>
        <s v="&quot;like to appreciate the ground staff&quot;"/>
        <s v="&quot;It was the worst experience&quot;"/>
        <s v="&quot;this was the worst experience&quot;"/>
        <s v="&quot;nothing seems to have changed under the new ownership&quot;"/>
        <s v="&quot;did not have pillows for passengers&quot;"/>
        <s v="&quot;Never again Air India in my life&quot;"/>
        <s v="&quot;a totally chaotic experience&quot;"/>
        <s v="&quot;the food was the worst Iâ€™ve ever had&quot;"/>
        <s v="&quot;Absolute worst flight experience&quot;"/>
        <s v="&quot;an alternative flight was also not arranged&quot;"/>
        <s v="&quot;most mediocre Business class&quot;"/>
        <s v="&quot;doesn't care in the least about customer service&quot;"/>
        <s v="&quot;In flight meal was good&quot;"/>
        <s v="&quot;sublime torture on this 15.5 hour journey&quot;"/>
        <s v="&quot;No entertainment on 16 hr flight&quot;"/>
        <s v="&quot;Worst flight experience ever&quot;"/>
        <s v="&quot;no proper accommodation provided&quot;"/>
        <s v="&quot;do not recommend anyone to fly Air India&quot;"/>
        <s v="&quot;plane was filthy,  entertainment non existent&quot;"/>
        <s v="&quot;waiting for refund since last 1 year&quot;"/>
        <s v="&quot;a great short flight&quot;"/>
        <s v="&quot;not recommend anybody to travel with them&quot;"/>
        <s v="&quot;Customer care support is worst&quot;"/>
        <s v="&quot;havenâ€™t been able to refund me&quot;"/>
        <s v="&quot;told now the change fee had increased&quot;"/>
        <s v="&quot;Never travel with Air India again&quot;"/>
        <s v="&quot;Booking a ticket online is such a pain&quot;"/>
        <s v="&quot;I would say to not fly Air India &quot;"/>
        <s v="&quot;Absolute horrendous experience!"/>
        <s v="&quot;Boarding delay and nothing but chaos&quot;"/>
        <s v="&quot;there is absolutely no clue what is going on&quot;"/>
        <s v="&quot;Worst customer service experience&quot;"/>
        <s v="&quot;not worth the money at all&quot;"/>
        <s v="&quot;good experience on this short sector&quot;"/>
        <s v="&quot;customer support has been absolutely pathetic&quot;"/>
        <s v="&quot;worst experience with this airline&quot;"/>
        <s v="&quot;they were not aware about the rule&quot;"/>
        <s v="&quot;lack of processes and untrained ground staff&quot;"/>
        <s v="&quot;Air India repeatedly disappoints&quot;"/>
        <s v="&quot;I never recommend Air India to anyone&quot;"/>
        <s v="&quot;the most disappointing experience&quot;"/>
        <s v="&quot;Services have downgraded tremendously&quot;"/>
        <s v="&quot;don't have spaceto put my luggage&quot;"/>
        <s v="&quot;bad experience with any airline&quot;"/>
        <s v="&quot;Would not recommend Air India&quot;"/>
        <s v="&quot;unprofessional and rude customer service&quot;"/>
        <s v="&quot;it has not been refunded&quot;"/>
        <s v="&quot;he made sure I was all okay&quot;"/>
        <s v="&quot;most terrible experience ever&quot;"/>
        <s v="&quot;It was a nightmare&quot;"/>
        <s v="&quot;Absolute nightmare&quot;"/>
        <s v="&quot;they said that boarding is closed.&quot;"/>
        <s v="&quot;assigned my seat to someone else&quot;"/>
        <s v="&quot;there was no hygiene&quot;"/>
        <s v="&quot;How can this airline treat passengers so casually?&quot;"/>
        <s v="&quot;amount is not refundable&quot;"/>
        <s v="&quot;not refunding the money&quot;"/>
        <s v="&quot;good for nothing customer support&quot;"/>
        <s v="&quot;significant delay in refunding money&quot;"/>
        <s v="&quot;Is this airline out of their minds?&quot;"/>
        <s v="&quot;their services are so pathetic&quot;"/>
        <s v="&quot;Air India just doesn't care&quot;"/>
        <s v="&quot;seats are not comfortable&quot;"/>
        <s v="&quot;Donâ€™t ever use Air India&quot;"/>
        <s v="&quot;nearly 14 hrs without any entertainment&quot;"/>
        <s v="&quot;phone chargers should be available&quot;"/>
        <s v="&quot;the product is really sub par&quot;"/>
        <s v="&quot;charged me 5040 rupees for 8kg&quot;"/>
        <s v="&quot;it was worth the value&quot;"/>
        <s v="&quot;charged Rs 20,000 for luggage weight&quot;"/>
        <s v="&quot;flight has been re-scheduled three times&quot;"/>
        <s v="&quot;Not following protocols or any rules&quot;"/>
        <s v="&quot;the inflight experience was quite nice&quot;"/>
        <s v="&quot;Worst staff behaviour ever!&quot;"/>
        <s v="&quot;such a terrible experience&quot;"/>
        <s v="&quot;Such a terrible airline&quot;"/>
        <s v="&quot;Completely disgusted with my experience2"/>
        <s v="&quot;bad experience as always&quot;"/>
        <s v="&quot;The worst possible experience&quot;"/>
        <s v="&quot;I feel it's more worst now&quot;"/>
        <s v="â€œVery bad serviceâ€"/>
        <s v="&quot;no information provided&quot;"/>
        <s v="&quot;they refused to refund&quot;"/>
        <s v="â€œEmployees behave badlyâ€"/>
        <s v="â€œno commitment to the clientsâ€"/>
        <s v="&quot;Frequently flight delays&quot;"/>
        <s v="â€œI was really disappointedâ€"/>
        <s v="â€œWorst flight experienceâ€"/>
        <s v="â€œWhat a shame!â€"/>
        <s v="&quot;huge amount on the extra bag&quot;"/>
        <s v="&quot;told to check in our cabin baggage&quot;"/>
        <s v="&quot;Very worst service&quot;"/>
        <s v="&quot;appreciate his professionalism&quot;"/>
        <s v="&quot;Worst staff service&quot;"/>
        <s v="&quot;feeling trapped in the flight&quot;"/>
        <s v="&quot;Worst crew I've ever flown with&quot;"/>
        <s v="&quot;flight experience was worst&quot;"/>
        <s v="&quot;No proper communication&quot;"/>
        <s v="&quot;never recommend Air India&quot;"/>
        <s v="&quot;Thanks for their support&quot;"/>
        <s v="&quot;did not enjoy my flight&quot;"/>
        <s v="&quot;never travel again in this airline&quot;"/>
        <s v="&quot;It is a worst service&quot;"/>
        <s v="&quot;One of the worst airline services&quot;"/>
        <s v="&quot;canceled the flight without any information&quot;"/>
        <s v="&quot;not a pleasant or comfortable experience&quot;"/>
        <s v="&quot;charge you for every 1 Kg&quot;"/>
        <s v="&quot;utter wastage of money and time&quot;"/>
        <s v="&quot;Cabin crews were friendly&quot;"/>
        <s v="&quot;they broke my new luggage&quot;"/>
        <s v="&quot;delayed by more than 3 hours&quot;"/>
        <s v="&quot;a budget flight but with a high fare&quot;"/>
        <s v="&quot;don't recommend this airline&quot;"/>
        <s v="&quot;accommodative and hospitable&quot;"/>
        <s v="&quot;Very good healthy food&quot;"/>
        <s v="&quot;entire staff are rude&quot;"/>
        <s v="&quot;poor service&quot;"/>
        <s v="&quot;delayed for 24 hours and no prior information&quot;"/>
        <s v="&quot;Not value for money&quot;"/>
        <s v="&quot;This airline is not worth the money&quot;"/>
        <s v="&quot;It is value for money&quot;"/>
        <s v="&quot;horrible customer service&quot;"/>
        <s v="&quot;Such a pathetic service&quot;"/>
        <s v="&quot;What a pathetic airline&quot;"/>
        <s v="&quot;I have not received refund yet&quot;"/>
        <s v="&quot;This was very disappointing&quot;"/>
        <s v="&quot;crew surprisingly good&quot;"/>
        <s v="&quot;A very unhappy customer&quot;"/>
        <s v="&quot;really upset about your service&quot;"/>
        <s v="&quot;I did not get a refund yet&quot;"/>
        <s v="&quot;made me very comfortable&quot;"/>
        <s v="&quot;until now I have no response&quot;"/>
        <s v="&quot;Very poor customer service&quot;"/>
        <s v="&quot;took off and landed on time&quot;"/>
        <s v="&quot;I expect to be compensated&quot;"/>
        <s v="&quot;Excellent Service&quot;"/>
        <s v="&quot;refund system is very bad&quot;"/>
        <s v="&quot;no single entertainment&quot;"/>
        <s v="&quot;a pleasant flight&quot;"/>
        <s v="&quot;Worst experience I ever had&quot;"/>
        <s v="&quot;no one cares to reply&quot;"/>
        <s v="&quot;plain and simple incompetence and laziness&quot;"/>
        <s v="&quot;staff service was good&quot;"/>
        <s v="&quot;mostly like a horror movie&quot;"/>
        <s v="&quot;the flight is a disgrace&quot;"/>
        <s v="&quot;a great experience&quot;"/>
        <s v="&quot;asked my seating preference&quot;"/>
        <s v="&quot;I don't care way of dealing&quot;"/>
        <s v="&quot;staff with adamant nature&quot;"/>
        <s v="&quot;Overall experience was good&quot;"/>
        <s v="&quot;flights are delayed&quot;"/>
        <s v="&quot;first experience is bad&quot;"/>
        <s v="&quot;really was a disappointment&quot;"/>
        <s v="&quot;had a horrible experience&quot;"/>
        <s v="&quot;second bad experience&quot;"/>
        <s v="ground staff are so incompetent&quot;"/>
        <s v="&quot;Worst airline in my life&quot;"/>
        <s v="Air India Express customer review"/>
        <s v="&quot;air conditioning wasn't working&quot;"/>
        <s v="&quot;Never fly Air India Express&quot;"/>
        <s v="&quot;entire cabin wasn't in good condition&quot;"/>
        <s v="&quot;Their flight delays very often&quot;"/>
        <s v="&quot;young and efficient crew&quot;"/>
        <s v="&quot;regret this decision forever&quot;"/>
        <s v="&quot;staff ran away&quot;"/>
        <s v="&quot;the flight was not enjoyable&quot;"/>
        <s v="&quot;cancelled the flight at last moment&quot;"/>
        <s v="&quot;cancel flight at the last moment&quot;"/>
        <s v="&quot;Will not book Go-First again&quot;"/>
        <s v="&quot;flight got cancelled without any notification&quot;"/>
        <s v="&quot;there is no sense of professionalism in the staff&quot;"/>
        <s v="&quot;delayed or cancelled frequently&quot;"/>
        <s v="&quot;Never go with this flight&quot;"/>
        <s v="&quot;seat is not comfortable&quot;"/>
        <s v="&quot;donâ€™t expect to be pampered&quot;"/>
        <s v="&quot;handled the situation very well&quot;"/>
        <s v="&quot;changed their schedule frequently&quot;"/>
        <s v="&quot;don't value your customers&quot;"/>
        <s v="&quot;never value time for its customer&quot;"/>
        <s v="&quot;was again late for 3 hours&quot;"/>
        <s v="&quot;Never fly with this airline&quot;"/>
        <s v="&quot;Book only if you're ready for reschedule&quot;"/>
        <s v="&quot;Extremely horrible experience&quot;"/>
        <s v="&quot;It is always delayed&quot;"/>
        <s v="&quot;last airline one should opt for&quot;"/>
        <s v="&quot;caused significant discomfort&quot;"/>
        <s v="&quot;the worst way to travel by air&quot;"/>
        <s v="&quot;never travel through Go First&quot;"/>
        <s v="&quot;delayed for almost 3.5 hrs&quot;"/>
        <s v="&quot;most unprofessional&quot;"/>
        <s v="&quot;completely stressful situation&quot;"/>
        <s v="&quot;The worst airline ever&quot;"/>
        <s v="&quot;the flight is preponed&quot;"/>
        <s v="&quot;Flight was delayed 4 times&quot;"/>
        <s v="&quot;rescheduled the flight 2 times&quot;"/>
        <s v="&quot;I'm never booking through them again&quot;"/>
        <s v="&quot;Very pathetic experience&quot;"/>
        <s v="&quot;Such a painful experience!&quot;"/>
        <s v="&quot;really thank the cabin crew&quot;"/>
        <s v="&quot;The airline is not worth it&quot;"/>
        <s v="&quot;zero value for money and negative convenience&quot;"/>
        <s v="&quot;Such a poor experience&quot;"/>
        <s v="&quot;Pathetic experience with this airline&quot;"/>
        <s v="&quot;Service after sales is poor&quot;"/>
        <s v="&quot;Worst experience&quot;"/>
        <s v="&quot;Frequent cancellation&quot;"/>
        <s v="&quot;cancelled few hours before the departure&quot;"/>
        <s v="&quot;would never recommend&quot;"/>
        <s v="&quot;treats its customers so shabbily&quot;"/>
        <s v="&quot;It was horrible experience&quot;"/>
        <s v="&quot;avoid the airline at all cost&quot;"/>
        <s v="&quot;closes one hour prior to flight&quot;"/>
        <s v="&quot;delayed without any notice&quot;"/>
        <s v="&quot;Worst Service ever&quot;"/>
        <s v="&quot;don't know the meaning of hospitality&quot;"/>
        <s v="&quot;Horrible service&quot;!"/>
        <s v="&quot;experience was really bad&quot;"/>
        <s v="&quot;Worst airline in India&quot;"/>
        <s v="&quot;Ridiculous excuse of an airline&quot;"/>
        <s v="&quot;Such a bad flight&quot;"/>
        <s v="&quot;Complete mismanagement&quot;"/>
        <s v="Go First customer review"/>
        <s v="&quot;charged me to carry my musical instrument&quot;"/>
        <s v="&quot;Trust this company at your peril&quot;"/>
        <s v="&quot;Most horrible airline&quot;"/>
        <s v="&quot;Overall a pathetic experience&quot;"/>
        <s v="&quot;Third class service&quot;"/>
        <s v="&quot;donâ€™t care for the passengers time&quot;"/>
        <s v="&quot;do not book if you value your time&quot;"/>
        <s v="&quot;No professionalism&quot;"/>
        <s v="&quot;Absolute shambles of an airlines&quot;"/>
        <s v="&quot;change flight just one day before&quot;"/>
        <s v="&quot;flight got rescheduled 7 times in 2 days&quot;"/>
        <s v="&quot;Never travel by Go First&quot;"/>
        <s v="&quot;airline is extremely unreliable&quot;"/>
        <s v="&quot;Extremely poor airline&quot;"/>
        <s v="&quot;Courteous cabin crew&quot;"/>
        <s v="&quot;Decent experience&quot;"/>
        <s v="&quot;beginning of a worst nightmare&quot;"/>
        <s v="&quot;do not book a Go First flight&quot;"/>
        <s v="&quot;nacks and beverages on paid basis&quot;"/>
        <s v="&quot;They never value their customer&quot;"/>
        <s v="&quot;worst experience with any flight&quot;"/>
        <s v="&quot;they donâ€™t care about customers&quot;"/>
        <s v="&quot;They are your worst nightmare&quot;"/>
        <s v="&quot;non-courteous, non-accommodating staff&quot;"/>
        <s v="&quot;subjecting us to enormous hardships&quot;"/>
        <s v="&quot;Seat pitch are just ok&quot;"/>
        <s v="&quot;get ready to face some surprises&quot;"/>
        <s v="&quot;They don't care for customers&quot;"/>
        <s v="&quot;worst experience I had&quot;"/>
        <s v="&quot;I had a very bad experience&quot;"/>
        <s v="&quot;No sense of responsibility&quot;"/>
        <s v="&quot;Seriously poor airline&quot;"/>
        <s v="&quot;Okay experience for a short flight&quot;"/>
        <s v="&quot;Worst flying experience&quot;"/>
        <s v="&quot;never choose this airline again&quot;"/>
        <s v="&quot;airline is worth avoiding&quot;"/>
        <s v="&quot;denied to give boarding pass&quot;"/>
        <s v="&quot;bad service from the staff&quot;"/>
        <s v="&quot;Cabin crew were courteous&quot;"/>
        <s v="&quot;Flight delayed by 2.5 hours&quot;"/>
        <s v="&quot;really a bad experience&quot;"/>
        <s v="&quot;never fly this carrier please&quot;"/>
        <s v="&quot;there are no free seats available&quot;"/>
        <s v="&quot;the worst airline I have ever flown&quot;"/>
        <s v="&quot;I will never ever choose this flight&quot;"/>
        <s v="&quot;11 hour trip instead of the original 2 hours&quot;"/>
        <s v="&quot;Worst airline in the world&quot;"/>
        <s v="&quot;In flight service good&quot;"/>
        <s v="&quot;Customer service is pathetic&quot;"/>
        <s v="&quot;Just like a local bus service&quot;"/>
        <s v="&quot;counter will be closed 60 minutes before&quot;"/>
        <s v="&quot; had to go for another airline at the last moment&quot;"/>
        <s v="&quot;Pathetic service and airline&quot;"/>
        <s v="&quot;should be shut down completely"/>
        <s v="&quot;I wanted compensation from Go First&quot;"/>
        <s v="&quot;Never, never, never again&quot;"/>
        <s v="&quot;avoid Go First at any cost&quot;"/>
        <s v="&quot;Worst airline with highest cancellation rate&quot;"/>
        <s v="&quot;cancelled our flights three times with very short notice&quot;"/>
        <s v="&quot;internal processes needs a complete revamp&quot;"/>
        <s v="&quot;unnecessarily troubling their travelers&quot;"/>
        <s v="&quot;Never taking this airline ever again&quot;"/>
        <s v="&quot;Definitely not recommended&quot;"/>
        <s v="&quot;Pathetic customer service&quot;"/>
        <s v="&quot;unprofessional and rude ground staff&quot;"/>
        <s v="&quot;they changed the schedule rendering the entire journey useless&quot;"/>
        <s v="&quot;Overall the flight was okay&quot;"/>
        <s v="&quot;don't pay heed to customers preferences&quot;"/>
        <s v="&quot;Would never use again&quot;"/>
        <s v="&quot;Never book Go First flight&quot;"/>
        <s v="&quot;flight cancel message just 5 days before&quot;"/>
        <s v="&quot;They are just fooling people&quot;"/>
        <s v="&quot;Needs huge improvement in customer service&quot;"/>
        <s v="&quot;Need to improve overall&quot;"/>
        <s v="&quot;cancelled it without giving any reason&quot;"/>
        <s v="&quot;quarantine facility a nightmare&quot;"/>
        <s v="&quot;customer service gives false promises&quot;"/>
        <s v="&quot;only thing decent thing was the customer support&quot;"/>
        <s v="&quot;The crew was friendly&quot;"/>
        <s v="&quot;only paid seats are found&quot;"/>
        <s v="&quot;They are so unreliable&quot;"/>
        <s v="&quot;They donâ€™t offer any free seats&quot;"/>
        <s v="&quot;4 flights got cancelled by Go First&quot;"/>
        <s v="&quot;Utterly incompetent and shady&quot;"/>
        <s v="&quot;pay extra amount for the free seats&quot;"/>
        <s v="&quot;the flight has been cancelled&quot;"/>
        <s v="&quot;extremely rude behaviour&quot;"/>
        <s v="&quot;worst domestic carriers in India&quot;"/>
        <s v="&quot;one of the worst domestic carriers&quot;"/>
        <s v="&quot;they wouldn't let us board&quot;"/>
        <s v="&quot;never travel again with this airline&quot;"/>
        <s v="&quot;cancelled both their flights&quot;"/>
        <s v="&quot;Worst experience I ever had on an airline&quot;"/>
        <s v="&quot;Never book a flight with this airline&quot;"/>
        <s v="&quot;the worst service I've seen so far&quot;"/>
        <s v="&quot;a very bad free seat&quot;"/>
        <s v="&quot;didnâ€™t let us board the flight&quot;"/>
        <s v="&quot;one of the worst airlines to travel with&quot;"/>
        <s v="&quot;I wonâ€™t recommend it to anybody&quot;"/>
        <s v="&quot; Very worst experience&quot;"/>
        <s v="â€œUnprofessional. Rude. Uncooperativeâ€"/>
        <s v="&quot;uncomfortable seats and subpar food&quot;"/>
        <s v="&quot;we have to wait for 12 hrs outside&quot;"/>
        <s v="â€œmaking everyone unpack their bagsâ€"/>
        <s v="&quot;ways to grab money from your customers&quot;"/>
        <s v="&quot;Not at all customer friendly&quot;"/>
        <s v="&quot;more than 45 mins for baggage to come&quot;"/>
        <s v="&quot;Both flights were delayed by 2 hours&quot;"/>
        <s v="&quot;value for money&quot;"/>
        <s v="&quot;unacceptable and very poor service&quot;"/>
        <s v="&quot;struggled due to online payment&quot;"/>
        <s v="&quot;quite disappointing&quot;"/>
        <s v="&quot;Ground Service of IndiGo is the worst&quot;"/>
        <s v="&quot;Very rude people working for it&quot;"/>
        <s v="â€œWorst Airlineâ€"/>
        <s v="&quot;It's a very bad service&quot;"/>
        <s v="&quot;a bad experience&quot;"/>
        <s v="&quot;was charged 10,000 rs extra&quot;"/>
        <s v="&quot;charged me extra for my hand luggage&quot;"/>
        <s v="â€œStaff is inconsiderate and inhumanâ€"/>
        <s v="&quot;gate closes 25min prior to departure&quot;"/>
        <s v="&quot;we ended up missing the flight&quot;"/>
        <s v="&quot;experienced very great service&quot;"/>
        <s v="â€œpleasant cabin crewâ€"/>
        <s v="&quot;a comfortable enough flight&quot;"/>
        <s v="&quot;Overall quite happy&quot;"/>
        <s v="&quot;his fantastic hospitality&quot;"/>
        <s v="&quot;I was three minutes late&quot;"/>
        <s v="â€œabsolutely rips people offâ€"/>
        <s v="&quot;irresponsible behaviour&quot;"/>
        <s v="&quot;menu was extremely restricted&quot;"/>
        <s v="â€œTheir cheap fare is not worth itâ€"/>
        <s v="&quot;pushed me to take a refund&quot;"/>
        <s v="â€œCrew very nervous and chaoticâ€"/>
        <s v="&quot;particular flight was terrible&quot;"/>
        <s v="â€œOne of worst flight operatorsâ€"/>
        <s v="&quot;website and mobile app is bad&quot;"/>
        <s v="&quot;a good experience&quot;"/>
        <s v="&quot;Excellent experience overall&quot;"/>
        <s v="â€œThey do not careâ€"/>
        <s v="IndiGo customer review"/>
        <s v="â€œhave 0 standards to fly Internationalâ€"/>
        <s v="â€œa very stressful experienceâ€"/>
        <s v="â€œNot worth the hassleâ€"/>
        <s v="â€œNew crew is really patheticâ€"/>
        <s v="&quot;this was my worst experience&quot;"/>
        <s v="&quot;Flight was delayed by 45 minutes&quot;"/>
        <s v="&quot;asking for money to give a sandwich&quot;"/>
        <s v="â€œHorrible inflight and customer serviceâ€"/>
        <s v="â€œit is due to their faultâ€"/>
        <s v="&quot;did not change my 12D exit row&quot;"/>
        <s v="&quot;left me with a sense of dissatisfaction&quot;"/>
        <s v="&quot;flight is delayed for 2 hrs&quot;"/>
        <s v="&quot;par with the international carriers&quot;"/>
        <s v="â€œseats were tattered and stainedâ€"/>
        <s v="&quot;Overall a no-fuss experience&quot;"/>
        <s v="&quot;not able to take my cabin baggage&quot;"/>
        <s v="&quot;staff is so rude&quot;"/>
        <s v="&quot;frequent reschedules and cancellations&quot;"/>
        <s v="&quot;courteous crew, value for money&quot;"/>
        <s v="&quot;did not serve corporate meal to me&quot;"/>
        <s v="&quot;dealt the issue with professionalism&quot;"/>
        <s v="&quot;motivated and talented cabin crew&quot;"/>
        <s v="&quot;keen interest to resolve the matter&quot;"/>
        <s v="&quot;no one was bothered to serve&quot;"/>
        <s v="&quot;boarding experience unpleasant&quot;"/>
        <s v="&quot;Seats and service were sub-par&quot;"/>
        <s v="&quot;charged 7000 extra luggage charge&quot;"/>
        <s v="&quot;lack of professionalism&quot;"/>
        <s v="&quot;The service was excellent&quot;"/>
        <s v="&quot;incredibly disappointed by the appalling service&quot;"/>
        <s v="&quot;manually tagged bags were missing&quot;"/>
        <s v="&quot;crew looks poorly trained&quot;"/>
        <s v="&quot;give up my cabin bag at boarding&quot;"/>
        <s v="&quot;my baggage was not there&quot;"/>
        <s v="&quot;very bad customer service&quot;"/>
        <s v="&quot;crew were very kind and generous&quot;"/>
        <s v="&quot;Hats off to her presence of mind&quot;"/>
        <s v="&quot;cannot provide me wheelchair&quot;"/>
        <s v="&quot;airline used to be good&quot;"/>
        <s v="&quot;had the most frustrating experience&quot;"/>
        <s v="&quot;closed the gate 5 minutes before our arrival&quot;"/>
        <s v="&quot;comparatively better than others&quot;"/>
        <s v="&quot;like a road way bus&quot;"/>
        <s v="&quot;I missed my flight&quot;"/>
        <s v="&quot;no comfortable seating&quot;"/>
        <s v="&quot;wheelchair assistance was in waiting list&quot;"/>
        <s v="&quot;Very frustrated&quot;"/>
        <s v="&quot;probably Indiaâ€™s best low cost airline&quot;"/>
        <s v="&quot;nothing but broken bottles&quot;"/>
        <s v="&quot;will never fly with them&quot;"/>
        <s v="&quot;three days to confirm a booking&quot;"/>
        <s v="&quot;I should thank Indigo Airlines&quot;"/>
        <s v="&quot;worst and horrible experience&quot;"/>
        <s v="&quot;impressed by the service&quot;"/>
        <s v="&quot;food and drinks are payable&quot;"/>
        <s v="&quot;poor ground staff experience at Delhi&quot;"/>
        <s v="&quot;extremely helpful ground staff&quot;"/>
        <s v="&quot;Very good airline&quot;"/>
        <s v="&quot;extremely disappointed with Indigo&quot;"/>
        <s v="&quot;charges extra for its seat selection&quot;"/>
        <s v="&quot;The whole service is below par&quot;"/>
        <s v="&quot;interactions with passenger can best be classified as rude&quot;"/>
        <s v="&quot;Awesome hospitality&quot;"/>
        <s v="&quot;seats were so uncomfortable&quot;"/>
        <s v="&quot;best LCC in India&quot;"/>
        <s v="&quot;smooth and efficient trip&quot;"/>
        <s v="&quot;Another good experience&quot;"/>
        <s v="&quot;extremely helpful and guided us&quot;"/>
        <s v="&quot;Best to avoid if at all possible&quot;"/>
        <s v="&quot;rude and unsupportive staff&quot;"/>
        <s v="&quot;Indigo is not an airline fit for international travel&quot;"/>
        <s v="&quot;amateurish personnel and never on time&quot;"/>
        <s v="&quot;Customer service was rude&quot;"/>
        <s v="&quot;no complimentary service&quot;"/>
        <s v="&quot;Aircraft was clean and fresh&quot;"/>
        <s v="&quot;boarding and departure were on time&quot;"/>
        <s v="&quot;they are unable to trace the bag&quot;"/>
        <s v="&quot;No initiative or drive from any staff&quot;"/>
        <s v="&quot;they did not let me check in&quot;"/>
        <s v="&quot;clean cabin with smiling cabin crew&quot;"/>
        <s v="&quot;baggage allowance is 15kg checked-in&quot;"/>
        <s v="&quot;airline had misplaced my luggage&quot;"/>
        <s v="&quot;air hostesses were very polite and accommodating&quot;"/>
        <s v="&quot;I had an outstanding experience with this airline&quot;"/>
        <s v="&quot;management should be truly be ashamed&quot;"/>
        <s v="&quot;scattered from seat no 15 to 31&quot;"/>
        <s v="&quot;never be flying with them again&quot;"/>
        <s v="&quot;pre booked meals given priority&quot;"/>
        <s v="&quot;If the cancellation is by Indigo why do I bear such cancellation charges?&quot;"/>
        <s v="&quot;avoid this airline in the future&quot;"/>
        <s v="&quot;delayed by half an hour or more in horrible heat&quot;"/>
        <s v="&quot;huge crowds at the check in counters&quot;"/>
        <s v="&quot;don't expect them to be friendly&quot;"/>
        <s v="&quot;a horrible experience&quot;"/>
        <s v="&quot;Flight delayed around 1.5 hrs&quot;"/>
        <s v="&quot;careless with sensitive luggage&quot;"/>
        <s v="&quot;I asked for nearby seats&quot;"/>
        <s v="&quot;seats are just okay&quot;"/>
        <s v="&quot;they needed to check my credit card&quot;"/>
        <s v="&quot;good experience with Indigo&quot;"/>
        <s v="&quot;I want to thank the team&quot;"/>
        <s v="&quot;they changed my seat&quot;"/>
        <s v="&quot;gate baggage was missing at Delhi airport&quot;"/>
        <s v="&quot;minimum everything&quot;"/>
        <s v="&quot;Average experience this time&quot;"/>
        <s v="&quot;Cabin was clean and fresh&quot;"/>
        <s v="&quot;overall good experience&quot;"/>
        <s v="&quot;Clean spotless cabin&quot;"/>
        <s v="&quot;the crew were able to discharge their duties well&quot;"/>
        <s v="&quot;I had to wait for almost 10 hours&quot;"/>
        <s v="&quot;no screen, no charging points&quot;"/>
        <s v="&quot;baggage was overweight 4 kgs and charging 2100rs&quot;"/>
        <s v="&quot;she was really very helpful&quot;"/>
        <s v="&quot;Uncalled for rescheduling and delay&quot;"/>
        <s v="&quot;no guarantee that we will be seated together&quot;"/>
        <s v="&quot;Great customer service&quot;"/>
        <s v="&quot;delayed by almost four hours&quot;"/>
        <s v="&quot;Good budget airline&quot;"/>
        <s v="&quot;made to pay Rs.200 for not web checkin&quot;"/>
        <s v="&quot;how good and tolerant the flight crew were&quot;"/>
        <s v="&quot;very professional and polite&quot;"/>
        <s v="&quot;recent experience was a fantabulous one&quot;"/>
        <s v="&quot;last time I will fly with Indigo&quot;"/>
        <s v="&quot;all seats shown as occupied&quot;"/>
        <s v="&quot;don't expect any support&quot;"/>
        <s v="&quot;This is unorganised!&quot;"/>
        <s v="&quot;Overall an uneventful flight&quot;"/>
        <s v="&quot;Really cheap strategy&quot;"/>
        <s v="&quot;it's a good time to start checking the weight and size of cabin baggage&quot;"/>
        <s v="&quot;could not have asked for anything better&quot;"/>
        <s v="&quot;we are very disappointed with the airline&quot;"/>
        <s v="&quot;flight had no meal supplies&quot;"/>
        <s v="&quot;Indigo must be proud both of you&quot;"/>
        <s v="&quot;substandard quality of service&quot;"/>
        <s v="&quot;the seat selection was free&quot;"/>
        <s v="&quot;one of the top LCCs in Asia&quot;"/>
        <s v="&quot;counters had been closed at 7:30&quot;"/>
        <s v="&quot;Thank you IndiGo&quot;"/>
        <s v="&quot;obscene cancellation/change fees&quot;"/>
        <s v="&quot;They should inform earlier&quot;"/>
        <s v="&quot;provided with a covid-19 safety kit&quot;"/>
        <s v="&quot;Extremely bad experience&quot;"/>
        <s v="&quot;passengers were given safety kits&quot;"/>
        <s v="&quot;I had a great experience flying IndiGo&quot;"/>
        <s v="&quot;Cabin crew were nice, helpful&quot;"/>
        <s v="&quot;boarding started ahead of time&quot;"/>
        <s v="&quot;Such inexperienced and unprofessional airline staff&quot;"/>
        <s v="&quot;wait for 12hrs to reach in Dubai&quot;"/>
        <s v="&quot;3 days and managed to locate my bag&quot;"/>
        <s v="&quot;IndiGo does the job very well&quot;"/>
        <s v="&quot;Extremely dissatisfied with the Customer Service Relations team&quot;"/>
        <s v="&quot;Very good experience&quot;"/>
        <s v="&quot;extremely satisfied with Indigo's service&quot;"/>
        <s v="&quot;their dedication and willingness&quot;"/>
        <s v="&quot;crew enforced the safety regulations well&quot;"/>
        <s v="&quot;this was an excellent airline&quot;"/>
        <s v="&quot;thank you for a safe flight&quot;"/>
        <s v="&quot;staff were alert and attentive&quot;"/>
        <s v="&quot;are excellent on all levels&quot;"/>
        <s v="&quot;value for money airline&quot;"/>
        <s v="&quot;a very pleasant experience&quot;"/>
        <s v="&quot;service was good&quot;"/>
        <s v="&quot;No in-flight entertainment&quot;"/>
        <s v="&quot;The leg space was too small&quot;"/>
        <s v="&quot;trolley with broken handle&quot;"/>
        <s v="&quot;website was not working for me&quot;"/>
        <s v="&quot;Donâ€™t fly with IndiGo&quot;"/>
        <s v="&quot;allocated seats in four different rows&quot;"/>
        <s v="&quot;content with their services&quot;"/>
        <s v="&quot;by and large a flawless flight&quot;"/>
        <s v="&quot;flight was delayed&quot;"/>
        <s v="&quot;record our sincere appreciation&quot;"/>
        <s v="&quot;do not be fooled&quot;"/>
        <s v="&quot;staff is very helpful&quot;"/>
        <s v="&quot;thanks to IndiGo manager&quot;"/>
        <s v="&quot;this is a nice way to fly within India&quot;"/>
        <s v="&quot;my favorite budget airline&quot;"/>
        <s v="&quot;check-in was fairly nonchalant&quot;"/>
        <s v="&quot;Happy with the service provided&quot;"/>
        <s v="&quot;advise avoiding Indigo&quot;"/>
        <s v="&quot;delayed us more than an hour&quot;"/>
        <s v="&quot;flight without any hassle&quot;"/>
        <s v="&quot;missed the flight by 5-10 min&quot;"/>
        <s v="&quot;flight experience was good&quot;"/>
        <s v="&quot;you have to reach at 0405&quot;"/>
        <s v="&quot;Seating quality is poor&quot;"/>
        <s v="&quot;this was a positive experience&quot;"/>
        <s v="&quot;great job with excellent service&quot;"/>
        <s v="&quot;Indigo is my first choice&quot;"/>
        <s v="&quot;Simply marvelous&quot;"/>
        <s v="&quot;helped me to find my wallet&quot;"/>
        <s v="&quot;It's the crew that makes the airline&quot;"/>
        <s v="&quot;very much overwhelmed with her genuine concern&quot;"/>
        <s v="&quot;I truly like the ambience&quot;"/>
        <s v="&quot;staff is very poor&quot;"/>
        <s v="&quot;They give a five star service&quot;"/>
        <s v="&quot;a nice flight&quot;"/>
        <s v="&quot;customer-centric service&quot;"/>
        <s v="&quot;the service is good&quot;"/>
        <s v="&quot;Very good inflight service&quot;"/>
        <s v="&quot;restriction on carry-on weight&quot;"/>
        <s v="&quot;a disastrous experience&quot;"/>
        <s v="&quot;tell us our flight has been split in 2&quot;"/>
        <s v="&quot;High On-time performance at the cost of hygiene&quot;"/>
        <s v="&quot;delayed by almost 2 hours&quot;"/>
        <s v="&quot;cabin crew was very polite&quot;"/>
        <s v="&quot;one of the luggage was lost&quot;"/>
        <s v="&quot;cabin crew with genuine smile&quot;"/>
        <s v="&quot;already running late for flight&quot;"/>
        <s v="&quot;really helpful and welcoming.&quot;"/>
        <s v="&quot;how helpful they were&quot;"/>
        <s v="&quot;no options for hot meals&quot;"/>
        <s v="&quot;didn't have a printout of boarding pass&quot;"/>
        <s v="&quot;got what was expected&quot;"/>
        <s v="&quot;a box of cashew nuts&quot;"/>
        <s v="&quot;Crew is very nice&quot;"/>
        <s v="&quot;lovely experience until today&quot;"/>
        <s v="&quot;Very unprofessional&quot;"/>
        <s v="&quot;staff were all really helpful&quot;"/>
        <s v="&quot;I felt uncomfortable&quot;"/>
        <s v="&quot;Worth this price&quot;"/>
        <s v="&quot;very pleasant and helpful&quot;"/>
        <s v="&quot;rescheduled my flight 3 times&quot;"/>
        <s v="&quot;very pleasant flight experience&quot;"/>
        <s v="&quot;the timings were good&quot;"/>
        <s v="&quot;staff were smiling&quot;"/>
        <s v="&quot;very thankful for the assistance we received&quot;"/>
        <s v="&quot;was delayed 25 minutes&quot;"/>
        <s v="&quot;should learn to respect passengers&quot;"/>
        <s v="&quot;our terminal had changed&quot;"/>
        <s v="&quot;thank you to all the team&quot;"/>
        <s v="&quot;need more checkin agents&quot;"/>
        <s v="&quot;I was not entertained&quot;"/>
        <s v="&quot;given wrong information by staff&quot;"/>
        <s v="&quot;I appreciate the timings&quot;"/>
        <s v="&quot;Catastrophic reservation system&quot;"/>
        <s v="&quot;missed the Kannur flight&quot;"/>
        <s v="&quot;Bad time management&quot;"/>
        <s v="&quot;flight was not on time&quot;"/>
        <s v="&quot;Extremely unprofessional service&quot;"/>
        <s v="&quot;charged for an extra baggage&quot;"/>
        <s v="&quot;only left with sandwiches&quot;"/>
        <s v="&quot;52 mins to receive the luggage&quot;"/>
        <s v="&quot;crew were super friendly&quot;"/>
        <s v="&quot;flight was rescheduled&quot;"/>
        <s v="&quot;they should at least compensate&quot;"/>
        <s v="&quot;inflexible airline and understaffed&quot;"/>
        <s v="&quot;measuring the handbags&quot;"/>
        <s v="&quot;3 mins late for boarding&quot;"/>
        <s v="&quot;nothing turned up in Chennai&quot;"/>
        <s v="&quot;professional and caring&quot;"/>
        <s v="&quot;wouldnâ€™t recommend&quot;"/>
        <s v="&quot;experience was good&quot;"/>
        <s v="&quot;Totally recommend it&quot;"/>
        <s v="&quot;paying for the excess baggage&quot;"/>
        <s v="&quot;Indigo is such a great airline&quot;"/>
        <s v="&quot;We enjoyed our trip&quot;"/>
        <s v="&quot;Good service and price&quot;"/>
        <s v="&quot;full marks for their service&quot;"/>
        <s v="&quot;disorganized and inefficient&quot;"/>
        <s v="&quot;an excess baggage of 5kg&quot;"/>
        <s v="&quot;a value for money indeed&quot;"/>
        <s v="&quot;happy with this sweet gestue&quot;"/>
        <s v="&quot;such caring staff&quot;"/>
        <s v="&quot;such a caring staff.&quot;"/>
        <s v="&quot;she was excellent&quot;"/>
        <s v="&quot;Please improve your service&quot;"/>
        <s v="&quot;Lack of flexibility&quot;"/>
        <s v="&quot;delayed by more than 5 hours&quot;"/>
        <s v="&quot;poor quality of ground staff&quot;"/>
        <s v="&quot;missed my Delhi - Dubai flight&quot;"/>
        <s v="&quot;the flight I booked was cancelled&quot;"/>
        <s v="&quot;sincere thanks and appreciation&quot;"/>
        <s v="&quot;good customer service&quot;"/>
        <s v="&quot;service and concern is exemplary&quot;"/>
        <s v="&quot;pleased with this airline&quot;"/>
        <s v="&quot;As always exemplary cabin service&quot;"/>
        <s v="&quot;very professional cabin crew&quot;"/>
        <s v="&quot;seats were a bit tight&quot;"/>
        <s v="&quot;the flight was delayed&quot;"/>
        <s v="&quot;Crew service: Pretty good&quot;"/>
        <s v="&quot;quite careless these days&quot;"/>
        <s v="&quot;waiting for some imaginary flight&quot;"/>
        <s v="&quot;respects passengers valuable time&quot;"/>
        <s v="&quot;cheating elderly people&quot;"/>
        <s v="&quot;flight service is not good&quot;"/>
        <s v="&quot;final flight I will book with IndiGo&quot;"/>
        <s v="&quot;an impeccable flight&quot;"/>
        <s v="&quot;as a worst experience&quot;"/>
        <s v="&quot;provided me as much help&quot;"/>
        <s v="&quot;needless 5 more hours&quot;"/>
        <s v="&quot;seats were pretty cramped&quot;"/>
        <s v="&quot;friendly and professional&quot;"/>
        <s v="&quot;offered genuine hospitality&quot;"/>
        <s v="&quot;Seats narrow with not much legroom&quot;"/>
        <s v="&quot;an extremely annoying experience&quot;"/>
        <s v="&quot;would definitely recommend&quot;"/>
        <s v="&quot;late night flights late&quot;"/>
        <s v="&quot;amazes me with their service&quot;"/>
        <s v="&quot;No through check-in&quot;"/>
        <s v="&quot;no Arrival Cards onboard&quot;"/>
        <s v="&quot;delayed by 2.30 hours&quot;"/>
        <s v="&quot;best domestic airline in India&quot;"/>
        <s v="&quot;it was a comfortable flight&quot;"/>
        <s v="&quot;the flight crew were good&quot;"/>
        <s v="&quot;comfort might be a difficulty&quot;"/>
        <s v="&quot;departure and arrival was on time&quot;"/>
        <s v="&quot;recommend this airline&quot;"/>
        <s v="&quot;cabin seemed neat and clean&quot;"/>
        <s v="&quot;they divide our family&quot;"/>
        <s v="&quot;good on-time airline&quot;"/>
        <s v="&quot;handling of baggage was horrible&quot;"/>
        <s v="&quot;on time and comfortable&quot;"/>
        <s v="&quot;only as a last option&quot;"/>
        <s v="&quot;did not have Thai immigration forms&quot;"/>
        <s v="&quot;a loyal traveller with IndiGo&quot;"/>
        <s v="&quot;inflight service impeccable&quot;"/>
        <s v="&quot;staff truly inexperienced&quot;"/>
        <s v="&quot;disappointing and sad experience&quot;"/>
        <s v="&quot;personal favourite for short flights&quot;"/>
        <s v="&quot;staff was nice and helpful&quot;"/>
        <s v="&quot;a great flight experience&quot;"/>
        <s v="&quot;overall flight was very enjoyable&quot;"/>
        <s v="&quot;overall experience is awesome&quot;"/>
        <s v="&quot;flight experience was fantastic &quot;"/>
        <s v="&quot;best domestic airline of India&quot;"/>
        <s v="&quot;crew have a very welcoming nature&quot;"/>
        <s v="&quot;punctual and crews very attentive&quot;"/>
        <s v="&quot;a pleasure flying with IndiGo&quot;"/>
        <s v="&quot;worst experience so far&quot;"/>
        <s v="&quot;seats not that comfortable&quot;"/>
        <s v="&quot;flight experience always been good&quot;"/>
        <s v="&quot;flight experience  was good&quot;"/>
        <s v="&quot;ambience was pleasant&quot;"/>
        <s v="&quot;a flawless flight&quot;"/>
        <s v="&quot;well-trained and helpful&quot;"/>
        <s v="&quot;yet another bad experience&quot;"/>
        <s v="&quot;punctual and comfortable&quot;"/>
        <s v="&quot;was very impressed&quot;"/>
        <s v="&quot;would fly them again&quot;"/>
        <s v="&quot;all flights on time&quot;"/>
        <s v="&quot;long admired Indigo&quot;"/>
        <s v="&quot;recommend IndiGo&quot;"/>
        <s v="&quot;service and aircraft up to the mark&quot;"/>
        <s v="&quot;another flawless flight&quot;"/>
        <s v="&quot;staff are very kind&quot;"/>
        <s v="&quot;so comfortable and smooth&quot;"/>
        <s v="&quot;a superb experience&quot;"/>
        <s v="&quot;well functioning LCC&quot;"/>
        <s v="&quot;food was absolutely delicious&quot;"/>
        <s v="&quot;IndiGo does a very good job&quot;"/>
        <s v="&quot;comfortable and very clean&quot;"/>
        <s v="&quot;poor ground service&quot;"/>
        <s v="&quot;a reasonably good airline&quot;"/>
        <s v="&quot;IndiGo staff were very friendly&quot;"/>
        <s v="&quot;Extremely disappointing experience&quot;"/>
        <s v="&quot;policy seems unfair and exploitative&quot;"/>
        <s v="&quot;flight was delayed by 10 hours&quot;"/>
        <s v="&quot;only sends automated emails&quot;"/>
        <s v="&quot;outstanding service I experienced&quot;"/>
        <s v="&quot;Flight delayed by 5 hours&quot;"/>
        <s v="â€œWorst ever domestic airlineâ€"/>
        <s v="&quot;Worst ever experience &quot;"/>
        <s v="&quot;Never travel with this company&quot;"/>
        <s v="&quot;landed the flight very smoothly&quot;"/>
        <s v="â€œthe same with all SpiceJet flightsâ€"/>
        <s v="&quot;good service by the crew&quot;"/>
        <s v="&quot;excellent hospitality&quot;"/>
        <s v="&quot;increase delay timing&quot;"/>
        <s v="&quot;I would not recommend SpiceJet&quot;"/>
        <s v="&quot;itâ€™s almost 7 hours late&quot;"/>
        <s v="&quot;Third class services&quot;"/>
        <s v="â€œSuch a pathetic serviceâ€"/>
        <s v="â€œthey ran out of mealsâ€"/>
        <s v="&quot;not recommend this airline &quot;"/>
        <s v="&quot;ask you to weigh you handbag&quot;"/>
        <s v="&quot;Don't ever book this airline&quot;"/>
        <s v="â€œdemanding extra moneyâ€"/>
        <s v="&quot;the exceptional service&quot;"/>
        <s v="&quot;worst travelling experience&quot;"/>
        <s v="&quot;understand that it is a trap&quot;"/>
        <s v="&quot;no regards for customer&quot;"/>
        <s v="&quot;Spicejet was bad&quot;"/>
        <s v="&quot;experience with Spicejet are horrible&quot;"/>
        <s v="!&quot;seats are very uncomfortable&quot;"/>
        <s v="&quot;an issue with missing luggage&quot;"/>
        <s v="â€œDo not book SpiceJetâ€"/>
        <s v="&quot;the worst airline in the country&quot;"/>
        <s v="â€œa joy to have on boardâ€œ"/>
        <s v="&quot;condition is very bad&quot;"/>
        <s v="&quot;a third class service&quot;"/>
        <s v="â€œa pleasant journeyâ€"/>
        <s v="&quot;Great travel experience&quot;"/>
        <s v="&quot;journey has been the best&quot;"/>
        <s v="â€œoutstanding efforts and exemplary serviceâ€"/>
        <s v="â€œthey refused to take responsibilityâ€"/>
        <s v="&quot;they cancelled my ticket&quot;"/>
        <s v="â€œStaff were very kind and politeâ€"/>
        <s v="&quot;couldn't even recognize my bag&quot;"/>
        <s v="&quot;didn't get our luggage&quot;"/>
        <s v="&quot;poor customer service&quot;"/>
        <s v="&quot;my luggage was sent to Mumbai&quot;"/>
        <s v="â€œa very harrowing experienceâ€"/>
        <s v="&quot;Do not book Spicejet flights&quot;"/>
        <s v="&quot;a disheartening experience&quot;"/>
        <s v="&quot;left us deeply dissatisfied&quot;"/>
        <s v="&quot;Never travel through SpiceJet&quot;"/>
        <s v="â€œhorrendous customer serviceâ€"/>
        <s v="&quot;keep delaying the flights often&quot;"/>
        <s v="&quot;not up to par with standards&quot;"/>
        <s v="&quot;Terrible service&quot;"/>
        <s v="&quot;Horrible experience with this airline&quot;"/>
        <s v="&quot;Rescheduled so many times&quot;"/>
        <s v="â€œno facilities providedâ€"/>
        <s v="&quot;Truly third class airline&quot;"/>
        <s v="&quot;Their timeliness is the worst&quot;"/>
        <s v="&quot;completely unreliable&quot;"/>
        <s v="&quot;staff is rude and arrogant&quot;"/>
        <s v="&quot;I enjoyed my journey&quot;"/>
        <s v="&quot;No proper customer support&quot;"/>
        <s v="&quot;must value its customer's time&quot;"/>
        <s v="&quot;seats were broken and worn out&quot;"/>
        <s v="&quot;No compensation or apology offered&quot;"/>
        <s v="â€œa pretty good flightâ€"/>
        <s v="&quot;it was the happiest trip&quot;"/>
        <s v="&quot;they enforce a strict 7 kg limit&quot;"/>
        <s v="&quot;a decent functional experience&quot;"/>
        <s v="&quot;I was denied boarding&quot;"/>
        <s v="&quot;Ground staff were excellent&quot;"/>
        <s v="&quot;Disheartening Experience&quot;"/>
        <s v="&quot;I am satisfied and contented&quot;"/>
        <s v="&quot;No respect for passengers time&quot;"/>
        <s v="&quot;I have not received my refund&quot;"/>
        <s v="&quot;Service is very good&quot;"/>
        <s v="&quot;SpiceJet experience was good&quot;"/>
        <s v="&quot;great service from crew&quot;"/>
        <s v="&quot;Our flight was delayed 3 times&quot;"/>
        <s v="&quot;They kept delaying the departure&quot;"/>
        <s v="&quot;Worse service ever&quot;"/>
        <s v="&quot;an utter disappoint&quot;"/>
        <s v="&quot;Really worst experience&quot;"/>
        <s v="&quot;Inflight experience is wonderful&quot;"/>
        <s v="&quot;cancelled and no alternative flight available&quot;"/>
        <s v="&quot;The worst airline to fly with&quot;!"/>
        <s v="&quot;One of the worst flights&quot;"/>
        <s v="&quot;Will not consider this airline anymore&quot;"/>
        <s v="&quot;Terrible terrible experience&quot;"/>
        <s v="&quot;stay away from this airline&quot;"/>
        <s v="&quot;no courtesy shown to us by SpiceJet&quot;"/>
        <s v="&quot;seats were not as expected&quot;"/>
        <s v="&quot;horrible and insensitive experience&quot;"/>
        <s v="&quot;behaviour was not at all satisfactory&quot;"/>
        <s v="&quot;The services are very pathetic&quot;"/>
        <s v="&quot;we are highly disappointed&quot;"/>
        <s v="&quot;I could not fly anywhere&quot;"/>
        <s v="&quot;Highly disappointed&quot;"/>
        <s v="&quot;Customer care unresponsive and rude&quot;"/>
        <s v="&quot;Horrible flight services&quot;"/>
        <s v="&quot;Flight time was changed 3 times&quot;"/>
        <s v="&quot;I haven't come across a worse service&quot;"/>
        <s v="&quot;the service was what was expected&quot;"/>
        <s v="&quot;It was the worst check in&quot;"/>
        <s v="&quot;SpiceJet flights are always late&quot;"/>
        <s v="&quot;I didn't even get to my flight&quot;"/>
        <s v="&quot;eventually cancelled the flight&quot;"/>
        <s v="&quot;the worst customer experience&quot;"/>
        <s v="&quot;There was a lack of clear communication&quot;"/>
        <s v="&quot;It seems that SpiceJet has a new business model&quot;"/>
        <s v="&quot;Overall experience was ok&quot;"/>
        <s v="&quot;SpiceJet will be my last option for flying&quot;"/>
        <s v="&quot;Third grade airline service&quot;"/>
        <s v="&quot;Will never fly this airline again&quot;"/>
        <s v="&quot;staff are very unprofessional&quot;"/>
        <s v="&quot;Plan early and choose airlines with empathy&quot;"/>
        <s v="&quot;Try to avoid them as much as you can&quot;"/>
        <s v="&quot;Yet another day in SpiceJet glory&quot;"/>
        <s v="&quot;The worst flight I have flown with&quot;"/>
        <s v="&quot;Spicejet flights are delayed.&quot;"/>
        <s v="&quot;SpiceJet calls me a day prior to inform the flight is cancelled&quot;"/>
        <s v="&quot;doesnâ€™t care about customer satisfaction&quot;"/>
        <s v="&quot;gave me such a bad experience&quot;"/>
        <s v="&quot;a very satisfying experience&quot;"/>
        <s v="&quot;I was forced to pay extra for 3 kg&quot;"/>
        <s v="&quot;fare was very low&quot;"/>
        <s v="&quot;no support to file my claim&quot;"/>
        <s v="&quot;SpiceJet refused to board us&quot;"/>
        <s v="&quot;my flight has been cancelled&quot;"/>
        <s v="&quot;Below average flight&quot;"/>
        <s v="&quot;the worst flying experience&quot;"/>
        <s v="&quot;each time the flight is delayed&quot;"/>
        <s v="&quot;SpiceJet turned out to be the nightmare&quot;"/>
        <s v="&quot;There is absolutely no empathy for the customer&quot;"/>
        <s v="&quot;I want to praise the services&quot;"/>
        <s v="&quot;There was utter confusion and no clarity&quot;"/>
        <s v="&quot;Spicejet couldn't care less&quot;"/>
        <s v="&quot;Worst experience every time&quot;"/>
        <s v="&quot;Beware of taking this airline&quot;"/>
        <s v="&quot;delayed both ways by many hours&quot;"/>
        <s v="&quot;Avoid this flight&quot;"/>
        <s v="&quot;Staff members are well mannered&quot;"/>
        <s v="&quot;Very disappointed with SpiceJet&quot;"/>
        <s v="&quot;extremely disappointed with the experience&quot;"/>
        <s v="&quot;Unable to get my baggage from the flight&quot;"/>
        <s v="&quot;Good service and support&quot;"/>
        <s v="&quot;never had such a bad experience&quot;"/>
        <s v="&quot;fabulous experience we had&quot;"/>
        <s v="&quot;Experienced excellent customer service&quot;"/>
        <s v="&quot;cabin crew were professional&quot;"/>
        <s v="&quot;The worst experience ever&quot;"/>
        <s v="&quot;hospitality service given&quot;"/>
        <s v="&quot;Thank you so much for your support and cooperation SpiceJet&quot;"/>
        <s v="&quot;wonâ€™t recommend to anyone&quot;"/>
        <s v="&quot;Horrible experience and wouldnâ€™t recommend&quot;"/>
        <s v="&quot;literally the worst situation&quot;"/>
        <s v="&quot;worst flight I have ever seen&quot;"/>
        <s v="&quot;Worst staff and not at all concerned&quot;"/>
        <s v="&quot;Too many flight delays, cancellations&quot;"/>
        <s v="&quot;get back to you within 3 working days&quot;"/>
        <s v="&quot;trick to lure their customers to prepay&quot;"/>
        <s v="&quot;my Ticket gone to waste&quot;"/>
        <s v="&quot;Wonderful flight&quot;"/>
        <s v="&quot;Affordable and good service&quot;"/>
        <s v="&quot;in-flight experience was good&quot;"/>
        <s v="&quot;Very bad handling by the ground staff of SpiceJet&quot;"/>
        <s v="&quot;excellent experience&quot;"/>
        <s v="&quot;crew was so warm and professional&quot;"/>
        <s v="&quot;not issued refund on time&quot;"/>
        <s v="&quot;I'm still following up for a refund&quot;"/>
        <s v="&quot;experience was very satisfactory&quot;"/>
        <s v="&quot;after 26 days the refund is not received&quot;"/>
        <s v="&quot;The team members were excellent and courteous&quot;"/>
        <s v="&quot;causing delay of 3 hours 30 min&quot;"/>
        <s v="&quot;worst experience with Spicejet&quot;"/>
        <s v="&quot;It was a superb experience&quot;"/>
        <s v="&quot;ground staff was so rude&quot;"/>
        <s v="&quot;inflight entertainment is very poor&quot;"/>
        <s v="&quot;It was an extraordinary experience with the crew&quot;"/>
        <s v="&quot;unpleasant service by airport staff&quot;"/>
        <s v="&quot;Never ever faced this with any other airlines&quot;"/>
        <s v="&quot;enjoyed flying with Spicejet&quot;"/>
        <s v="&quot;wonâ€™t recommend it to anyone&quot;"/>
        <s v="&quot;preponed my flight by 12 hours&quot;"/>
        <s v="&quot;flight could be more spacious&quot;"/>
        <s v="&quot;amazing experience&quot;"/>
        <s v="&quot;cabin crew were very friendly and helpful&quot;"/>
        <s v="&quot;weighing laptop bag and ladies bag&quot;"/>
        <s v="&quot;really disappointed&quot;"/>
        <s v="&quot;They appear completely incompetent&quot;"/>
        <s v="&quot;right service in providing snacks&quot;"/>
        <s v="&quot;will never recommend using Spicejet&quot;"/>
        <s v="&quot;an unethical airline&quot;"/>
        <s v="&quot;response in this manner was totally abnormal&quot;"/>
        <s v="&quot;I had to spent an entire night at the airport&quot;"/>
        <s v="&quot;staff is very unprofessional and arrogant&quot;"/>
        <s v="&quot;wish to fly with Spicejet again&quot;"/>
        <s v="&quot;Masks should not be removed at any cost on flights&quot;"/>
        <s v="&quot;a very comfortable flight&quot;"/>
        <s v="&quot;no guidance, very rude&quot;"/>
        <s v="&quot;it's about being unfair and rude&quot;"/>
        <s v="&quot;No mask and face shield given&quot;"/>
        <s v="&quot;Spicejet staff made fool of me&quot;"/>
        <s v="&quot;I am so disappointed&quot;"/>
        <s v="&quot;a value for money service&quot;"/>
        <s v="&quot;Crew members were courteous&quot;"/>
        <s v="&quot;Seat was not comfortable&quot;"/>
        <s v="&quot;the staff on board were very courteous&quot;"/>
        <s v="&quot;Special thanks to crew&quot;"/>
        <s v="&quot;The worst experience of my life&quot;"/>
        <s v="&quot;food and beverage menu is very good&quot;"/>
        <s v="&quot;Service is impeccable&quot;"/>
        <s v="&quot;Best ever domestic flight experience&quot;"/>
        <s v="&quot;Perfect example of how a crew should be&quot;"/>
        <s v="&quot;I had a great experience&quot;"/>
        <s v="&quot;The worst flight ever&quot;"/>
        <s v="&quot;We enjoyed the journey&quot;"/>
        <s v="&quot;Crew members were very friendly and cheerful&quot;"/>
        <s v="&quot;Stress-free Journey&quot;"/>
        <s v="&quot;made the customers feel safe&quot;"/>
        <s v="&quot;nothing is special on their flights&quot;"/>
        <s v="&quot;It is a very bad airline&quot;"/>
        <s v="&quot;Good service and polite handling&quot;"/>
        <s v="&quot;shouting us not to touch his bags!&quot;"/>
        <s v="&quot;Delay due to bad weather&quot;"/>
        <s v="&quot;No word to explain how unsatisfied I am&quot;"/>
        <s v="&quot;I am not at all satisfied&quot;"/>
        <s v="&quot;Beyond disappointed and disgusted&quot;"/>
        <s v="&quot;cabin crew were very professional and helpful&quot;"/>
        <s v="&quot;Excellent experience from ground to air&quot;"/>
        <s v="&quot;very friendly and helpful&quot;"/>
        <s v="&quot;not giving proper answers&quot;"/>
        <s v="&quot;generous and well versed staff&quot;"/>
        <s v="&quot;Extremely frustrating and pathetic service&quot;"/>
        <s v="&quot;I appreciated the service&quot;"/>
        <s v="&quot;I never expected such care and warmth&quot;"/>
        <s v="SpiceJet customer review"/>
        <s v="&quot;Excellent service provided&quot;"/>
        <s v="&quot;Thanks to the empathetic team&quot;"/>
        <s v="&quot;well trained and professional Crew&quot;"/>
        <s v="&quot;I was so pleased with the hospitality that the aircrew exhibited&quot;"/>
        <s v="&quot;Good cabin staff and great service&quot;"/>
        <s v="&quot;very helpful and very polite&quot;"/>
        <s v="&quot;cabin crew were so courteous&quot;"/>
        <s v="&quot;as usual your cabin crew ere excellent&quot;"/>
        <s v="&quot;They are the worst customer service&quot;"/>
        <s v="&quot;smooth and quick process&quot;"/>
        <s v="&quot;appreciation for their customer service&quot;"/>
        <s v="&quot;you can do way better&quot;"/>
        <s v="&quot;shameless and insensitive airline&quot;"/>
        <s v="&quot;will keep money as credit shell&quot;"/>
        <s v="&quot;they knew it'll get canceled&quot;"/>
        <s v="&quot;Shame on you SpiceJet&quot;"/>
        <s v="&quot;served unexpected complimentary refreshments&quot;"/>
        <s v="&quot;helpful ground staff&quot;"/>
        <s v="&quot;enjoyed before time departure&quot;"/>
        <s v="&quot;rude and insensitive staff&quot;"/>
        <s v="&quot;begging to give some complimentary&quot;"/>
        <s v="&quot;Thanks for your patience and support&quot;"/>
        <s v="&quot;really thankful to Spicejet&quot;"/>
        <s v="&quot;trying to contact them for 4 days&quot;"/>
        <s v="&quot;services from SpiceJet was awful&quot;"/>
        <s v="&quot;it was worst experience&quot;"/>
        <s v="&quot;bad horrible experience&quot;"/>
        <s v="&quot;horrible customer care&quot;"/>
        <s v="&quot;spicemax doesn't mean anything&quot;"/>
        <s v="&quot;We enjoyed the flight&quot;"/>
        <s v="&quot;the flight was only 60 mins&quot;"/>
        <s v="&quot;they cancelled my flight&quot;"/>
        <s v="&quot;arrogant, very unapproachable&quot;"/>
        <s v="&quot;a pretty good flight&quot;"/>
        <s v="&quot;We were declined boarding passes&quot;"/>
        <s v="&quot;delayed again and again&quot;"/>
        <s v="&quot;worst luggage allowance&quot;"/>
        <s v="&quot;flight itself was pretty nice&quot;"/>
        <s v="&quot;should not have much expectations&quot;"/>
        <s v="&quot;served the food with care&quot;"/>
        <s v="&quot;Choice of food is good&quot;"/>
        <s v="&quot;experience made me so happy&quot;"/>
        <s v="&quot;Spicejet got me this time&quot;"/>
        <s v="&quot;Rough handling of baggage&quot;"/>
        <s v="&quot;staff are so careless&quot;"/>
        <s v="&quot;disgusting attitude towards customers&quot;"/>
        <s v="&quot;staff are efficient&quot;"/>
        <s v="&quot;Bad airline, avoid&quot;"/>
        <s v="&quot;they took care of me&quot;"/>
        <s v="&quot;Awesome crew and great food&quot;"/>
        <s v="&quot;donâ€™t travel with SpiceJet&quot;"/>
        <s v="&quot;No First Aid box available&quot;"/>
        <s v="&quot;Very stressful check-in&quot;"/>
        <s v="&quot;Never trust SpiceJet for crucial trips&quot;"/>
        <s v="&quot;Fantastic experience&quot;"/>
        <s v="&quot;Check in was great&quot;"/>
        <s v="&quot;deeply grateful to SpiceJet&quot;"/>
        <s v="&quot;my last flight with SpiceJet&quot;"/>
        <s v="&quot;Cancelled the trip&quot;"/>
        <s v="&quot;Spicemax was worth it&quot;"/>
        <s v="&quot;Unprofessional&quot;"/>
        <s v="&quot;precise, respectful and behaved professionally&quot;"/>
        <s v="&quot;Delayed by 8 hours&quot;"/>
        <s v="&quot;unprofessional and unethical&quot;"/>
        <s v="&quot;charged due to overweight bag&quot;"/>
        <s v="&quot;food was very poor&quot;"/>
        <s v="&quot;12 hours to board the flight&quot;"/>
        <s v="&quot;Truly a horrendous experience&quot;"/>
        <s v="&quot;arrived 49 mins late&quot;"/>
        <s v="&quot;I am very disappointed&quot;"/>
        <s v="&quot;15 kg only is too little&quot;"/>
        <s v="&quot;Seats are also comfortable&quot;"/>
        <s v="&quot;Avoid this airline at all costs&quot;"/>
        <s v="&quot;was a lovely flight&quot;"/>
        <s v="&quot;I am highly disappointed&quot;"/>
        <s v="&quot;charging for hand luggage&quot;"/>
        <s v="&quot;it was my worst journey ever&quot;"/>
        <s v="&quot;cannot expect any better&quot;"/>
        <s v="&quot;courteous crew cabin&quot;"/>
        <s v="&quot;the airline staff mislead&quot;"/>
        <s v="&quot;denied the entitled meals&quot;"/>
        <s v="&quot;faced a lot of inconvenience&quot;"/>
        <s v="&quot;Flight condition is also awful&quot;"/>
        <s v="&quot;efficient and warm onboard service&quot;"/>
        <s v="&quot;crew members really good&quot;"/>
        <s v="&quot;late for more than 4 hrs&quot;"/>
        <s v="&quot;not received any communication&quot;"/>
        <s v="&quot;the flight is cancelled&quot;"/>
        <s v="&quot;have to pay for extra luggage&quot;"/>
        <s v="&quot;no care and service&quot;"/>
        <s v="&quot;too costly for short trip&quot;"/>
        <s v="&quot;service standard was adequate&quot;"/>
        <s v="&quot;very worst service of Spicejet&quot;"/>
        <s v="&quot;never faced such rude and insulting behaviour&quot;"/>
        <s v="&quot;some room for improvement &quot;"/>
        <s v="&quot;everything was flawless&quot;"/>
        <s v="&quot;I had a good experience&quot;"/>
        <s v="&quot;an unpleasant and embarrassing experience&quot;"/>
        <s v="&quot;lot of false promises&quot;"/>
        <s v="&quot;the seats were awful&quot;"/>
        <s v="&quot;pleased with staff on each of the segments&quot;"/>
        <s v="&quot;disheartened by the approach&quot;"/>
        <s v="&quot;pathetic seats and service&quot;"/>
        <s v="&quot;Not even a sorry&quot;"/>
        <s v="&quot;flights are always delayed&quot;"/>
        <s v="&quot;nobody knew where was bag scanning&quot;"/>
        <s v="&quot;unprofessional attitude&quot;"/>
        <s v="&quot;ran out of all possible food options&quot;"/>
        <s v="&quot;you will be dissatisfied and left irritated&quot;"/>
        <s v="&quot;improve your operational way&quot;"/>
        <s v="&quot;have never had such a disgusting experience&quot;"/>
        <s v="&quot;they didn't load our baggage&quot;"/>
        <s v="&quot;nothing less than shameful&quot;"/>
        <s v="&quot;our whole trip was ruined&quot;"/>
        <s v="&quot;the worst service ever&quot;"/>
        <s v="&quot;the smell from toilet &quot;"/>
        <s v="&quot;offloaded our baggage&quot;"/>
        <s v="&quot;there is room for improvement&quot;"/>
        <s v="&quot;disappointed by SpiceJet&quot;"/>
        <s v="&quot;seat broken - wouldnâ€™t recline&quot;"/>
        <s v="&quot;pay for my laptop bag weight&quot;"/>
        <s v="&quot;Worst aircraft and service&quot;"/>
        <s v="&quot;don't choose SpiceJet&quot;"/>
        <s v="&quot;Excellent in-flight service&quot;"/>
        <s v="&quot;no customer service&quot;"/>
        <s v="&quot;a delay of 4 hours&quot;"/>
        <s v="&quot;crew made our travel so comfortable&quot;"/>
        <s v="&quot;never take Spicejet again&quot;"/>
        <s v="&quot;it was a good experience&quot;"/>
        <s v="&quot;no improvement in service&quot;"/>
        <s v="&quot;Never recommend to fly spicejet&quot;"/>
        <s v="&quot;experience was very bad&quot;"/>
        <s v="&quot;Extremely cramped seats&quot;"/>
        <s v="&quot;last time I will fly Spicejet&quot;"/>
        <s v="&quot;avoid to use this airline in future&quot;"/>
        <s v="&quot;not recommend Spicejet&quot;"/>
        <s v="&quot;staff could do absolutely nothing&quot;"/>
        <s v="&quot;Each delay for 3-4 hours&quot;"/>
        <s v="&quot;No info given to passengers&quot;"/>
        <s v="&quot;the flight got delayed&quot;"/>
        <s v="&quot;would not recommend it&quot;"/>
        <s v="&quot;would recommend Spicejet&quot;"/>
        <s v="&quot;overall experience was pleasant&quot;"/>
        <s v="&quot;Flight was fine&quot;"/>
        <s v="&quot;cabin staff were polite&quot;"/>
        <s v="&quot;had the worst experience&quot;"/>
        <s v="&quot;Cabin crew completely ignored me&quot;"/>
        <s v="&quot;pathetically poor service&quot;"/>
        <s v="&quot;They have to change their service&quot;"/>
        <s v="&quot;level of confidence and assurance&quot;"/>
        <s v="&quot;The last flight with Spicejet&quot;"/>
        <s v="&quot;had a pathetic experience&quot;"/>
        <s v="&quot;not recommend to anyone&quot;"/>
        <s v="&quot;try to avoid SpiceJet&quot;"/>
        <s v="&quot;don't opt for SpiceJet&quot;"/>
        <s v="&quot;terrible journey for us&quot;"/>
        <s v="&quot;was an unfortunate incident&quot;"/>
        <s v="&quot;Hassle free flight&quot;"/>
        <s v="&quot;horrendous service&quot;"/>
        <s v="&quot;irresponsible service&quot;"/>
        <s v="&quot;Spicejet ruined all my plans&quot;"/>
        <s v="&quot;value for money trip&quot;"/>
        <s v="&quot;Another good flight&quot;"/>
        <s v="&quot;welcomed us with a smile&quot;"/>
        <s v="&quot;a good comfortable flight&quot;"/>
        <s v="&quot;comfortable journey&quot;"/>
        <s v="&quot;experience was really good&quot;"/>
        <s v="&quot;their service is the worst&quot;"/>
        <s v="&quot;a good flight experience&quot;"/>
        <s v="&quot;Will never fly Spicejet&quot;"/>
        <s v="&quot;spicemax at a good price&quot;"/>
        <s v="&quot;my last travel with SpiceJet&quot;"/>
        <s v="&quot;pay for an excess of 2kgs&quot;"/>
        <s v="&quot;SpiceJet is unapologetic&quot;"/>
        <s v="&quot;do this re-scheduling a lot&quot;"/>
        <s v="&quot;bad and worst experience&quot;"/>
        <s v="&quot;really bad service&quot;"/>
        <s v="&quot;worst airline company&quot;"/>
        <s v="&quot;always a delay&quot;"/>
        <s v="&quot;ticket without check in baggage&quot;"/>
        <s v="&quot;improve before its too late&quot;"/>
        <s v="&quot;a very rude behaviour&quot;"/>
        <s v="&quot;overall service is very poor&quot;"/>
        <s v="&quot;won't recommend SpiceJet&quot;"/>
        <s v="&quot;unprofessional staff&quot;"/>
        <s v="&quot;never recommend Spicejet&quot;"/>
        <s v="&quot;flight timing was changed&quot;"/>
        <s v="&quot;very helpful and friendly&quot;"/>
        <s v="&quot;No clear updates&quot;"/>
        <s v="&quot;I won't recommend&quot;"/>
        <s v="&quot;will never travel again&quot;"/>
        <s v="&quot;experienced it overall as good&quot;"/>
        <s v="&quot;they are so inefficient&quot;"/>
        <s v="&quot;the worst web site&quot;"/>
        <s v="&quot;Spicejet is a very cheap&quot;"/>
        <s v="&quot;It feels like hell&quot;"/>
        <s v="&quot;Never recommend&quot;"/>
        <s v="&quot;improve on time performance&quot;"/>
        <s v="&quot;I have to buy a new ticket&quot;"/>
        <s v="&quot;The very worst airline&quot;"/>
        <s v="&quot;never travel SpiceJet again&quot;"/>
        <s v="&quot;you must pay for everything&quot;"/>
        <s v="â€œI expect betterâ€"/>
        <s v="Vistara customer review"/>
        <s v="&quot;arrogant crew member&quot;"/>
        <s v="&quot;really nice experience&quot;"/>
        <s v="â€œon-board experience is a bit so-soâ€"/>
        <s v="&quot;onboard experience was amazing&quot;"/>
        <s v="&quot;Extremely disappointed&quot;"/>
        <s v="&quot;the experience was wonderful&quot;"/>
        <s v="â€œcabin crew were warm and efficientâ€"/>
        <s v="&quot;prefer not being served anything&quot;"/>
        <s v="â€œI was thoroughly impressedâ€"/>
        <s v="â€œCrew members very hospitableâ€"/>
        <s v="&quot;my request was rejected&quot;"/>
        <s v="&quot;experience has been excellent&quot;"/>
        <s v="&quot;not received compensation&quot;"/>
        <s v="&quot;The flight wasn't bad&quot;"/>
        <s v="&quot;Vistara flights were delayed or either cancelled&quot;"/>
        <s v="â€œairline does not respond at allâ€"/>
        <s v="&quot;A negative experience&quot;"/>
        <s v="&quot;the staff were amazing&quot;"/>
        <s v="â€œa mistake indeedâ€"/>
        <s v="â€œWorst service everâ€"/>
        <s v="&quot;genuine smiles and positive attitude&quot;"/>
        <s v="&quot;Extremely poor experience2"/>
        <s v="&quot;fly again with this airline&quot;"/>
        <s v="â€œfuture flights only by Vistaraâ€"/>
        <s v="&quot;impeccable service delivery&quot;"/>
        <s v="&quot;happy about the wheelchair service&quot;"/>
        <s v="&quot;the bassinet seats were already sold out&quot;"/>
        <s v="&quot;highly recommend this airline&quot;"/>
        <s v="&quot;served with utmost warmth&quot;"/>
        <s v="&quot;good flight in economy on Vistara&quot;"/>
        <s v="&quot;experience has left a lasting negative impression&quot;"/>
        <s v="&quot;disappointed on the return flight&quot;"/>
        <s v="&quot;overall a great experience&quot;"/>
        <s v="&quot;$70 for a slightly larger carry on&quot;"/>
        <s v="&quot;I was completely dissatisfied&quot;"/>
        <s v="&quot;She was extremely hospitable&quot;"/>
        <s v="&quot;expect better from a reputed airline&quot;"/>
        <s v="&quot;all the best wishes to Vistara&quot;"/>
        <s v="&quot;Terrible service customer service&quot;"/>
        <s v="&quot;Onboard service was outstanding&quot;"/>
        <s v="&quot;very good service&quot;"/>
        <s v="&quot;took it from me saying that it's dangerous&quot;"/>
        <s v="&quot;Refund us and do the right thing&quot;"/>
        <s v="&quot;gave access to lounge for 2 hours&quot;"/>
        <s v="&quot;Service was really bad&quot;"/>
        <s v="&quot;service was truly excellent&quot;"/>
        <s v="&quot;neat &amp; tidy cabin&quot;"/>
        <s v="&quot;customer retention is not a priority&quot;"/>
        <s v="&quot;staff cheerful, professional and warm&quot;"/>
        <s v="&quot;Onboard service was excellent&quot;"/>
        <s v="&quot;Overall a fantastic experience&quot;"/>
        <s v="&quot;happy to be back in the air&quot;"/>
        <s v="&quot;utterly awful experience&quot;"/>
        <s v="&quot;Great experience&quot;"/>
        <s v="&quot;better options are available&quot;"/>
        <s v="&quot;first preference would be Vistara&quot;"/>
        <s v="&quot;thanks for the good service&quot;"/>
        <s v="&quot;appreciate these kind efforts&quot;"/>
        <s v="&quot;service given was excellent&quot;"/>
        <s v="&quot;treat you like a valued customer&quot;"/>
        <s v="&quot;thank the staff of Vistara&quot;"/>
        <s v="&quot;extra for Premium is not really worth it&quot;"/>
        <s v="&quot;Excellent food, kind staff&quot;"/>
        <s v="&quot;service and food are relatively decent&quot;"/>
        <s v="&quot;our worst flight experience&quot;"/>
        <s v="&quot;Very disappointing customer management&quot;"/>
        <s v="&quot;Vistara is seriously lacking&quot;"/>
        <s v="&quot;definitely fly again with Vistara&quot;"/>
        <s v="&quot;comfortable and a nice experience&quot;"/>
        <s v="&quot;I am extremely impressed by their work&quot;"/>
        <s v="&quot;very good experience with Vistara&quot;"/>
        <s v="&quot;crew friendly and resourceful&quot;"/>
        <s v="&quot;Super impressed with the service&quot;"/>
        <s v="&quot;one of the great airlines&quot;"/>
        <s v="&quot;totally loved the flight service&quot;"/>
        <s v="&quot;ground staff is so rude and ignorant&quot;"/>
        <s v="&quot;the finest premium experience&quot;"/>
        <s v="&quot;experience was extremely disappointing&quot;"/>
        <s v="&quot;return flight was considerably better&quot;"/>
        <s v="&quot;the experience was amazing&quot;"/>
        <s v="&quot;Overall a good experience&quot;"/>
        <s v="&quot;I would definitely recommend it&quot;"/>
        <s v="&quot;nothing to complain&quot;"/>
        <s v="&quot;A really professional service&quot;"/>
        <s v="&quot;had to shift weight from my hand baggage&quot;"/>
        <s v="&quot;soft product was found to be wanting&quot;"/>
        <s v="&quot;a completely wonderful experience&quot;"/>
        <s v="&quot;don't travel on Vistara&quot;"/>
        <s v="&quot;It was a joke&quot;"/>
        <s v="&quot;I am dreading my flight back to London&quot;"/>
        <s v="&quot;accidentally booked 15 kgs of extra Luggage&quot;"/>
        <s v="&quot;Fly with Vistara, they are the best&quot;"/>
        <s v="&quot;I loved the experience flying Vistara&quot;"/>
        <s v="&quot;Got me to the check in counter in time&quot;"/>
        <s v="&quot;interested in blame deflection&quot;"/>
        <s v="&quot;Very poor website for check-in&quot;"/>
        <s v="&quot;very helpful and informative&quot;"/>
        <s v="&quot;really help a lot to get it clear&quot;"/>
        <s v="&quot;service was excellent and consistent&quot;"/>
        <s v="&quot;crew members are amazingly well mannered&quot;"/>
        <s v="&quot;Flight was good and staff excellent&quot;"/>
        <s v="&quot;Service with a smile, lots of patience&quot;"/>
        <s v="&quot;Very kind staff&quot;"/>
        <s v="&quot;avoid booking their B737&quot;"/>
        <s v="&quot;professional and welcoming&quot;"/>
        <s v="&quot;onboard experience for these short flights is top notch&quot;"/>
        <s v="&quot;no welcome Champagne&quot;"/>
        <s v="&quot;Best ever airline I have seen&quot;"/>
        <s v="&quot; on-board experience is top notch&quot;"/>
        <s v="&quot;These little gestures make the world just a bit more livable&quot;"/>
        <s v="&quot;Awesome flight Experience&quot;"/>
        <s v="&quot;Awful service experience&quot;"/>
        <s v="&quot;flight was excellent&quot;"/>
        <s v="&quot;asked me to book a new ticket&quot;"/>
        <s v="&quot;wonderful flying experience&quot;"/>
        <s v="&quot;the crew was good&quot;"/>
        <s v="&quot;Vistara was a fantastic experience&quot;"/>
        <s v="&quot;disappointed with Vistaraâ€™s in-flight food&quot;"/>
        <s v="&quot;very pleasant travel experience&quot;"/>
        <s v="&quot;insisted me to pay Â£160 to check it in&quot;"/>
        <s v="&quot;Never again Vistara!&quot;"/>
        <s v="&quot;eager to help and nothing was trouble at all&quot;"/>
        <s v="&quot;I had missed my flight&quot;"/>
        <s v="&quot;amazing service and new aircraft&quot;"/>
        <s v="&quot;In flight service was good&quot;"/>
        <s v="&quot;Not a pleasant experience&quot;"/>
        <s v="&quot;no option other than to pay up&quot;"/>
        <s v="&quot;expect an outstanding onboard experience&quot;"/>
        <s v="&quot;service onboard was flawless&quot;"/>
        <s v="&quot;I was very impressed&quot;"/>
        <s v="&quot;non availability of bus&quot;"/>
        <s v="&quot;COVID test has to be provided&quot;"/>
        <s v="&quot;customer service is superb&quot;"/>
        <s v="&quot;had only 5 kg of excess luggage&quot;"/>
        <s v="&quot;will not refund my money&quot;"/>
        <s v="&quot;charged a fee for the refund&quot;"/>
        <s v="&quot;don't give us our refund&quot;"/>
        <s v="&quot;dont respond to mail and phone&quot;"/>
        <s v="&quot;Really pleasant experience&quot;"/>
        <s v="&quot;experience was not good&quot;"/>
        <s v="&quot;late for the check in&quot;"/>
        <s v="&quot;won't be travelling with them again&quot;"/>
        <s v="&quot;delivered excellent service&quot;"/>
        <s v="&quot;Amazing level of service&quot;"/>
        <s v="&quot;didn't bother to listen&quot;"/>
        <s v="&quot;Fantastic ground service&quot;"/>
        <s v="&quot;a pleasant flying experience&quot;"/>
        <s v="&quot;food options available at piers&quot;"/>
        <s v="&quot;learnt that we had been overbooked&quot;"/>
        <s v="&quot;reached airport 45 mins before flight&quot;"/>
        <s v="&quot;a great airline to fly with&quot;"/>
        <s v="&quot;My bag was tampered with&quot;"/>
        <s v="&quot;Overall a great journey&quot;"/>
        <s v="&quot;really wonderful experience&quot;"/>
        <s v="&quot;Overall a very good flight&quot;"/>
        <s v="&quot;stop flying this carrier&quot;"/>
        <s v="&quot;wonderful experience&quot;"/>
        <s v="&quot;a great experience with Vistara&quot;"/>
        <s v="&quot;service has gotten better&quot;"/>
        <s v="&quot;professional and helpful&quot;"/>
        <s v="&quot;Vistara is much better&quot;"/>
        <s v="&quot;definitely fly Vistara in the future&quot;"/>
        <s v="&quot;seat belt without any instruction&quot;"/>
        <s v="&quot;One of the best airline&quot;"/>
        <s v="&quot;helpful cabin crew&quot;"/>
        <s v="&quot;service are very helpful&quot;"/>
        <s v="&quot;best airline by far&quot;"/>
        <s v="&quot;Excellent flight&quot;"/>
        <s v="&quot;Highly recommended&quot;"/>
        <s v="&quot;ground staff was impolite&quot;"/>
        <s v="&quot;disappointed with Vistara&quot;"/>
        <s v="&quot;customer support is worst&quot;"/>
        <s v="&quot;definitely be flying them again&quot;"/>
        <s v="&quot;I wasn't able to upgrade&quot;"/>
        <s v="&quot;Food tasty and served hot&quot;"/>
        <s v="&quot;crew are the greatest asset&quot;"/>
        <s v="&quot;one of the best airlines&quot;"/>
        <s v="&quot;a worthy option to choose&quot;"/>
        <s v="&quot;the best among all&quot;"/>
        <s v="&quot;hope they maintain that standard&quot;"/>
        <s v="&quot;had a great experience&quot;"/>
        <s v="&quot;one of India' best airlines&quot;"/>
        <s v="&quot;once again excellent&quot;"/>
        <s v="&quot;received a personalised apology letter&quot;"/>
        <s v="&quot;Vistara highly recommended&quot;"/>
        <s v="&quot;one of the best experiences&quot;"/>
        <s v="&quot;best inflight experience&quot;"/>
        <s v="&quot;in-flight service superb&quot;"/>
        <s v="&quot;overall I was impressed&quot;"/>
        <s v="&quot;a different experience altogether&quot;"/>
        <s v="&quot;really wonderful flight&quot;"/>
        <s v="&quot;cabin crew members were co-operative throughout&quot;"/>
        <s v="&quot;such nice experience&quot;"/>
        <s v="&quot;Hats off for such amazing support&quot;"/>
        <s v="&quot;Overall it was good&quot;"/>
        <s v="&quot;Vistara weigh check in baggage&quot;"/>
        <s v="&quot;best domestic flight experience&quot;"/>
        <s v="&quot;recommend to choose Vistara&quot;"/>
        <s v="&quot;Vistara cancelled the flight&quot;"/>
        <s v="&quot;avoid travelling by Vistara&quot;"/>
        <s v="&quot;preferred domestic airline&quot;"/>
        <s v="&quot;they should have IFE in premium economy&quot;"/>
        <s v="&quot;we were warmly welcomed by the cabin crew&quot;"/>
        <s v="&quot;wasn't greatest of experiences&quot;"/>
        <s v="&quot;A high quality product&quot;"/>
        <s v="&quot;every aspect was faultless&quot;"/>
        <s v="&quot;combines luxury with comfort&quot;"/>
        <s v="&quot;meal options were nice&quot;"/>
        <s v="&quot;refreshingly great airline&quot;"/>
        <s v="&quot;best 50 min flight i've taken&quot;"/>
        <s v="&quot;would fly Vistara again&quot;"/>
        <s v="&quot;crew friendly and welcoming&quot;"/>
        <s v="&quot;a really bad experience&quot;"/>
        <s v="&quot;maintaining their higher standard&quot;"/>
        <s v="&quot;seats were unique and classy&quot;"/>
        <s v="&quot;it a wonderful experience&quot;"/>
        <s v="&quot;between 33-36 inch legroom&quot;"/>
        <s v="&quot;the product has been consistent&quot;"/>
        <s v="&quot;the food was amazing&quot;"/>
        <s v="&quot;best airline to fly in India&quot;"/>
        <s v="&quot;turned out a pleasant experience&quot;"/>
        <s v="&quot;my first experience was a good one&quot;"/>
        <s v="&quot;provides an excellent service&quot;"/>
        <s v="&quot;I really liked everything&quot;"/>
        <s v="&quot;wish other airlines learn from them&quot;"/>
        <s v="&quot;one of the best airlines in India&quot;"/>
        <s v="&quot;scores over other airlines&quot;"/>
        <s v="&quot;Vistara was a good experience&quot;"/>
        <s v="&quot;the journey was satisfactory&quot;"/>
        <s v="&quot;aircraft was new and fresh&quot;"/>
      </sharedItems>
    </cacheField>
    <cacheField name="Name" numFmtId="0">
      <sharedItems count="2051">
        <s v="V Bakshi"/>
        <s v="G Oscar"/>
        <s v="Rahul Verma"/>
        <s v="G Akron"/>
        <s v="Sirajudeen Jawahar ali"/>
        <s v="Arpita Chatterjee"/>
        <s v="Sharayu Parab"/>
        <s v="N Padesh"/>
        <s v="V Krishnan"/>
        <s v="Kartika Rai"/>
        <s v="S Haraye"/>
        <s v="J Verlin"/>
        <s v="Rahul Anand"/>
        <s v="Ankur Arora"/>
        <s v="S Jarmeer"/>
        <s v="R Majesa"/>
        <s v="N Barun"/>
        <s v="Amit Das"/>
        <s v="Kinshuk Kumar"/>
        <s v="Hashokmi Kamkara"/>
        <s v="S Hanecas"/>
        <s v="D Jasana"/>
        <s v="S Payal"/>
        <s v="Pooja Bisht"/>
        <s v="R Vanush"/>
        <s v="Ravi Chithajhallu"/>
        <s v="Saurav Kumar"/>
        <s v="Madhavi Mishra"/>
        <s v="Swati Pandey"/>
        <s v="Chinmay Deshpande"/>
        <s v="N Tharkude"/>
        <s v="K Laghari"/>
        <s v="C Halchar"/>
        <s v="Arunima Singh"/>
        <s v="H Shavun"/>
        <s v="Sayandip Ghosh"/>
        <s v="S Shavun"/>
        <s v="M Maltafan"/>
        <s v="S Marpati"/>
        <s v="Y Hardikar"/>
        <s v="Snehitha Vundi"/>
        <s v="Nilesh Singh"/>
        <s v="V Agarwal"/>
        <s v="Deeksha Rajpoot"/>
        <s v="V Purna"/>
        <s v="Divya Garg"/>
        <s v="K Khan"/>
        <s v="Vimi Raikhan"/>
        <s v="Santosh Battepati"/>
        <s v="Swastika Gurung"/>
        <s v="Ankit Gautam"/>
        <s v="Sakshi Chandwani"/>
        <s v="R K Shrivastaw"/>
        <s v="Deepak Dahale"/>
        <s v="Manpreet Kaur"/>
        <s v="S Snehil"/>
        <s v="Ganesh Radhakrishnan"/>
        <s v="Naushaad Ginwalla"/>
        <s v="Shakeel Bakshi"/>
        <s v="R Vashun"/>
        <s v="Praveen Elavarasan"/>
        <s v="Kulwinder Deol"/>
        <s v="Anamika Singh"/>
        <s v="L Shamali"/>
        <s v="M Weares"/>
        <s v="PBahalli"/>
        <s v="R Hashini"/>
        <s v="Shudhanshu Shekhar"/>
        <s v="G Ranil"/>
        <s v="Sarita Shetty"/>
        <s v="G Reddy"/>
        <s v="Deepapriya Vishwanathan"/>
        <s v="Basavaraj Bagewadi"/>
        <s v="R Manirya"/>
        <s v="D Bahnav"/>
        <s v="Nikhil Menon"/>
        <s v="Johnu Marattil"/>
        <s v="A Danyan"/>
        <s v="G Yoyo"/>
        <s v="A Sharawisha"/>
        <s v="Jyoti Prakash Nanda"/>
        <s v="K Reddy"/>
        <s v="R Prakasa"/>
        <s v="Soumik Dam"/>
        <s v="Priya Basaiawmoit"/>
        <s v="Rishad Patell"/>
        <s v="Chandni Biju"/>
        <s v="Vivek Kumar"/>
        <s v="M Kalesima"/>
        <s v="Prachi Rajpuria"/>
        <s v="R Barishi"/>
        <s v="James Koruthu"/>
        <s v="P Adan"/>
        <s v="R Tharjit"/>
        <s v="S Kantarya"/>
        <s v="R Chandry"/>
        <s v="Vivek Pal"/>
        <s v="Sandhya Mungara"/>
        <s v="Sayuj Jaganath"/>
        <s v="Deepak Kurumoju"/>
        <s v="S Sahi"/>
        <s v="J Dimutta"/>
        <s v="Subhradeep Kanjilal"/>
        <s v="V Harante"/>
        <s v="P Priyadarshi"/>
        <s v="S Kamani"/>
        <s v="Sushree Bishwal"/>
        <s v="S Bamistry"/>
        <s v="Rajasekhar Tolety"/>
        <s v="L Vishakha"/>
        <s v="Arpit Narang"/>
        <s v="Midhun Biju"/>
        <s v="A Sudita"/>
        <s v="R Jain"/>
        <s v="Dinesh Arora"/>
        <s v="S Mohan"/>
        <s v="Hemanth Uppada"/>
        <s v="T Reddy"/>
        <s v="Joshua Heath"/>
        <s v="Alex Simion"/>
        <s v="Mahesh Sharma"/>
        <s v="Meenakshi Shrivastava"/>
        <s v="Harpreet Kaur"/>
        <s v="Mahesh Reddy"/>
        <s v="Negine Vatani"/>
        <s v="Amit Sood"/>
        <s v="P Cooper"/>
        <s v="J Morten"/>
        <s v="P Hashel"/>
        <s v="Jean-Claude Albrecht"/>
        <s v="J Vogelmann"/>
        <s v="Dilip Kumar"/>
        <s v="Vihar Deshpande"/>
        <s v="N Hashun"/>
        <s v="Chandan Prakash"/>
        <s v="M Sharp"/>
        <s v="R Maltin"/>
        <s v="N Vankash"/>
        <s v="Tanmoy Mukherjee"/>
        <s v="Seema Malik"/>
        <s v="Sharika Qureshi"/>
        <s v="T Garmina"/>
        <s v="N Darten"/>
        <s v="Johanna Gomez"/>
        <s v="C Ranaja"/>
        <s v="Noel Francis Lukwaro"/>
        <s v="Ashna John"/>
        <s v="J Horsman"/>
        <s v="Devinder Pal Singh"/>
        <s v="Varun Pasricha"/>
        <s v="Gursharan Chhabra"/>
        <s v="J McCarthy"/>
        <s v="Eb Binney"/>
        <s v="Birendra Chaudhary"/>
        <s v="Nitin, Timsi Malhotra"/>
        <s v="A Edmondson"/>
        <s v="D Parsham"/>
        <s v="Dan Leffler"/>
        <s v="Puneet Dua"/>
        <s v="P Kamardan"/>
        <s v="Kunal Sood"/>
        <s v="K Vydehi"/>
        <s v="R Hashali"/>
        <s v="R Ramalakshman"/>
        <s v="S Leety"/>
        <s v="Gautam Chakraborty"/>
        <s v="M Manos"/>
        <s v="E Lameyre"/>
        <s v="K Rai"/>
        <s v="Manju Chandran"/>
        <s v="Sreejith Pillai"/>
        <s v="O Shaw"/>
        <s v="R Parjun"/>
        <s v="Chris Dangelo"/>
        <s v="S Ram"/>
        <s v="Aniruddha Agnihotri"/>
        <s v="Shivani Bhandari"/>
        <s v="S Maybu"/>
        <s v="Sam Reed"/>
        <s v="N Harsun"/>
        <s v="Alok Mishra"/>
        <s v="Maya Koren Kofman"/>
        <s v="S Furman"/>
        <s v="Sallie Palanivel"/>
        <s v="H Varsun"/>
        <s v="N Marten"/>
        <s v="Rajiv Jaggi"/>
        <s v="Nakul Sharma"/>
        <s v="O Norris"/>
        <s v="G Purvat"/>
        <s v="Richard Samra"/>
        <s v="V Harsun"/>
        <s v="G Halden"/>
        <s v="S Lansali"/>
        <s v="R Garjen"/>
        <s v="S Hartens"/>
        <s v="Jitendra Prasad"/>
        <s v="B Paneyas"/>
        <s v="Gulmira Chamoli"/>
        <s v="Usha Nair"/>
        <s v="K Cheung"/>
        <s v="Nidhi Nigam"/>
        <s v="Alex Parvati"/>
        <s v="Anjana Dhrestha"/>
        <s v="Kishor Bhattarai"/>
        <s v="B Hanullar"/>
        <s v="R Davidson"/>
        <s v="T Parshi"/>
        <s v="G Halat"/>
        <s v="Sven Olsson"/>
        <s v="Simran Singh"/>
        <s v="V Agrawl"/>
        <s v="A Dunand"/>
        <s v="D Haysan"/>
        <s v="Pankaj Mandhyan"/>
        <s v="J Lane"/>
        <s v="Gurjot Singh"/>
        <s v="Mohammed Imran Ameer Amza"/>
        <s v="Akshay Jain"/>
        <s v="Maduri Asokan"/>
        <s v="P Reddy"/>
        <s v="N Harsul"/>
        <s v="Sanjay Deshmukh"/>
        <s v="L Han"/>
        <s v="D Kadin"/>
        <s v="B Kadin"/>
        <s v="Umesh Sharma"/>
        <s v="Daniel Miles"/>
        <s v="Sukhbir Bolina"/>
        <s v="Gauri Shetty"/>
        <s v="S Walden"/>
        <s v="Rav Dan"/>
        <s v="D Marshan"/>
        <s v="A Passi"/>
        <s v="Prasad Vinnakota"/>
        <s v="Amar Yadav"/>
        <s v="Prathamesh Pradhan"/>
        <s v="Christian Metcalf"/>
        <s v="D Reddy"/>
        <s v="A Kaushik"/>
        <s v="Keshav Baral"/>
        <s v="Puja Bhowmick"/>
        <s v="H Hashimur"/>
        <s v="Bhawana Thaker"/>
        <s v="V Mehta"/>
        <s v="Mercy Manjaly"/>
        <s v="Oliver Vavro"/>
        <s v="N Malhotra"/>
        <s v="Surinder Gandhi"/>
        <s v="Radhakrishnan Nair"/>
        <s v="Russell Huntington"/>
        <s v="C Cherry Modi Saraogi"/>
        <s v="V Reddy"/>
        <s v="S Gavenka"/>
        <s v="Lakshmi Kudalore"/>
        <s v="K Singh"/>
        <s v="Rajiv Patel"/>
        <s v="Kaminiben Joshi"/>
        <s v="Pravesh Dhanola"/>
        <s v="S Jaival"/>
        <s v="J Latshi"/>
        <s v="M Kulkarni"/>
        <s v="S Harjeet"/>
        <s v="S Singh"/>
        <s v="Saurabh Wahal"/>
        <s v="Ravinder Kaur"/>
        <s v="Prachi Keemtani"/>
        <s v="Deepak Sharma"/>
        <s v="N Panir"/>
        <s v="Johnâ€‹ Arnold"/>
        <s v="Harjinder Singh"/>
        <s v="Hallie Flappie"/>
        <s v="Vijaya Duvvuri"/>
        <s v="C Janjua"/>
        <s v="Sanjeev Bhakri"/>
        <s v="Mike Law"/>
        <s v="P Ranya"/>
        <s v="R Sharma"/>
        <s v="Partha Chakraborty"/>
        <s v="Shriram Tari"/>
        <s v="Jayesh Iyer"/>
        <s v="Yechezkel Kashi"/>
        <s v="Jaspreet kaur"/>
        <s v="S Lenton"/>
        <s v="R Marden"/>
        <s v="Srijan Thapa"/>
        <s v="Shaista Tabassum"/>
        <s v="Maureen Dinkins"/>
        <s v="Barak Tunta"/>
        <s v="Muhammed Shefeek"/>
        <s v="Gagandeep Gupta"/>
        <s v="Kavitaba Zala"/>
        <s v="H Adersh"/>
        <s v="Manjeet Singh"/>
        <s v="Anil Singhal"/>
        <s v="Stuart Allen"/>
        <s v="Haresh Sonar"/>
        <s v="Marie Strydom"/>
        <s v="Rajveer Kaur"/>
        <s v="Ronen Gilady"/>
        <s v="Gurpreet Kumar"/>
        <s v="Rajesh Nagar"/>
        <s v="M Benn"/>
        <s v="S Marton"/>
        <s v="D Keale"/>
        <s v="S Mangen"/>
        <s v="C Paldano"/>
        <s v="Jeppe Juel Dam Sorensen"/>
        <s v="B Watani"/>
        <s v="S Sunila"/>
        <s v="Simon Taylor"/>
        <s v="Rohit Kaushal"/>
        <s v="Ann Benny Alackal"/>
        <s v="R Singh"/>
        <s v="S Sethi"/>
        <s v="Ashish Varun"/>
        <s v="Nicola Mazzucchelli"/>
        <s v="H Harmeenan"/>
        <s v="valentine Beatini"/>
        <s v="S Jensen"/>
        <s v="S Hashun"/>
        <s v="Radha Rani"/>
        <s v="S Halkash"/>
        <s v="N Reddy"/>
        <s v="G Madeva"/>
        <s v="Pavan Isekella"/>
        <s v="Jenson Colaco"/>
        <s v="Sufi Azman"/>
        <s v="Sherin Mathew"/>
        <s v="T Sharma"/>
        <s v="Mohamed Ashrafali"/>
        <s v="S Patil"/>
        <s v="Mathew Joseph"/>
        <s v="Dhaval Parikh"/>
        <s v="Sameer Vohra"/>
        <s v="AP Pandey"/>
        <s v="Bikash Chakraborty"/>
        <s v="S Payrdus"/>
        <s v="J Thanilake"/>
        <s v="G Varsha"/>
        <s v="Hemant Bhadana"/>
        <s v="Abhishek Raj"/>
        <s v="Vishesh Madan"/>
        <s v="Shashi Raj"/>
        <s v="H Norton"/>
        <s v="Namitha Jasmin"/>
        <s v="Neha Sharma"/>
        <s v="M Fathima"/>
        <s v="Aditya Arvandekar"/>
        <s v="Ashhar Khan"/>
        <s v="Omar Abdul Jabbar"/>
        <s v="Rahul Nadkarni"/>
        <s v="AP Ramachandran"/>
        <s v="Anand Ramachandran"/>
        <s v="J Palanaya"/>
        <s v="Aditya Ramakrishnan"/>
        <s v="Gayan Kanchana Gunathunga"/>
        <s v="S Hamish"/>
        <s v="Amarjit Kaur"/>
        <s v="Mani Yerragudi"/>
        <s v="S Vashun"/>
        <s v="Abhay Sharma"/>
        <s v="Chanuka Wettasinghe"/>
        <s v="Kuldeep Sharma"/>
        <s v="M Herkatar"/>
        <s v="Vindhya Hegde"/>
        <s v="S Mansall"/>
        <s v="Uthra Subramanian"/>
        <s v="A Harnasha"/>
        <s v="Nisarg Gajera"/>
        <s v="Intan Nurhati"/>
        <s v="Lakshmi Shree"/>
        <s v="Jennifer Almeida"/>
        <s v="M More"/>
        <s v="shelly chauhan"/>
        <s v="Manoj Badgujar"/>
        <s v="Richard Baker"/>
        <s v="Glenn McGee"/>
        <s v="Zulfiquar Babu"/>
        <s v="N Karinder"/>
        <s v="Pradip Goswami"/>
        <s v="Bakthisaran Elanagar Rangamani"/>
        <s v="Malvica Dsouza"/>
        <s v="T Hanewardana"/>
        <s v="A Singh"/>
        <s v="R Hatton"/>
        <s v="Pooja Chawla"/>
        <s v="Audrey Jacob"/>
        <s v="R Dawson"/>
        <s v="Narendrakumar Patel"/>
        <s v="Prathyusha Bhupathi"/>
        <s v="John Roder"/>
        <s v="N Kalamaran"/>
        <s v="Karishma Chandiramani"/>
        <s v="Britti Paudyal"/>
        <s v="Ravi Srinivas"/>
        <s v="Uminder Malhi"/>
        <s v="D Agar"/>
        <s v="Abhinav Singh"/>
        <s v="Gabriel Kamtam"/>
        <s v="K Hanish"/>
        <s v="Ashok Rastogi"/>
        <s v="D Paneel"/>
        <s v="Aditi Gaba"/>
        <s v="Dipangshu Basu Chaudhuri"/>
        <s v="Rahul Habbu"/>
        <s v="Abhishek Roy"/>
        <s v="Shanthanu Naidu"/>
        <s v="Naresh Nerma"/>
        <s v="Mukesh Maddala"/>
        <s v="Beverly Gordon"/>
        <s v="Lee Benbow"/>
        <s v="Ravikaran Pilli"/>
        <s v="Harmanjot Kaur"/>
        <s v="Sutirtha Chowdhury"/>
        <s v="Anurag Yadav"/>
        <s v="Suhas Kamble"/>
        <s v="S Harjesh"/>
        <s v="Harshit Agarwal"/>
        <s v="Neeraj Jaggi"/>
        <s v="Sami Saghie"/>
        <s v="Abhishek Shetty"/>
        <s v="Swadha Vaid"/>
        <s v="S Jaylani"/>
        <s v="S Hayana"/>
        <s v="R Barton"/>
        <s v="Marina Rodrigues"/>
        <s v="C Ganapathy"/>
        <s v="A Kaldan"/>
        <s v="V Abbas"/>
        <s v="Cajetain Sequeira"/>
        <s v="S Parun"/>
        <s v="D Paria"/>
        <s v="M Wakade"/>
        <s v="Smriti Walia"/>
        <s v="Rajiv Rajpal"/>
        <s v="Pratibha Garewal"/>
        <s v="F Andrews"/>
        <s v="T Kole"/>
        <s v="Arun Sharma"/>
        <s v="Inderpreet Singh"/>
        <s v="Manpreet Singh"/>
        <s v="Nishant Koladiya"/>
        <s v="Sandeep Gill"/>
        <s v="E Valha"/>
        <s v="Prathima Raghava"/>
        <s v="R Panyat"/>
        <s v="H Rupareliya"/>
        <s v="Rajasekhara Reddy"/>
        <s v="Shekhar Purohit"/>
        <s v="S Patel"/>
        <s v="R Bardin"/>
        <s v="L Kajeluk"/>
        <s v="T Pelton"/>
        <s v="T Norton"/>
        <s v="J Halmas"/>
        <s v="S Hadkir"/>
        <s v="Sharad Sapra"/>
        <s v="L Dalkur"/>
        <s v="E Marsam"/>
        <s v="Prerna Arora"/>
        <s v="A Nalikan"/>
        <s v="Sagel Patel"/>
        <s v="Gargi Mankame"/>
        <s v="N Shantar"/>
        <s v="Sana Patel"/>
        <s v="Rameez Qamar"/>
        <s v="Venkata Gudlavalleti"/>
        <s v="Pratishthit Chauhan"/>
        <s v="Pavani Vellal"/>
        <s v="S Garner"/>
        <s v="Kunaal Patel"/>
        <s v="S Marzon"/>
        <s v="J Landon"/>
        <s v="Ronak Gani"/>
        <s v="V Agar"/>
        <s v="A Reddy"/>
        <s v="Brian Dahl"/>
        <s v="Shareek Singh"/>
        <s v="Parul Jain"/>
        <s v="Parvinder Sidhu"/>
        <s v="C Tan"/>
        <s v="Jagdeesh Singh Dhaliwal"/>
        <s v="Khajuria Aseem"/>
        <s v="P Tayel"/>
        <s v="K Gupta"/>
        <s v="J Thornton"/>
        <s v="M Harsin"/>
        <s v="S Sharma"/>
        <s v="Paras Garg"/>
        <s v="M Gupta"/>
        <s v="Harjit Dhaliwal"/>
        <s v="V Atwal"/>
        <s v="Venkitarayan Pallipuram"/>
        <s v="Ramapati Singhania"/>
        <s v="Agnes Chadi"/>
        <s v="Mary Jones"/>
        <s v="Lalita Basra"/>
        <s v="Simi Seth"/>
        <s v="Anand David Chelliah"/>
        <s v="J Basan"/>
        <s v="Shovan Das"/>
        <s v="G Patush"/>
        <s v="G Masindra"/>
        <s v="T Gayal"/>
        <s v="S Shubham"/>
        <s v="H Gardav"/>
        <s v="Reena Makkar"/>
        <s v="Nikhil Jasrotia"/>
        <s v="V Jaydel"/>
        <s v="Jyoti Nair"/>
        <s v="Vivek Anand"/>
        <s v="R Hasin"/>
        <s v="Vamshi Krishnan"/>
        <s v="Advay Biswal"/>
        <s v="N Shavun"/>
        <s v="Jen Thomas"/>
        <s v="Hussain Lokhandwala"/>
        <s v="Harjinder Bamrah"/>
        <s v="Sahil Malhotra"/>
        <s v="Sridhar Makkena"/>
        <s v="Alpa Gandhi"/>
        <s v="Akhilesh Joshi"/>
        <s v="Amit Kumar Sanghi"/>
        <s v="D Vargalli"/>
        <s v="R Marbini"/>
        <s v="D Baji"/>
        <s v="Prashaant Chaudhry"/>
        <s v="Sampath Kunta"/>
        <s v="Tania Sharma"/>
        <s v="Bobby Nair"/>
        <s v="Azizuddin Mohammed"/>
        <s v="Mark Wilhite"/>
        <s v="Deepesh Ganguli"/>
        <s v="K Ankur"/>
        <s v="S Harmaj"/>
        <s v="R Gauran"/>
        <s v="S Meeta"/>
        <s v="Coline Coessens"/>
        <s v="Isha Thakur"/>
        <s v="D Meares"/>
        <s v="E Han"/>
        <s v="Ramesh Vureti"/>
        <s v="Eleanor Vear"/>
        <s v="A Kajay"/>
        <s v="Harmeet Singh"/>
        <s v="A Marjash"/>
        <s v="Amin Virani"/>
        <s v="P Martak"/>
        <s v="L Marsden"/>
        <s v="S Havingar"/>
        <s v="Ritika Periwal"/>
        <s v="Gopa Biswas"/>
        <s v="Amandeep Singh"/>
        <s v="A Nambiar"/>
        <s v="Freny Zaveri"/>
        <s v="Amber Teufel"/>
        <s v="Sandeep Bhola"/>
        <s v="S Garbeda"/>
        <s v="C Ajit"/>
        <s v="Aditya Oza"/>
        <s v="Zaheda Saiyed"/>
        <s v="S Kamalaya"/>
        <s v="J Fernandez"/>
        <s v="Mohit Gheewala"/>
        <s v="Mayil Vahanan"/>
        <s v="Shefal Sharma"/>
        <s v="Rajan Puri"/>
        <s v="M Jubi"/>
        <s v="T Ashwin"/>
        <s v="J Havawin"/>
        <s v="Sudipto Sarkar"/>
        <s v="H Karshar"/>
        <s v="Joseph Cherian"/>
        <s v="C Kathir"/>
        <s v="Jay Gupta"/>
        <s v="S Kaur"/>
        <s v="N Singh"/>
        <s v="A Sahyra"/>
        <s v="C Thane"/>
        <s v="S Shetty"/>
        <s v="P Vardel"/>
        <s v="Urvashie Pruthi"/>
        <s v="Dhaval Patel"/>
        <s v="Bhakti Panchal"/>
        <s v="Anisha Judge"/>
        <s v="Satheesh Kottayil"/>
        <s v="Ankit Dubey"/>
        <s v="Sukhjinder Singh"/>
        <s v="Anjan Yaragani"/>
        <s v="CÃ©cilia Lopez"/>
        <s v="Sekh Mallik"/>
        <s v="Lovlit Goplani"/>
        <s v="Anjan Mandal"/>
        <s v="Somik Sinha"/>
        <s v="Ajay Maru"/>
        <s v="Ash Walker"/>
        <s v="Narendran Pillai"/>
        <s v="Ashif Nelleri"/>
        <s v="H Kaur"/>
        <s v="D Kabey"/>
        <s v="J Kultin"/>
        <s v="Lilesh Karade"/>
        <s v="Manav Joshi"/>
        <s v="Kartik Panchal"/>
        <s v="Sreejith Kurup"/>
        <s v="Arun Tej Gorji"/>
        <s v="M R Raghunath"/>
        <s v="N Shah Jenkins"/>
        <s v="Jyoti Kumari"/>
        <s v="M Saleemuddin"/>
        <s v="Harry Downey"/>
        <s v="Nimisha Mehta"/>
        <s v="N Kadey"/>
        <s v="Anand Vijayakumar"/>
        <s v="Nagendra Chougule"/>
        <s v="Nynan Noushad"/>
        <s v="G Palaya"/>
        <s v="Gurjit Nijjar"/>
        <s v="K Narani"/>
        <s v="Jyoti Singh"/>
        <s v="R Jahani"/>
        <s v="P Kalesh"/>
        <s v="Mohit Sharma"/>
        <s v="Anoop Kumar"/>
        <s v="J Datesh"/>
        <s v="E Sanhee"/>
        <s v="S Kanukhar"/>
        <s v="Zarina Frederick"/>
        <s v="Neha Chauhan"/>
        <s v="K Parvar"/>
        <s v="N Barden"/>
        <s v="Rani Ajay"/>
        <s v="S Karjan"/>
        <s v="Atiya Panjwani"/>
        <s v="B Mayshek"/>
        <s v="I Kaur"/>
        <s v="R Pardolan"/>
        <s v="Siddaram Ishwaragond"/>
        <s v="S Harush"/>
        <s v="Sushant Rana"/>
        <s v="Sathiavathy Karappan"/>
        <s v="Annmary Jacob"/>
        <s v="Sangita dubey Dubey"/>
        <s v="Gazal Banga"/>
        <s v="Eliza Kento"/>
        <s v="S Harten"/>
        <s v="S Garheen"/>
        <s v="Beale"/>
        <s v="Hemchand Kamat"/>
        <s v="Resmi Raj"/>
        <s v="Shameem Elachola"/>
        <s v="N Rasanu"/>
        <s v="Dharmesh Vaghasiya"/>
        <s v="Mahr Banday"/>
        <s v="Mitha Jose"/>
        <s v="N Karpala"/>
        <s v="Sidhartha Kumar Jena"/>
        <s v="Mathias Pinto"/>
        <s v="Smriti Jain"/>
        <s v="Jensen Thomas"/>
        <s v="Parveaz Malik"/>
        <s v="S Kashinel"/>
        <s v="Benial Daniel"/>
        <s v="S Karjeen"/>
        <s v="Zabid Ali Molla"/>
        <s v="Balvinder nath Chaganla"/>
        <s v="G Faizan"/>
        <s v="Partha Longjam"/>
        <s v="Saloni Agarwal"/>
        <s v="B Kalatan"/>
        <s v="Chinmaya Hooli"/>
        <s v="Altmas Khan"/>
        <s v="Jaya Yadav"/>
        <s v="B Pooja"/>
        <s v="Ajith Venugopal"/>
        <s v="Sujith Kesavan"/>
        <s v="Shahbaz Ummer"/>
        <s v="B Hashek"/>
        <s v="Muhsin Mohammed"/>
        <s v="E Kalasamian"/>
        <s v="S Reddy"/>
        <s v="T Pathmah"/>
        <s v="Y Farser"/>
        <s v="S Hariyash"/>
        <s v="Thamem Ansari"/>
        <s v="Akhil Ashok"/>
        <s v="Banumathy Bharathi"/>
        <s v="Hassan Ali"/>
        <s v="Abhineet Taneja"/>
        <s v="Sreenath Nandakumar"/>
        <s v="Rohith Nayak"/>
        <s v="Tarih Basheer"/>
        <s v="K Madury"/>
        <s v="Parijat Mukherjee"/>
        <s v="Saniha Ajith"/>
        <s v="Amol Borwankar"/>
        <s v="Sak Shab"/>
        <s v="M Bartal"/>
        <s v="Pramod Mohandas"/>
        <s v="S Sahni"/>
        <s v="Ravi Valiya"/>
        <s v="K Marsam"/>
        <s v="Mahesh Pisal"/>
        <s v="C Mahlat"/>
        <s v="Pradeep Marolkar"/>
        <s v="B Karmuda"/>
        <s v="Alan Sargeant"/>
        <s v="P Balten"/>
        <s v="Indranil Mukherjee"/>
        <s v="B Majun"/>
        <s v="Sathish Shetty"/>
        <s v="Mohd Nazeer"/>
        <s v="Ravichandar Pavanassm"/>
        <s v="Priyanka Nailwla"/>
        <s v="Neha Montgomery"/>
        <s v="S Lamish"/>
        <s v="Abhishek Dey"/>
        <s v="Riddhi Parekh"/>
        <s v="Mathews Chennattu"/>
        <s v="Jaspreet Malhotra"/>
        <s v="M Pathiliya"/>
        <s v="Bhanu Parashar"/>
        <s v="Kulbhushan Godase"/>
        <s v="Manvinder Sachdeva"/>
        <s v="Ayswarya Vj"/>
        <s v="Ishan Kumar"/>
        <s v="Ara Thareja"/>
        <s v="Rachna Shetty"/>
        <s v="Francisco Fernandes"/>
        <s v="Kalpesh Mehta"/>
        <s v="Erika Pereira"/>
        <s v="H Dammas"/>
        <s v="M Valsek"/>
        <s v="Karthikeyan Jeyaseelan"/>
        <s v="E Lanse"/>
        <s v="R Mendonca"/>
        <s v="B Hallir"/>
        <s v="Mohammed Asif Mansoori"/>
        <s v="Jordan Saldanha"/>
        <s v="C Lameure"/>
        <s v="Sanjeev Gupta"/>
        <s v="Leo Gertrude David"/>
        <s v="Shaleel Kesavan"/>
        <s v="Rajan Bulchand"/>
        <s v="Mohammed Nazeer"/>
        <s v="Sanjay Modak"/>
        <s v="Shlok Misra"/>
        <s v="Harsh Gidwani"/>
        <s v="Siddharth Ghaisas"/>
        <s v="M Rajeev"/>
        <s v="Jiju Joseph"/>
        <s v="S Modak"/>
        <s v="Rohit Fernandes"/>
        <s v="M Haridas"/>
        <s v="Souk Lan Lim"/>
        <s v="Ramanathan Krishnan"/>
        <s v="P Bhaduri"/>
        <s v="G Mandal"/>
        <s v="Vishwanath Deshpande"/>
        <s v="Akash Raval"/>
        <s v="M Reddy"/>
        <s v="Deepika Rana"/>
        <s v="A Panarash"/>
        <s v="Shahid Alam Mohammad"/>
        <s v="S Hayle"/>
        <s v="Priyanshi Jain"/>
        <s v="Dharmesh Kapadia"/>
        <s v="Vaishnavi Chillal"/>
        <s v="Ankit Chawla"/>
        <s v="Suhail Ali"/>
        <s v="N Kamayr"/>
        <s v="Anjali Dutta"/>
        <s v="Gaurav Singh"/>
        <s v="Akshat Dewan"/>
        <s v="Jahangir Saleem"/>
        <s v="Phalguni Rathod"/>
        <s v="Muzzammil Ansari"/>
        <s v="S Parban"/>
        <s v="E Haldin"/>
        <s v="S Mandel"/>
        <s v="Venkata Raghavendra"/>
        <s v="D Palser"/>
        <s v="R Harjash"/>
        <s v="N Kadish"/>
        <s v="Sunidhi Padiyar"/>
        <s v="M Kahul"/>
        <s v="Ankita Lalwani"/>
        <s v="V Gashinav"/>
        <s v="Zia Ghadialy"/>
        <s v="Avijit Das"/>
        <s v="Vikrant Bhola"/>
        <s v="R Garnev"/>
        <s v="Rupal Ruhani"/>
        <s v="Mohit Aggarwal"/>
        <s v="S Hasinder"/>
        <s v="Rakesh Ranjan"/>
        <s v="Sai Kumar Salveru"/>
        <s v="Srinidhi Jois"/>
        <s v="M Jeevan"/>
        <s v="Neha Chaturvedi"/>
        <s v="Sameer Sharma"/>
        <s v="Shekhar Verma"/>
        <s v="Harsh Kumar"/>
        <s v="Hrishikesh Joshi"/>
        <s v="Amit Vats"/>
        <s v="Ashwin Shetty"/>
        <s v="G Singh"/>
        <s v="S Varinder"/>
        <s v="R Parmek"/>
        <s v="D Varya"/>
        <s v="Aarathi Ajit"/>
        <s v="Imran Akbar Dar"/>
        <s v="P Anand"/>
        <s v="V Danakesh"/>
        <s v="Vidhi Srivastava"/>
        <s v="Satyam Srivastava"/>
        <s v="Ankita Singh"/>
        <s v="Peter Linn"/>
        <s v="Abhijay Mitra"/>
        <s v="Nitika Shaw"/>
        <s v="Y Shailesh"/>
        <s v="Jaik Singh"/>
        <s v="B Adithan"/>
        <s v="D Yew"/>
        <s v="Prajyoth Reddy"/>
        <s v="Siddharth Nair"/>
        <s v="S Choudhary"/>
        <s v="Vinti Chhoker"/>
        <s v="S Harah"/>
        <s v="Archana Rampruia"/>
        <s v="S Parshi"/>
        <s v="B Shair"/>
        <s v="Rashmi Nagari"/>
        <s v="S Kashani"/>
        <s v="P Karish"/>
        <s v="Biswajit Barman"/>
        <s v="Sunita Lal"/>
        <s v="Tirth Bhatt"/>
        <s v="Surendra Srivastava"/>
        <s v="Virender Kumar"/>
        <s v="D Pankul"/>
        <s v="Santosh Tantri"/>
        <s v="E Sathyamurthy"/>
        <s v="Gayatri Kamath"/>
        <s v="V Anu"/>
        <s v="Mehnaz Bano"/>
        <s v="R Beale"/>
        <s v="Lalith Chandra"/>
        <s v="Pavan Gajare"/>
        <s v="Renu Ruhil"/>
        <s v="Kumar Gaurav"/>
        <s v="Sadasivan Nair"/>
        <s v="Tobias Deininger"/>
        <s v="H Varkash"/>
        <s v="J Patel"/>
        <s v="Chandresh Sanghavi"/>
        <s v="Eldho Thomas"/>
        <s v="Denis Karpukhin"/>
        <s v="Anil Krishnan"/>
        <s v="P Galash"/>
        <s v="Girish Babu"/>
        <s v="Manish Mishra"/>
        <s v="Ankit Kumar Jain"/>
        <s v="T Harpesh"/>
        <s v="S Rajeev"/>
        <s v="Srikanta Mukherjee"/>
        <s v="Dharitri Das"/>
        <s v="Nishant Agarwal"/>
        <s v="Arjun Kumar"/>
        <s v="Gargi Das"/>
        <s v="Sushant Rawat"/>
        <s v="A Kanesh"/>
        <s v="N Danesh"/>
        <s v="R Kalaj"/>
        <s v="Merlin John"/>
        <s v="Akhil Bisht"/>
        <s v="W Tahir"/>
        <s v="N Martin"/>
        <s v="Biki Biswas"/>
        <s v="Israr Ahmed Khan"/>
        <s v="Milind Meher"/>
        <s v="N Lasari"/>
        <s v="S Garun"/>
        <s v="B Sadarthi"/>
        <s v="Sruthi Kolla"/>
        <s v="Jaya Mishra"/>
        <s v="H Garsav"/>
        <s v="S Hayesh"/>
        <s v="Rahul Razdan"/>
        <s v="Y Satumar"/>
        <s v="Dharu Abraham"/>
        <s v="Ayush Malpani"/>
        <s v="Aijaz Ghare"/>
        <s v="Jessica Aguiar"/>
        <s v="Chirag Kansal"/>
        <s v="Jitin Varghese"/>
        <s v="T Abin"/>
        <s v="S Cherla"/>
        <s v="H Banesh"/>
        <s v="A Hayton"/>
        <s v="S Marnadez"/>
        <s v="D Vardenar"/>
        <s v="Nikitha Chandran"/>
        <s v="M Harkim"/>
        <s v="A Harkalar"/>
        <s v="Nardeep Gill"/>
        <s v="Rajasthan Kumar"/>
        <s v="Yash Gandhi"/>
        <s v="Sooraj Krishna"/>
        <s v="H Girash"/>
        <s v="S Khan"/>
        <s v="K Abhi"/>
        <s v="P Ramosa"/>
        <s v="Akshay Patil"/>
        <s v="Rahul Choudhuri"/>
        <s v="R Hallesh"/>
        <s v="Pravin P Shastri"/>
        <s v="Jahnavi Miriyala"/>
        <s v="Radha Meena"/>
        <s v="Urvashi Gupta"/>
        <s v="Caren Menon"/>
        <s v="N Sharzen"/>
        <s v="M Mishra"/>
        <s v="Shreeja Mohanta"/>
        <s v="Vishal Kumar Gupta"/>
        <s v="V Sharma"/>
        <s v="Himani Goyal"/>
        <s v="Barnali Shankar"/>
        <s v="Randall Hamilton"/>
        <s v="N Harkiya"/>
        <s v="S Nagabhirava"/>
        <s v="M Habur"/>
        <s v="Steve Dsouza"/>
        <s v="H Darsayn"/>
        <s v="S Comar"/>
        <s v="Manin Kulkarni"/>
        <s v="Pooja Deshpande"/>
        <s v="N Hasani"/>
        <s v="T Maykell"/>
        <s v="Saramma Pa"/>
        <s v="Manoj Jena"/>
        <s v="Gaspard Grass"/>
        <s v="Namrata Dubey"/>
        <s v="L Gomil"/>
        <s v="T Sanderson"/>
        <s v="V Katayumah"/>
        <s v="Suhas Madan"/>
        <s v="Aarjun Malhotra"/>
        <s v="S Hartin"/>
        <s v="S Haltin"/>
        <s v="M Aishwarya"/>
        <s v="Yogendra Shrestha"/>
        <s v="Dhriti Ranjan"/>
        <s v="Suneet Mishra"/>
        <s v="Rajesh Mehra"/>
        <s v="G Pea"/>
        <s v="S Halshya"/>
        <s v="Ira Nagel"/>
        <s v="S Garven"/>
        <s v="Shashi Singh"/>
        <s v="E Zografakis"/>
        <s v="B Latlae"/>
        <s v="Giovanni Tropea"/>
        <s v="Achim Nuhr"/>
        <s v="Tangirala Reddy"/>
        <s v="Chirag Acharya"/>
        <s v="Sanjana K Murthy"/>
        <s v="A Rasouli"/>
        <s v="Mahendra Kumar"/>
        <s v="Niraj Patel"/>
        <s v="R Harshem"/>
        <s v="B Anildeep"/>
        <s v="Rahul Shrivastava"/>
        <s v="K Shetty"/>
        <s v="C Han"/>
        <s v="N Nishanth"/>
        <s v="Prasad Reddy"/>
        <s v="Suneet Rajshekhar"/>
        <s v="A Deol"/>
        <s v="S Ganhela"/>
        <s v="Tapas Datta"/>
        <s v="Pargat Singh"/>
        <s v="G Das"/>
        <s v="M Yadav"/>
        <s v="P Jareyn"/>
        <s v="A Calendez"/>
        <s v="Bharat Datt"/>
        <s v="Parul Pujary"/>
        <s v="K Manasa"/>
        <s v="G Keen"/>
        <s v="Arindra Mishra"/>
        <s v="Akanksha Shrivastava"/>
        <s v="F Durand"/>
        <s v="Satya Roy"/>
        <s v="Jerome Jacob Xavier"/>
        <s v="S Birvali"/>
        <s v="Srini Veera"/>
        <s v="Gladys Swamy"/>
        <s v="Sayed Fayaz"/>
        <s v="M Johal"/>
        <s v="Saptarup Saha"/>
        <s v="S Jashende"/>
        <s v="Prasad Jog"/>
        <s v="R Kumar"/>
        <s v="D Rao"/>
        <s v="M Haldan"/>
        <s v="HP Naz"/>
        <s v="K Sharma"/>
        <s v="S Kamihal"/>
        <s v="Mohammed Nazeer Abdulrehman"/>
        <s v="Priya Rao"/>
        <s v="K Modi"/>
        <s v="Shaun Tully"/>
        <s v="Nicola Dsilva"/>
        <s v="S Morten"/>
        <s v="Mark Peake"/>
        <s v="Thirupathi Paalepu"/>
        <s v="Dr Kalpana Gopan"/>
        <s v="Saheen Ahzan"/>
        <s v="Jai Sharda"/>
        <s v="J Lale"/>
        <s v="Sunanda Dutta"/>
        <s v="Fabrizio Speziale"/>
        <s v="P Kaur"/>
        <s v="Meher Kanuri"/>
        <s v="M Dawalnar"/>
        <s v="Y Vus"/>
        <s v="Paras Suneja"/>
        <s v="Marcus Ravi"/>
        <s v="J Hadul"/>
        <s v="Dhannya Binoy"/>
        <s v="John Hebron"/>
        <s v="Rachna Kumari"/>
        <s v="Atul Phillips"/>
        <s v="K Nagel"/>
        <s v="A Manshay"/>
        <s v="Rajat Mehta"/>
        <s v="H Vanush"/>
        <s v="Sharanesh Kumaraswamy"/>
        <s v="Vivek Meempat"/>
        <s v="R Martillo"/>
        <s v="Charanjit Bhinder"/>
        <s v="S Kipgen"/>
        <s v="Tausif Chowdhury"/>
        <s v="R Shaw"/>
        <s v="M Keele"/>
        <s v="B Jalan"/>
        <s v="Mathews Manampuram"/>
        <s v="Smrithi Ramakrishnan"/>
        <s v="Komal Khedkar"/>
        <s v="Alina Poghosyan"/>
        <s v="Raghavendra Rai"/>
        <s v="K Hakim"/>
        <s v="S Johal"/>
        <s v="J Joseph"/>
        <s v="S Wayamandi"/>
        <s v="Sutham Nair"/>
        <s v="Fabio Marroni"/>
        <s v="Ronak Baul"/>
        <s v="Md. Shamsul Islam"/>
        <s v="Flora Mawi"/>
        <s v="Abdulellah Almurshed"/>
        <s v="Siva Kumar Thadakalur"/>
        <s v="B Wasmali"/>
        <s v="E Madara"/>
        <s v="Ambika Gautam"/>
        <s v="N Bartan"/>
        <s v="S Hapta"/>
        <s v="S Haranes"/>
        <s v="C Harduri"/>
        <s v="Jyothsna Reddy"/>
        <s v="Krishan Lal Sikka"/>
        <s v="Z Madayan"/>
        <s v="Pete Brar"/>
        <s v="P Kanyamee"/>
        <s v="R Kabasri"/>
        <s v="Sanjeev Kumar"/>
        <s v="Stephanie Preyer"/>
        <s v="A Harper"/>
        <s v="A Vashun"/>
        <s v="Vipin Babu"/>
        <s v="S Vanush"/>
        <s v="Akhil Pavi"/>
        <s v="Sumit Arora"/>
        <s v="Rio Fernandes"/>
        <s v="Washim Akhter"/>
        <s v="Irfan Ismail"/>
        <s v="V Sharun"/>
        <s v="H Sharvun"/>
        <s v="Aamli Agarwal"/>
        <s v="Ashish Khokar"/>
        <s v="T Patusa"/>
        <s v="Khyati Sethia"/>
        <s v="S Venkatesh"/>
        <s v="Amitansu Dasgupta"/>
        <s v="K Sandi"/>
        <s v="S Harshun"/>
        <s v="H Kamil"/>
        <s v="Sana Tilwalli"/>
        <s v="H Vashun"/>
        <s v="Milton Fernando"/>
        <s v="Vaithiya Nathan"/>
        <s v="Sanghamitra Chatterjee"/>
        <s v="Dr. Rijeesh Keloth"/>
        <s v="V Agrawal"/>
        <s v="W McDonnell"/>
        <s v="Jins Kochenudiyil"/>
        <s v="V Harish"/>
        <s v="Parag Mhatre"/>
        <s v="B Caille"/>
        <s v="Prathmesh Yadav"/>
        <s v="Elizabeth Huber"/>
        <s v="Glenn Biffen"/>
        <s v="M Gadman"/>
        <s v="A Mahdesh"/>
        <s v="A Kanavarma"/>
        <s v="A Marpura"/>
        <s v="Anastasia Kolesnik"/>
        <s v="S Gamil"/>
        <s v="S Martha"/>
        <s v="S Vanesh"/>
        <s v="N Sharvin"/>
        <s v="D Nelson"/>
        <s v="Vydyanath Pisupati"/>
        <s v="Suresh Balakrishnan"/>
        <s v="Sapna Agarwal"/>
        <s v="Sandeep Patil"/>
        <s v="Michael Little"/>
        <s v="T Taylor"/>
        <s v="A Carden"/>
        <s v="Madan Kashyap"/>
        <s v="Debraj Chatterjee"/>
        <s v="G Mahajan"/>
        <s v="N Danitya"/>
        <s v="Harsh Shah"/>
        <s v="Neetan Meenia"/>
        <s v="A Garamal"/>
        <s v="Aashish Kumar Sonu Bikram Jaiswal"/>
        <s v="N Beale"/>
        <s v="Carolyn Moncur"/>
        <s v="A Darnul"/>
        <s v="Santosh Kulkarni"/>
        <s v="Mudit Jalan"/>
        <s v="Mahendra Sagar"/>
        <s v="Mohammed Nishal"/>
        <s v="S Jahavan"/>
        <s v="Arshad Noor Siddiquee"/>
        <s v="G Sayakum"/>
        <s v="Naresh Jallu"/>
        <s v="Phil Medlin"/>
        <s v="M Junaid Ali"/>
        <s v="R Jalin"/>
        <s v="G Sawyer"/>
        <s v="Suresh Kumar"/>
        <s v="Rittick Nandy"/>
        <s v="Krishnan Srinivas"/>
        <s v="T Shanekar"/>
        <s v="Deepa Mukerji"/>
        <s v="Arathi Pv"/>
        <s v="P Chalnish"/>
        <s v="L Bursell"/>
        <s v="Ayushi Dixit"/>
        <s v="S Marbanian"/>
        <s v="Aastha Gupta"/>
        <s v="D Alagiah"/>
        <s v="P Densah"/>
        <s v="N Rafe"/>
        <s v="I Tavoni"/>
        <s v="S Gordon"/>
        <s v="Amitha Sathish"/>
        <s v="N Kahlasanan"/>
        <s v="C King"/>
        <s v="Shirin Kakayeva"/>
        <s v="Olena Viechkanova"/>
        <s v="V  Sharun"/>
        <s v="Sameer Phatak"/>
        <s v="D Vartya"/>
        <s v="Torsten Wiemann"/>
        <s v="H Kapawal"/>
        <s v="A Sorlan"/>
        <s v="R Reddy"/>
        <s v="Ishita Bhowmick"/>
        <s v="Eric Chassagnolle"/>
        <s v="M Fraser"/>
        <s v="A Bamhate"/>
        <s v="Mary Tawadros"/>
        <s v="Rajesh Lamba"/>
        <s v="J Seibt"/>
        <s v="Heena Soni"/>
        <s v="B Gamesani"/>
        <s v="B Singh"/>
        <s v="Shefali Patel"/>
        <s v="A S Kavya"/>
        <s v="G Barani"/>
        <s v="P Veesai"/>
        <s v="Sandeep Kulkarni"/>
        <s v="Jay Jayant"/>
        <s v="Nikita Puri"/>
        <s v="Ahmad Shaik"/>
        <s v="P Singh"/>
        <s v="H Gadesse"/>
        <s v="S Najida"/>
        <s v="John Maynard"/>
        <s v="K Mahuddin"/>
        <s v="G Eardly"/>
        <s v="Chinmay Natu"/>
        <s v="Arsha Ignatius"/>
        <s v="Jaganathan Venkatesh"/>
        <s v="Suramya Naik"/>
        <s v="Karan Chauhan"/>
        <s v="Mamata Dalai"/>
        <s v="Arindam Mahapatra"/>
        <s v="A Adam"/>
        <s v="J Masim"/>
        <s v="Kiranraj Nayak"/>
        <s v="Dr Bhawna Johri"/>
        <s v="Bhawna Johri"/>
        <s v="Pankaj Garg"/>
        <s v="S Jabathra"/>
        <s v="S Richardson"/>
        <s v="S Rajur"/>
        <s v="Gokal Chittaranjan"/>
        <s v="B Marala"/>
        <s v="J Reddy"/>
        <s v="Ravi Pullanikattil"/>
        <s v="J Haron"/>
        <s v="Shiva Sitaraman"/>
        <s v="H Advani"/>
        <s v="V Talapu"/>
        <s v="Nafis Ahmed Raiyan"/>
        <s v="K Patmar"/>
        <s v="Arul Prakash Samathuvamani"/>
        <s v="Shubhi Singh"/>
        <s v="G Shakari"/>
        <s v="Praveen Sharma"/>
        <s v="D Narash"/>
        <s v="U Patel"/>
        <s v="Bergen Stephen"/>
        <s v="Gaurav Surwade"/>
        <s v="S Chhatwani"/>
        <s v="S Moors"/>
        <s v="Ashish Menon"/>
        <s v="G Marezy"/>
        <s v="P Henderson"/>
        <s v="F Burton"/>
        <s v="Anjay Krishnamurthy"/>
        <s v="Rucha Save"/>
        <s v="Bhargav Dodla"/>
        <s v="S Hashavi"/>
        <s v="Nikhil Shah"/>
        <s v="Sounak Moulik"/>
        <s v="Khalid Nadeem"/>
        <s v="H Reddy"/>
        <s v="V Andrews"/>
        <s v="G Johar"/>
        <s v="A Satuha"/>
        <s v="V Sam"/>
        <s v="P Kamoorta"/>
        <s v="Udit Thakar"/>
        <s v="Pratik Bavlecha"/>
        <s v="K Khanna"/>
        <s v="A Amir"/>
        <s v="Natesh Selvaraj"/>
        <s v="Himanshu Chauhan"/>
        <s v="Sunil Mahato"/>
        <s v="P Richards"/>
        <s v="Mehul Choudhury"/>
        <s v="A Greenberg"/>
        <s v="S Allam"/>
        <s v="V Sawaji"/>
        <s v="S Hutahu"/>
        <s v="S Shuhatar"/>
        <s v="M Sakeenu"/>
        <s v="Sajit Vishu"/>
        <s v="Vishal Shrivastava"/>
        <s v="Ashutosh Sahu"/>
        <s v="E Malhotra"/>
        <s v="A Pandesh"/>
        <s v="Avi Singh"/>
        <s v="Harshwardhan Sharma"/>
        <s v="Chandan Kodgirwar"/>
        <s v="Dhruv Bhatt"/>
        <s v="Gunjan Singh"/>
        <s v="Ravi Mene"/>
        <s v="Thomas Zasso"/>
        <s v="Zavier Murtza"/>
        <s v="M Sekhri"/>
        <s v="Prayash Giria"/>
        <s v="Chinar Dankhara"/>
        <s v="Scherazade Irani"/>
        <s v="Ramesh Chidamparam"/>
        <s v="Amrita Kishore"/>
        <s v="Debasish Chatterjee"/>
        <s v="Anurag Dave"/>
        <s v="S Shivdasani"/>
        <s v="Adnan Mir"/>
        <s v="Rakesh Dhareshwar"/>
        <s v="Bakhtiyar Tarapore"/>
        <s v="Karthikeyan Chidambaram"/>
        <s v="Aaditya Suratkar"/>
        <s v="Shrivallabh Randad"/>
        <s v="B Vincent"/>
        <s v="Kalpesh Ashar"/>
        <s v="Pinaki Bhadury"/>
        <s v="Roma Solomon"/>
        <s v="P Gould"/>
        <s v="Tan Ying Kuan"/>
        <s v="M Herler"/>
        <s v="B Dossin"/>
        <s v="S Friedman"/>
        <s v="Manoj Chaumal"/>
        <s v="Shyamala Seshan"/>
        <s v="P Ryan"/>
        <s v="M Riccardo"/>
        <s v="S Sankar"/>
        <s v="Purna Ananth"/>
        <s v="Kumar Ganesh"/>
        <s v="Haresh Advani"/>
        <s v="Adam Miller"/>
        <s v="S Shivadasani"/>
        <s v="Arup Ghosh"/>
        <s v="Varun Ravichandran"/>
        <s v="Sriharsha Narasimhan"/>
        <s v="Singh Ashutosh"/>
        <s v="J Knibbe"/>
        <s v="Narendra Gajala"/>
        <s v="Tanmay Bhakta"/>
        <s v="M Fewster"/>
        <s v="Patell Rishad"/>
        <s v="Prithvi Ramesh"/>
        <s v="Rahul Kumar"/>
        <s v="Devayani Hirani"/>
        <s v="Marek Wrobel"/>
        <s v="M Satish"/>
        <s v="P Kale"/>
        <s v="R Manohar"/>
        <s v="Chadha Jitender"/>
        <s v="S Srinivasan"/>
        <s v="Patel Beena"/>
        <s v="A Kashyap"/>
        <s v="J Sastry"/>
        <s v="I Lancaster"/>
        <s v="Debaditya Haldar"/>
        <s v="M Jasuja"/>
        <s v="A Swamy"/>
        <s v="S Naida"/>
        <s v="Ranjeet Bhardwaj"/>
        <s v="D Gujrathi"/>
        <s v="Giridhar Penumarti"/>
        <s v="S Menon"/>
        <s v="Daniel Johnson"/>
        <s v="S Karthekeyaan"/>
        <s v="A Krummacher"/>
        <s v="Bansal Shailesh"/>
        <s v="N Sundera"/>
        <s v="N Sasilatha"/>
        <s v="Karl Moosbrugger"/>
        <s v="Sidath Baranage"/>
        <s v="Alan Lacey"/>
        <s v="U V Naresh"/>
        <s v="Tasneem Yousuff"/>
        <s v="W Montego"/>
        <s v="Kapil Khandelwal"/>
        <s v="V Bagaria"/>
        <s v="Ameya Chitre"/>
        <s v="Saketh Rahm"/>
        <s v="J Kalumar"/>
        <s v="Sonu Dhami"/>
        <s v="Raman Dhawan"/>
        <s v="Sachin Atri"/>
        <s v="Sanket Shah"/>
        <s v="P Bhatnagar"/>
        <s v="Kamal Dhama"/>
        <s v="Preeti Bhargava"/>
        <s v="Soniq Lafuente"/>
        <s v="Priyanka Kumari"/>
        <s v="T Paniyal"/>
        <s v="Victor Bordoloi"/>
        <s v="K Mansour"/>
        <s v="A Kajan"/>
        <s v="Satvir Singh"/>
        <s v="Z Hakira"/>
        <s v="A Masyan"/>
        <s v="Nirav Gala"/>
        <s v="Shruthy Sabu"/>
        <s v="M Bajwa"/>
        <s v="Sanath Kumar"/>
        <s v="Aaditya Gupta"/>
        <s v="Srividya Giridharan"/>
        <s v="Praveen Gupta"/>
        <s v="Neel Shah"/>
        <s v="N Haksin"/>
        <s v="Narendra Deraje"/>
        <s v="F Kassin"/>
        <s v="R Varson"/>
        <s v="Vanishree Kulkarni"/>
        <s v="Manas Gupta"/>
        <s v="Basheer Chennat"/>
        <s v="N Rath"/>
        <s v="Ashwin Bansal"/>
        <s v="Ramya Moolemajalu Vishwanatha"/>
        <s v="M Parjin"/>
        <s v="Manish Namdev"/>
        <s v="Thyagaraju Palisetty"/>
        <s v="Ranjita Pandey"/>
        <s v="Kashyap Sistla"/>
        <s v="Sanjay Hodlur"/>
        <s v="Irum Jan"/>
        <s v="S Chatterjee"/>
        <s v="Balraj Muthu"/>
        <s v="Amit Kumar"/>
        <s v="K Shaban"/>
        <s v="Raghunathji S Sankaran"/>
        <s v="Asif Khan"/>
        <s v="Deepa Sambhwani"/>
        <s v="Akhila Anil"/>
        <s v="Roni Munshi"/>
        <s v="H Jayashree"/>
        <s v="APURVA Sanghvi"/>
        <s v="Abhinav Agarwal"/>
        <s v="Asha Kumar"/>
        <s v="A Ashmi"/>
        <s v="Cody Rai"/>
        <s v="Manashwini Gurumurthy"/>
        <s v="T Hamson"/>
        <s v="Rishabh Malhotra"/>
        <s v="N Jaltam"/>
        <s v="S Suryawanshi"/>
        <s v="Pratik Kadu"/>
        <s v="S Janeer"/>
        <s v="Jayraj Dabral"/>
        <s v="Jnana Devaprasad"/>
        <s v="R Prasanna"/>
        <s v="S Marhan"/>
        <s v="Vignesh Vicky"/>
        <s v="Apurba Patra"/>
        <s v="S Kornas"/>
        <s v="Shamit Bhasin"/>
        <s v="R Shakar"/>
        <s v="V Gupta"/>
        <s v="Mukesh Venugopal"/>
        <s v="R Thamashil"/>
        <s v="Ramanathan Ramchandra"/>
        <s v="Guddu Kumar"/>
        <s v="Rohit Chaturvedi"/>
        <s v="Mahek Sharma"/>
        <s v="C Arthurs"/>
        <s v="T Raj"/>
        <s v="Lengoumang Haokip"/>
        <s v="Feryal Banday"/>
        <s v="Sachin Temghare"/>
        <s v="Sanjay Patnaik"/>
        <s v="Apurba Arun"/>
        <s v="Kousambi Roy"/>
        <s v="R Lohana"/>
        <s v="N Dantu"/>
        <s v="M Fazil"/>
        <s v="R Shaeer"/>
        <s v="A Hamarata"/>
        <s v="Akriti Singh"/>
        <s v="V Vikram"/>
        <s v="Tanvi Yadav"/>
        <s v="Ieva Berica"/>
        <s v="Sreeram Singh"/>
        <s v="Venkataramani Sriraman"/>
        <s v="N Mete"/>
        <s v="Anil Magdum"/>
        <s v="Sajith Paul"/>
        <s v="Neha Bhat"/>
        <s v="Rakshit Gupta"/>
        <s v="Mujeer Hussain"/>
        <s v="Valluri Srinivas"/>
        <s v="Kajal Jain"/>
        <s v="Harshada Newaskar"/>
        <s v="Dmitrii Karabanev"/>
        <s v="Mayank Baid"/>
        <s v="Talib Wakeel"/>
        <s v="Mohit Kumar"/>
        <s v="Umaimah Shamsi"/>
        <s v="P Serhim"/>
        <s v="Ekta Gupta"/>
        <s v="T Portah"/>
        <s v="B Hasir"/>
        <s v="B Deasen"/>
        <s v="Sana Gupta"/>
        <s v="H Venkatesh"/>
        <s v="Shibin Thazhissery"/>
        <s v="C Jansen"/>
        <s v="Shubhanker Tuteja"/>
        <s v="Tony Lobo"/>
        <s v="M Qufar"/>
        <s v="A Kumar"/>
        <s v="C Barushan"/>
        <s v="Kamalesh Chaudhury"/>
        <s v="L Kayran"/>
        <s v="Faizal Ahamed"/>
        <s v="Anas Rafique"/>
        <s v="A Parmesh"/>
        <s v="Mandeep Gujral"/>
        <s v="Joy Choudhury"/>
        <s v="S Praveen"/>
        <s v="Walid Lahoud"/>
        <s v="P Sernah"/>
        <s v="S Margiya"/>
        <s v="Sonam Lohani"/>
        <s v="L Neiran"/>
        <s v="Nitin Prasad"/>
        <s v="Lionel Agostini"/>
        <s v="Apoorva Dube"/>
        <s v="R Agarwal"/>
        <s v="Habeeb Mohammed"/>
        <s v="V Lakis"/>
        <s v="Gulshan Kumar"/>
        <s v="S Laghari"/>
        <s v="Sanjay Tarale"/>
        <s v="Vineet Gupta"/>
        <s v="Sunil Kumar Khetarpal"/>
        <s v="Suraj Chaurasiya"/>
        <s v="D Wansiya"/>
        <s v="M Hasana"/>
        <s v="T Merchant"/>
        <s v="D Rakesh"/>
        <s v="Somil Jain Jain"/>
        <s v="Anup Kumar"/>
        <s v="Manoj Kumar Jha"/>
        <s v="Nawal Bansal"/>
        <s v="Manish Mukhija"/>
        <s v="Kush Goel"/>
        <s v="Atul Sehgal"/>
        <s v="Aruneeta Srivastava"/>
        <s v="Peter Colaco"/>
        <s v="Jaya Prem Shetty"/>
        <s v="J Marendo"/>
        <s v="Aayush Taneja"/>
        <s v="A Bameen"/>
        <s v="Abhimanyu Gupta"/>
        <s v="R Karnuda"/>
        <s v="Meenu Batra"/>
        <s v="Tanvi Sharma"/>
        <s v="Umar Jan"/>
        <s v="Kshipra Kalantri"/>
        <s v="G Thorvey"/>
        <s v="Sanjiv Jani"/>
        <s v="Kaushik Rathi"/>
        <s v="R Hartish"/>
        <s v="Laxmi Kant Kuthiala"/>
        <s v="S Kalyan"/>
        <s v="Sanchita Guha"/>
        <s v="Rajesh Jain"/>
        <s v="Vineet Sahay"/>
        <s v="Niharika Sharma"/>
        <s v="Saji Konath"/>
        <s v="Kuresh Limdiyawala"/>
        <s v="Amitava Mukherjee"/>
        <s v="N Karwan"/>
        <s v="Dharmesh Chotai"/>
        <s v="Abhishek Saxena"/>
        <s v="R Babin"/>
        <s v="Bhavin Shah"/>
        <s v="Somil Rajdev"/>
        <s v="T Agarwal"/>
        <s v="Deepak Sharan Sinha"/>
        <s v="Manish Pathak"/>
        <s v="Alpana Varma"/>
        <s v="Koyel Banerjee"/>
        <s v="M Ramdur"/>
        <s v="H Sandelhan"/>
        <s v="Anurag Kumar"/>
        <s v="S Karnash"/>
        <s v="K Nageen"/>
        <s v="Shaikat Sarkar"/>
        <s v="A Asha"/>
        <s v="Sadruddin Ansari"/>
        <s v="Gareth Moore"/>
        <s v="Sneihil Kohli"/>
        <s v="Rajlaxmi Rao"/>
        <s v="S Targan"/>
        <s v="Venkat Devan"/>
        <s v="Pragya Mishra"/>
        <s v="V Pakaran"/>
        <s v="Ankita Sadhwani"/>
        <s v="Sejal Barot"/>
        <s v="Rahul Nundy"/>
        <s v="Malli Krishna"/>
        <s v="Monica Milwani"/>
        <s v="Swati Patel"/>
        <s v="Nitin Sahni Nitin"/>
        <s v="Ashish Pandita"/>
        <s v="Sivaprasad Thekkile Matam"/>
        <s v="Sandeep Mehra"/>
        <s v="D Patel"/>
        <s v="Lalitha Muthukumar"/>
        <s v="Sudhir Satyanarayan"/>
        <s v="Ganika Khurana"/>
        <s v="N Banerjee"/>
        <s v="Aditya Nag"/>
        <s v="Swami Mahesh"/>
        <s v="Priyanki Saikia"/>
        <s v="Zahida Begum"/>
        <s v="Mridul Gehlot"/>
        <s v="Daljit Saluja"/>
        <s v="Shobhik Dutta"/>
        <s v="Jaideep Singh"/>
        <s v="Satyaprakash Singh Gurjar"/>
        <s v="Meetheen Mundeth Askhar"/>
        <s v="F Elach"/>
        <s v="Parimal Santra"/>
        <s v="N Garshan"/>
        <s v="Simran Laungani"/>
        <s v="Raunak Bhivpathaki"/>
        <s v="Saurabh Rai"/>
        <s v="R Marvalan"/>
        <s v="S Vanran"/>
        <s v="Rishil Shah"/>
        <s v="Mayank Kashkari"/>
        <s v="Grenville Vaz"/>
        <s v="Siddhartha Ghosh"/>
        <s v="S Mahin"/>
        <s v="Unnikrishnan Nair"/>
        <s v="Tanmoy Adhikari"/>
        <s v="Jereena Babu Vanpuzha"/>
        <s v="Anshul Sharma"/>
        <s v="Ruchi Agarwal"/>
        <s v="Farida Sultana"/>
        <s v="B Amari"/>
        <s v="Presanna Nair"/>
        <s v="Dhilip Kumar"/>
        <s v="Anupama Tripathy"/>
        <s v="S Marshel"/>
        <s v="Karan Sharma"/>
        <s v="Shahroj Ansari"/>
        <s v="Jean Bloise"/>
        <s v="J Naveen"/>
        <s v="Vaibhav Mayur"/>
        <s v="Kausik Purakayastha"/>
        <s v="Bhushan Bhushan"/>
        <s v="H Huang"/>
        <s v="Noufal Cheriyabadan"/>
        <s v="J Mears"/>
        <s v="Kiran Waghmare"/>
        <s v="Zaheer Ansari"/>
        <s v="U Falleysi"/>
        <s v="Chandan Saha"/>
        <s v="Disha Kothari"/>
        <s v="A Postma"/>
        <s v="Shashank Tomar"/>
        <s v="Rajneesh Modi"/>
        <s v="H Mead"/>
        <s v="S Darsharia"/>
        <s v="M Kamirandan"/>
        <s v="B Prashanth"/>
        <s v="M Jhamb"/>
        <s v="A Sharvun"/>
        <s v="Riya Tamang"/>
        <s v="Susant Guragain"/>
        <s v="A Gamish"/>
        <s v="V Hanush"/>
        <s v="Akshat Yagnic"/>
        <s v="Anil Agarwal"/>
        <s v="Nisha Shrivastava"/>
        <s v="Syamini Yarlagadda"/>
        <s v="S K Sabesan"/>
        <s v="Ankit Agarwal"/>
        <s v="P Halesh"/>
        <s v="Ashwani Sindhwani"/>
        <s v="M Hazalwa"/>
        <s v="R Deshpande"/>
        <s v="Harjot Munday"/>
        <s v="Shruti Sinha"/>
        <s v="S Lavikov"/>
        <s v="H Marmish"/>
        <s v="Shipra Ojha"/>
        <s v="Mahamudul Haque"/>
        <s v="Jayanta Basu"/>
        <s v="Jaijit Bhattacharya"/>
        <s v="Raghu Prasad Gopal"/>
        <s v="Angshuman Chatterjee"/>
        <s v="P Gahal"/>
        <s v="V Lewis"/>
        <s v="Zainab Karim"/>
        <s v="Biswanath Pal"/>
        <s v="Chetan Sadhu"/>
        <s v="Daniel Boyd"/>
        <s v="Ajoy Chandnani"/>
        <s v="P Shasawath"/>
        <s v="S Hadanty"/>
        <s v="S Markul"/>
        <s v="Kaifee Ahmad"/>
        <s v="Amaram Madhuri"/>
        <s v="C Garlen"/>
        <s v="A Bahjit"/>
        <s v="Sachin Benjamin"/>
        <s v="Hossam Ziada"/>
        <s v="D Gedeep"/>
        <s v="Samina Khan"/>
        <s v="C Murton"/>
        <s v="Ravindra Taparia"/>
        <s v="C Rakoorna"/>
        <s v="Mary Halder"/>
        <s v="Tauqeer Alam"/>
        <s v="J Harese"/>
        <s v="Manish Agrawal"/>
        <s v="N Maya"/>
        <s v="R Hajira"/>
        <s v="Sadaf Khan"/>
        <s v="Sunil Kumar Rajanna"/>
        <s v="Debashis Roy"/>
        <s v="L Nawin"/>
        <s v="Jyoti Kumar Pathak"/>
        <s v="Bhavishya Gupta"/>
        <s v="Prateek Gupta"/>
        <s v="Anima Dey"/>
        <s v="G Shanepi"/>
        <s v="Gaurav Gupta"/>
        <s v="Padmapriya Swaminathan"/>
        <s v="G Carter"/>
        <s v="S Vadisha"/>
        <s v="Arijit Aditya"/>
        <s v="Anand Limaye"/>
        <s v="B Hartosh"/>
        <s v="K Mickalova"/>
        <s v="Dileep Kumar"/>
        <s v="Shilpa Khurana Shilpa"/>
        <s v="N Kardy"/>
        <s v="Binod Kumar"/>
        <s v="Sweta Goel"/>
        <s v="A Shetty"/>
        <s v="C Kanasant"/>
        <s v="N Karki"/>
        <s v="Deepali Bhamare"/>
        <s v="C Mahan"/>
        <s v="S Haksil"/>
        <s v="R Kapeshkar"/>
        <s v="Soham Panchamiya"/>
        <s v="Akansha Singh Gautam"/>
        <s v="Gillian Barber"/>
        <s v="Rakesh Rachwani"/>
        <s v="Ujjval Jain"/>
        <s v="Srinivasan Iyer"/>
        <s v="T C Athul"/>
        <s v="Hussain Zaidi"/>
        <s v="Sayali Shinde"/>
        <s v="Gauri Ranjan"/>
        <s v="C Parchul"/>
        <s v="Gopi Joghee"/>
        <s v="D Panal"/>
        <s v="Naman Pratyush"/>
        <s v="V Avineni"/>
        <s v="Shiraj Ali Khan"/>
        <s v="P Ahmed"/>
        <s v="Mohsin Khan"/>
        <s v="M Shah"/>
        <s v="Pallavi Sethia"/>
        <s v="P Nasseyn"/>
        <s v="R Jaju"/>
        <s v="E Lamaka"/>
        <s v="Alok Agarwaol"/>
        <s v="Arul Poulraj"/>
        <s v="M Gauresh"/>
        <s v="Shomita Mukherjee"/>
        <s v="S Parhash"/>
        <s v="Faraan Memon"/>
        <s v="Nitin Patil"/>
        <s v="Ruchita Pathak"/>
        <s v="Nakul Sethuram"/>
        <s v="Pavarit Manchanda"/>
        <s v="S Shenoy"/>
        <s v="Malaviga Sethurajah"/>
        <s v="B Marle"/>
        <s v="S Harmati"/>
        <s v="K Lee"/>
        <s v="N Nicholls"/>
        <s v="N Palattapin"/>
        <s v="C Simona"/>
        <s v="H Gamesh"/>
        <s v="P Dalera"/>
        <s v="B Galingh"/>
        <s v="Alap Vadnerkar"/>
        <s v="Vinayak Veerakesavan"/>
        <s v="N Halmetra"/>
        <s v="T Rabana"/>
        <s v="Lata Jagwani"/>
        <s v="R Vasimargan"/>
        <s v="G Hamasvana"/>
        <s v="Z Can"/>
        <s v="S Jamani"/>
        <s v="K Maushan"/>
        <s v="Ali Eissapouran Irany"/>
        <s v="T Sarindeep"/>
        <s v="S Rani"/>
        <s v="R Martin"/>
        <s v="T Sawyer"/>
        <s v="A Ransil"/>
        <s v="P Masvihas"/>
        <s v="P Gaurasa"/>
        <s v="Aman Nurani"/>
        <s v="Gaurav Pasrija"/>
        <s v="Shoeb Ismail"/>
        <s v="Rajiv Sinha"/>
        <s v="Gopan Sivasankaran"/>
        <s v="S Vekarwal"/>
        <s v="A Sharish"/>
        <s v="Jamila Kapasi"/>
        <s v="H Kubash"/>
        <s v="Kamal Gupta"/>
        <s v="S Manehar"/>
        <s v="Roshith Kattungal"/>
        <s v="Sailaja Sarbada"/>
        <s v="L Sharma"/>
        <s v="R Sharman"/>
        <s v="Rohit Suri"/>
        <s v="Subhrajit Chakravorty"/>
        <s v="M Kaliya"/>
        <s v="Prashant Ramakrishnan"/>
        <s v="Biju Bharali"/>
        <s v="P Hanarao"/>
        <s v="T Pamava"/>
        <s v="Suneel Kumar Jillella"/>
        <s v="T Andreu"/>
        <s v="Pradipkumar Patel"/>
        <s v="Renu Sinha"/>
        <s v="Sridhar Pemasani Mohamdoss"/>
        <s v="Sabesan Ramani"/>
        <s v="C Ramhary"/>
        <s v="Balakumar Thanulingam"/>
        <s v="Bilal Aladia"/>
        <s v="Praveen Reddy"/>
        <s v="P Torven"/>
        <s v="Seana Harvey"/>
        <s v="S Buhmari"/>
        <s v="Vishal Tarolkar"/>
        <s v="C Armand"/>
        <s v="Suhas Thambi Kareparambil"/>
        <s v="N Ison"/>
        <s v="P Gamesh"/>
        <s v="S Hawati"/>
        <s v="Kamlesh Pillai"/>
        <s v="Sachin Singh"/>
        <s v="R Vincent"/>
        <s v="Vinayak Mohan"/>
        <s v="Gaurav Kulkarni"/>
        <s v="Vikas Verma"/>
        <s v="M Saju"/>
        <s v="S Hunsel"/>
        <s v="Kirti Dubey"/>
        <s v="M Hanajan"/>
        <s v="Shreyans Sheth"/>
        <s v="Rajesh Bhimani"/>
        <s v="Kunal Shah"/>
        <s v="G Kan"/>
        <s v="Belal Habib"/>
        <s v="Mike Flynn"/>
        <s v="Shama Joseph"/>
        <s v="J Cerny"/>
        <s v="R Keytir"/>
        <s v="Gupta Abhimanyu"/>
        <s v="Nirali Patel"/>
        <s v="Payal Patel"/>
        <s v="Diya Puthur"/>
        <s v="A Kadyta"/>
        <s v="Gunter Neeb"/>
        <s v="Maria Romel"/>
        <s v="Ibrahim Mohammed"/>
        <s v="Jitendra Nath Kapoor"/>
        <s v="Utkarsh Bundele"/>
        <s v="HM Joshi"/>
        <s v="A Taldul"/>
        <s v="Kiran Subedi"/>
        <s v="M Walsh"/>
        <s v="H Saunders"/>
        <s v="Scott Francis"/>
        <s v="Kanwaljit Singh"/>
        <s v="Nisha Jain"/>
        <s v="Akshat Pande"/>
        <s v="Rajan Parrikar"/>
        <s v="Najeem Puthuval"/>
        <s v="T Hallej"/>
        <s v="R Neesen"/>
        <s v="Read Emmanuel"/>
        <s v="Soumil Gupta"/>
        <s v="V Ranganathan"/>
        <s v="M Allam"/>
        <s v="Vijayendranath D Kabadi"/>
        <s v="Swathi Ramachandran"/>
        <s v="S Harashina"/>
        <s v="Glen George"/>
        <s v="Maitri Sivaraman"/>
        <s v="Abhijit Banerjee"/>
        <s v="Anish Barot"/>
        <s v="Vishal Pritwani"/>
        <s v="Johar Maredia"/>
        <s v="Aseem Bhattarai"/>
        <s v="Lee Tovell"/>
        <s v="Rupesh Thakkar"/>
        <s v="S Marshad"/>
        <s v="W Hasara"/>
        <s v="T Rahkina"/>
        <s v="D Basariya"/>
        <s v="Carrie Lobo"/>
        <s v="J Bernard"/>
        <s v="A Rahman"/>
        <s v="Hemant Sahu"/>
        <s v="Neeta Kohli"/>
        <s v="Pooja Singh"/>
        <s v="Nakul Khandelwalji"/>
        <s v="Sohil Sharma"/>
        <s v="Rubina Jamshidi"/>
        <s v="V Madhusudana Rao"/>
        <s v="S Alabramian"/>
        <s v="Manu Anand"/>
        <s v="G Marler"/>
        <s v="Carl Pinto"/>
        <s v="A Kamath"/>
        <s v="I Thardatha"/>
        <s v="N Bajisan"/>
        <s v="Joseph Sebastian"/>
        <s v="Hem Desai"/>
        <s v="Urvi Shah"/>
        <s v="N Hardy"/>
        <s v="Amit Baboo"/>
        <s v="Namrata Malhotra"/>
        <s v="Madrid Vetticad"/>
        <s v="Kuldeep Singh"/>
        <s v="Amanpreet Chander"/>
        <s v="Kavitha Valeriparambath"/>
        <s v="N Teck"/>
        <s v="Manickam Jayamurthy"/>
        <s v="Nitin John"/>
        <s v="V Ladhani"/>
        <s v="N Savina"/>
        <s v="P Brar"/>
        <s v="Bhaswati Goswami"/>
        <s v="Vijay Vivek"/>
        <s v="Davinder Nahar"/>
        <s v="Divakar Prasad"/>
        <s v="F Mazet-Mulye"/>
        <s v="Imran Kanth"/>
        <s v="Yashika Sahdev"/>
        <s v="Umesh Vijrani"/>
        <s v="Harpz Singh"/>
        <s v="N Mardala"/>
        <s v="Subbu Dharna"/>
        <s v="Naitik JIndal"/>
        <s v="Natarajan Sen"/>
        <s v="S Kavyaa"/>
        <s v="Rishita Mehta"/>
        <s v="S Fernandes"/>
        <s v="L Hardani"/>
        <s v="P Varwan"/>
        <s v="A Banesh"/>
        <s v="Sahil Singla"/>
        <s v="S Karsham"/>
        <s v="Pravin Thomas"/>
        <s v="Alen Roy"/>
        <s v="Naiya Rana"/>
        <s v="H Barten"/>
        <s v="Jonathan Rivas"/>
        <s v="S Pardelo"/>
        <s v="Dhondi Pradeep"/>
        <s v="J Tovey"/>
        <s v="Kalyani Sakalkale"/>
        <s v="Amreen Khan"/>
        <s v="B Chardour"/>
        <s v="H Madyesh"/>
        <s v="Adnan Maulvi"/>
        <s v="Anup Nair"/>
        <s v="S Darshema"/>
        <s v="M Thane"/>
        <s v="S Pradhan"/>
        <s v="S Srijeeta"/>
        <s v="X Parnier"/>
        <s v="P Lahdun"/>
        <s v="S Kanjun"/>
        <s v="S Rayan"/>
        <s v="S Harmul"/>
        <s v="Laxmi Mrig"/>
        <s v="T Kavenagar"/>
        <s v="Mohammad Sahil"/>
        <s v="S Kawana"/>
        <s v="Dinesh Jhunjhnuwala"/>
        <s v="D Badey"/>
        <s v="D Kuney"/>
        <s v="Rishad Patel"/>
        <s v="Ankit Kumar Pandey"/>
        <s v="Ishan Pai"/>
        <s v="Manidipa De"/>
        <s v="S Ubaid"/>
        <s v="Saif Ali"/>
        <s v="Anna Whyte"/>
        <s v="Harish Raheja"/>
        <s v="C Banil"/>
        <s v="Fathima Samah"/>
        <s v="Rajeev Sud"/>
        <s v="R Rani"/>
        <s v="Sarah Moore"/>
        <s v="A Madilya"/>
        <s v="Priyanka Ghosh"/>
        <s v="C Haloudry"/>
        <s v="Sumesh Dudani"/>
        <s v="T Ashyer"/>
        <s v="Monish Mathur"/>
        <s v="Gaurav Dhaka"/>
        <s v="H Rajesh"/>
        <s v="Aakanksha Munjhal"/>
        <s v="S Anand"/>
        <s v="Gordana Medunic"/>
        <s v="Mridula Dua"/>
        <s v="Jerril John"/>
        <s v="G Firth"/>
        <s v="T Thomson"/>
        <s v="Vaibhav Shete"/>
        <s v="C Haltin"/>
        <s v="Shilpi Sharan"/>
        <s v="Sharma Umessh Kumar"/>
        <s v="Souvik Das"/>
        <s v="Usha Ganisetti"/>
        <s v="Sandi Kunda"/>
        <s v="Kailash Kumar"/>
        <s v="Vipin Jain"/>
        <s v="Shubham Mantri"/>
        <s v="Nitin Bajaj"/>
        <s v="Karan Gupta"/>
        <s v="Chandar Venkatesh Nandi"/>
        <s v="Siddhartha Das"/>
        <s v="B Victor"/>
        <s v="S Vickers"/>
        <s v="Kevin Barrance"/>
        <s v="T Gantog"/>
        <s v="Shivam Negi"/>
        <s v="Savi Mull"/>
        <s v="D Amir"/>
        <s v="Chandra Dubey"/>
        <s v="Anitha Sathya"/>
        <s v="Avinash Sadarangani"/>
        <s v="A Bandey"/>
        <s v="D Chopra"/>
        <s v="Yamshi Sagir"/>
        <s v="D Kubin"/>
        <s v="D Bunay"/>
        <s v="M Theeran"/>
        <s v="Ravin Ramachandran Nair"/>
        <s v="Nandita Ahuja"/>
        <s v="G Vakesh"/>
        <s v="D Hoover"/>
        <s v="P Dayal"/>
        <s v="Vikaas Kalantri"/>
        <s v="Rudra Bhattacharya"/>
        <s v="Atharva Agashe"/>
        <s v="Abhishek Ghamande"/>
        <s v="Samarendra Patra"/>
      </sharedItems>
    </cacheField>
    <cacheField name="Date" numFmtId="164">
      <sharedItems/>
    </cacheField>
    <cacheField name="Date2" numFmtId="0">
      <sharedItems/>
    </cacheField>
    <cacheField name="Month" numFmtId="0">
      <sharedItems count="12">
        <s v="October"/>
        <s v="April"/>
        <s v="September"/>
        <s v="June"/>
        <s v="December"/>
        <s v="February"/>
        <s v="November"/>
        <s v="May"/>
        <s v="August"/>
        <s v="July"/>
        <s v="March"/>
        <s v="January"/>
      </sharedItems>
    </cacheField>
    <cacheField name="Year" numFmtId="0">
      <sharedItems count="12">
        <s v="2023"/>
        <s v="2022"/>
        <s v="2021"/>
        <s v="2020"/>
        <s v="2019"/>
        <s v="2018"/>
        <s v="2017"/>
        <s v="2024"/>
        <s v="2014"/>
        <s v="2016"/>
        <s v="2015"/>
        <s v="2013"/>
      </sharedItems>
    </cacheField>
    <cacheField name="Recommond" numFmtId="0">
      <sharedItems count="2">
        <s v="yes"/>
        <s v="no"/>
      </sharedItems>
    </cacheField>
  </cacheFields>
  <extLst>
    <ext xmlns:x14="http://schemas.microsoft.com/office/spreadsheetml/2009/9/main" uri="{725AE2AE-9491-48be-B2B4-4EB974FC3084}">
      <x14:pivotCacheDefinition pivotCacheId="1003128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0">
  <r>
    <s v="AirAsia India"/>
    <n v="6"/>
    <x v="0"/>
    <s v="&quot;crew were welcoming&quot;"/>
    <x v="0"/>
    <x v="0"/>
    <s v="14th"/>
    <x v="0"/>
    <x v="0"/>
    <x v="0"/>
  </r>
  <r>
    <s v="AirAsia India"/>
    <n v="1"/>
    <x v="1"/>
    <s v="&quot;furious and disappointed&quot;"/>
    <x v="1"/>
    <x v="0"/>
    <s v="14th"/>
    <x v="0"/>
    <x v="0"/>
    <x v="1"/>
  </r>
  <r>
    <s v="AirAsia India"/>
    <n v="10"/>
    <x v="2"/>
    <s v="&quot;amazing service and support&quot;"/>
    <x v="2"/>
    <x v="0"/>
    <s v="14th"/>
    <x v="0"/>
    <x v="0"/>
    <x v="0"/>
  </r>
  <r>
    <s v="AirAsia India"/>
    <n v="1"/>
    <x v="1"/>
    <s v="&quot;Waste of time and money&quot;"/>
    <x v="3"/>
    <x v="0"/>
    <s v="14th"/>
    <x v="0"/>
    <x v="0"/>
    <x v="1"/>
  </r>
  <r>
    <s v="AirAsia India"/>
    <n v="8"/>
    <x v="2"/>
    <s v="&quot;thumbs up to boarding crew&quot;"/>
    <x v="4"/>
    <x v="0"/>
    <s v="14th"/>
    <x v="0"/>
    <x v="0"/>
    <x v="0"/>
  </r>
  <r>
    <s v="AirAsia India"/>
    <n v="9"/>
    <x v="2"/>
    <s v="&quot;Services were good&quot;"/>
    <x v="5"/>
    <x v="0"/>
    <s v="14th"/>
    <x v="0"/>
    <x v="0"/>
    <x v="0"/>
  </r>
  <r>
    <s v="AirAsia India"/>
    <n v="10"/>
    <x v="2"/>
    <s v="&quot;thank entire staff of Air Asia&quot;"/>
    <x v="6"/>
    <x v="0"/>
    <s v="14th"/>
    <x v="0"/>
    <x v="0"/>
    <x v="0"/>
  </r>
  <r>
    <s v="AirAsia India"/>
    <n v="10"/>
    <x v="2"/>
    <s v="&quot;impressed with her fluency&quot;"/>
    <x v="7"/>
    <x v="0"/>
    <s v="14th"/>
    <x v="0"/>
    <x v="0"/>
    <x v="0"/>
  </r>
  <r>
    <s v="AirAsia India"/>
    <n v="1"/>
    <x v="1"/>
    <s v="&quot;completely unacceptable behaviour&quot;"/>
    <x v="8"/>
    <x v="0"/>
    <s v="14th"/>
    <x v="0"/>
    <x v="0"/>
    <x v="1"/>
  </r>
  <r>
    <s v="AirAsia India"/>
    <n v="8"/>
    <x v="2"/>
    <s v="&quot;hospitality and customer delight&quot;"/>
    <x v="9"/>
    <x v="0"/>
    <s v="14th"/>
    <x v="0"/>
    <x v="0"/>
    <x v="0"/>
  </r>
  <r>
    <s v="AirAsia India"/>
    <n v="10"/>
    <x v="2"/>
    <s v="&quot;customer service was excellent&quot;"/>
    <x v="10"/>
    <x v="1"/>
    <s v="7th"/>
    <x v="1"/>
    <x v="0"/>
    <x v="0"/>
  </r>
  <r>
    <s v="AirAsia India"/>
    <n v="10"/>
    <x v="2"/>
    <s v="&quot;exceptionally great service&quot;"/>
    <x v="11"/>
    <x v="1"/>
    <s v="7th"/>
    <x v="1"/>
    <x v="0"/>
    <x v="0"/>
  </r>
  <r>
    <s v="AirAsia India"/>
    <n v="6"/>
    <x v="0"/>
    <s v="&quot;Overall not a bad experience&quot;"/>
    <x v="12"/>
    <x v="1"/>
    <s v="7th"/>
    <x v="1"/>
    <x v="0"/>
    <x v="0"/>
  </r>
  <r>
    <s v="AirAsia India"/>
    <n v="6"/>
    <x v="0"/>
    <s v="&quot;most congested seating&quot;"/>
    <x v="12"/>
    <x v="1"/>
    <s v="7th"/>
    <x v="1"/>
    <x v="0"/>
    <x v="1"/>
  </r>
  <r>
    <s v="AirAsia India"/>
    <n v="6"/>
    <x v="0"/>
    <s v="&quot;most congested seating configuration I found in India&quot;"/>
    <x v="12"/>
    <x v="1"/>
    <s v="7th"/>
    <x v="1"/>
    <x v="0"/>
    <x v="1"/>
  </r>
  <r>
    <s v="AirAsia India"/>
    <n v="1"/>
    <x v="1"/>
    <s v="&quot;the staff was not cooperative&quot;"/>
    <x v="13"/>
    <x v="1"/>
    <s v="7th"/>
    <x v="1"/>
    <x v="0"/>
    <x v="1"/>
  </r>
  <r>
    <s v="AirAsia India"/>
    <n v="1"/>
    <x v="1"/>
    <s v="&quot;Worst customer service&quot;"/>
    <x v="14"/>
    <x v="1"/>
    <s v="7th"/>
    <x v="1"/>
    <x v="0"/>
    <x v="1"/>
  </r>
  <r>
    <s v="AirAsia India"/>
    <n v="1"/>
    <x v="1"/>
    <s v="&quot;had worst experience ever&quot;"/>
    <x v="15"/>
    <x v="1"/>
    <s v="7th"/>
    <x v="1"/>
    <x v="0"/>
    <x v="1"/>
  </r>
  <r>
    <s v="AirAsia India"/>
    <n v="1"/>
    <x v="1"/>
    <s v="&quot;none of them had received calls&quot;"/>
    <x v="16"/>
    <x v="1"/>
    <s v="7th"/>
    <x v="1"/>
    <x v="0"/>
    <x v="1"/>
  </r>
  <r>
    <s v="AirAsia India"/>
    <n v="10"/>
    <x v="2"/>
    <s v="&quot;Thanks to his generous behaviour&quot;"/>
    <x v="17"/>
    <x v="1"/>
    <s v="7th"/>
    <x v="1"/>
    <x v="0"/>
    <x v="0"/>
  </r>
  <r>
    <s v="AirAsia India"/>
    <n v="7"/>
    <x v="0"/>
    <s v="&quot;staff was good&quot;"/>
    <x v="18"/>
    <x v="2"/>
    <s v="29th"/>
    <x v="2"/>
    <x v="1"/>
    <x v="0"/>
  </r>
  <r>
    <s v="AirAsia India"/>
    <n v="10"/>
    <x v="2"/>
    <s v="&quot;It was a great experience&quot;"/>
    <x v="19"/>
    <x v="2"/>
    <s v="29th"/>
    <x v="2"/>
    <x v="1"/>
    <x v="0"/>
  </r>
  <r>
    <s v="AirAsia India"/>
    <n v="1"/>
    <x v="1"/>
    <s v="&quot;Terrible experience with check in&quot;"/>
    <x v="20"/>
    <x v="2"/>
    <s v="29th"/>
    <x v="2"/>
    <x v="1"/>
    <x v="1"/>
  </r>
  <r>
    <s v="AirAsia India"/>
    <n v="10"/>
    <x v="2"/>
    <s v="&quot;Awesome polite cabin crew&quot;"/>
    <x v="21"/>
    <x v="2"/>
    <s v="29th"/>
    <x v="2"/>
    <x v="1"/>
    <x v="0"/>
  </r>
  <r>
    <s v="AirAsia India"/>
    <n v="9"/>
    <x v="2"/>
    <s v="&quot;such a lovely staff&quot;"/>
    <x v="22"/>
    <x v="2"/>
    <s v="29th"/>
    <x v="2"/>
    <x v="1"/>
    <x v="0"/>
  </r>
  <r>
    <s v="AirAsia India"/>
    <n v="2"/>
    <x v="1"/>
    <s v="&quot;Boarding was delayed by 30 min&quot;"/>
    <x v="23"/>
    <x v="2"/>
    <s v="29th"/>
    <x v="2"/>
    <x v="1"/>
    <x v="1"/>
  </r>
  <r>
    <s v="AirAsia India"/>
    <n v="8"/>
    <x v="2"/>
    <s v="&quot;Overall a good flight&quot;"/>
    <x v="24"/>
    <x v="2"/>
    <s v="29th"/>
    <x v="2"/>
    <x v="1"/>
    <x v="0"/>
  </r>
  <r>
    <s v="AirAsia India"/>
    <n v="1"/>
    <x v="1"/>
    <s v="&quot;my experience was not pleasant&quot;"/>
    <x v="25"/>
    <x v="2"/>
    <s v="29th"/>
    <x v="2"/>
    <x v="1"/>
    <x v="1"/>
  </r>
  <r>
    <s v="AirAsia India"/>
    <n v="9"/>
    <x v="2"/>
    <s v="&quot;thankful to them&quot;"/>
    <x v="26"/>
    <x v="2"/>
    <s v="29th"/>
    <x v="2"/>
    <x v="1"/>
    <x v="0"/>
  </r>
  <r>
    <s v="AirAsia India"/>
    <n v="10"/>
    <x v="2"/>
    <s v="&quot;allow normal size sports equipment&quot;"/>
    <x v="27"/>
    <x v="2"/>
    <s v="29th"/>
    <x v="2"/>
    <x v="1"/>
    <x v="0"/>
  </r>
  <r>
    <s v="AirAsia India"/>
    <n v="1"/>
    <x v="1"/>
    <s v="&quot;Will never choose it again&quot;"/>
    <x v="28"/>
    <x v="3"/>
    <s v="26th"/>
    <x v="3"/>
    <x v="1"/>
    <x v="1"/>
  </r>
  <r>
    <s v="AirAsia India"/>
    <n v="1"/>
    <x v="1"/>
    <s v="&quot;we will not travel with you any more&quot;"/>
    <x v="29"/>
    <x v="3"/>
    <s v="26th"/>
    <x v="3"/>
    <x v="1"/>
    <x v="1"/>
  </r>
  <r>
    <s v="AirAsia India"/>
    <n v="1"/>
    <x v="1"/>
    <s v="&quot;very serious concern about baggage&quot;"/>
    <x v="30"/>
    <x v="3"/>
    <s v="26th"/>
    <x v="3"/>
    <x v="1"/>
    <x v="1"/>
  </r>
  <r>
    <s v="AirAsia India"/>
    <n v="1"/>
    <x v="1"/>
    <s v="&quot;for the first time and now I really regret my decision&quot;"/>
    <x v="31"/>
    <x v="3"/>
    <s v="26th"/>
    <x v="3"/>
    <x v="1"/>
    <x v="1"/>
  </r>
  <r>
    <s v="AirAsia India"/>
    <n v="1"/>
    <x v="1"/>
    <s v="&quot;Very disappointed with AirAsia India&quot;"/>
    <x v="32"/>
    <x v="3"/>
    <s v="26th"/>
    <x v="3"/>
    <x v="1"/>
    <x v="1"/>
  </r>
  <r>
    <s v="AirAsia India"/>
    <n v="1"/>
    <x v="1"/>
    <s v="!&quot;I am done with AirAsia India&quot;"/>
    <x v="33"/>
    <x v="3"/>
    <s v="26th"/>
    <x v="3"/>
    <x v="1"/>
    <x v="1"/>
  </r>
  <r>
    <s v="AirAsia India"/>
    <n v="9"/>
    <x v="2"/>
    <s v="&quot;The crew were friendly and welcoming&quot;"/>
    <x v="34"/>
    <x v="3"/>
    <s v="26th"/>
    <x v="3"/>
    <x v="1"/>
    <x v="0"/>
  </r>
  <r>
    <s v="AirAsia India"/>
    <n v="1"/>
    <x v="1"/>
    <s v="&quot;This has been a terrible experience&quot;"/>
    <x v="35"/>
    <x v="3"/>
    <s v="26th"/>
    <x v="3"/>
    <x v="1"/>
    <x v="1"/>
  </r>
  <r>
    <s v="AirAsia India"/>
    <n v="9"/>
    <x v="2"/>
    <s v="&quot;a very nice and unexpected touch&quot;"/>
    <x v="36"/>
    <x v="3"/>
    <s v="26th"/>
    <x v="3"/>
    <x v="1"/>
    <x v="0"/>
  </r>
  <r>
    <s v="AirAsia India"/>
    <n v="1"/>
    <x v="1"/>
    <s v="&quot;service offered were horrible&quot;"/>
    <x v="37"/>
    <x v="3"/>
    <s v="26th"/>
    <x v="3"/>
    <x v="1"/>
    <x v="1"/>
  </r>
  <r>
    <s v="AirAsia India"/>
    <n v="1"/>
    <x v="1"/>
    <s v="&quot;the worst airline you can board&quot;"/>
    <x v="38"/>
    <x v="4"/>
    <s v="11th"/>
    <x v="4"/>
    <x v="2"/>
    <x v="1"/>
  </r>
  <r>
    <s v="AirAsia India"/>
    <n v="1"/>
    <x v="1"/>
    <s v="&quot;charge you for every ounce of luggage&quot;"/>
    <x v="39"/>
    <x v="4"/>
    <s v="11th"/>
    <x v="4"/>
    <x v="2"/>
    <x v="1"/>
  </r>
  <r>
    <s v="AirAsia India"/>
    <n v="1"/>
    <x v="1"/>
    <s v="&quot;the refund amount is low&quot;"/>
    <x v="40"/>
    <x v="4"/>
    <s v="11th"/>
    <x v="4"/>
    <x v="2"/>
    <x v="1"/>
  </r>
  <r>
    <s v="AirAsia India"/>
    <n v="1"/>
    <x v="1"/>
    <s v="&quot;never recommend AirAsia India&quot;"/>
    <x v="41"/>
    <x v="4"/>
    <s v="11th"/>
    <x v="4"/>
    <x v="2"/>
    <x v="1"/>
  </r>
  <r>
    <s v="AirAsia India"/>
    <n v="8"/>
    <x v="2"/>
    <s v="&quot;seat pitch is something that needs to be kept in mind&quot;"/>
    <x v="42"/>
    <x v="4"/>
    <s v="11th"/>
    <x v="4"/>
    <x v="2"/>
    <x v="0"/>
  </r>
  <r>
    <s v="AirAsia India"/>
    <n v="1"/>
    <x v="1"/>
    <s v="&quot;wait in Pune airport for 7 hrs&quot;"/>
    <x v="43"/>
    <x v="4"/>
    <s v="11th"/>
    <x v="4"/>
    <x v="2"/>
    <x v="1"/>
  </r>
  <r>
    <s v="AirAsia India"/>
    <n v="8"/>
    <x v="2"/>
    <s v="&quot;overall flight went well&quot;"/>
    <x v="44"/>
    <x v="4"/>
    <s v="11th"/>
    <x v="4"/>
    <x v="2"/>
    <x v="0"/>
  </r>
  <r>
    <s v="AirAsia India"/>
    <n v="1"/>
    <x v="1"/>
    <s v="&quot;insisted on redistributing the luggage&quot;"/>
    <x v="45"/>
    <x v="4"/>
    <s v="11th"/>
    <x v="4"/>
    <x v="2"/>
    <x v="1"/>
  </r>
  <r>
    <s v="AirAsia India"/>
    <n v="1"/>
    <x v="1"/>
    <s v="&quot;received my refund after 6 weeks&quot;"/>
    <x v="46"/>
    <x v="4"/>
    <s v="11th"/>
    <x v="4"/>
    <x v="2"/>
    <x v="1"/>
  </r>
  <r>
    <s v="AirAsia India"/>
    <n v="10"/>
    <x v="2"/>
    <s v="&quot;Wonderful and attentive crew members&quot;"/>
    <x v="47"/>
    <x v="4"/>
    <s v="11th"/>
    <x v="4"/>
    <x v="2"/>
    <x v="0"/>
  </r>
  <r>
    <s v="AirAsia India"/>
    <n v="9"/>
    <x v="2"/>
    <s v="&quot;share the pleasant experience I had&quot;"/>
    <x v="48"/>
    <x v="5"/>
    <s v="26th"/>
    <x v="5"/>
    <x v="2"/>
    <x v="0"/>
  </r>
  <r>
    <s v="AirAsia India"/>
    <n v="10"/>
    <x v="2"/>
    <s v="&quot;Kudos to the entire team!&quot;"/>
    <x v="49"/>
    <x v="5"/>
    <s v="26th"/>
    <x v="5"/>
    <x v="2"/>
    <x v="0"/>
  </r>
  <r>
    <s v="AirAsia India"/>
    <n v="1"/>
    <x v="1"/>
    <s v="&quot;I cancelled the ticket&quot;"/>
    <x v="50"/>
    <x v="5"/>
    <s v="26th"/>
    <x v="5"/>
    <x v="2"/>
    <x v="1"/>
  </r>
  <r>
    <s v="AirAsia India"/>
    <n v="1"/>
    <x v="1"/>
    <s v="&quot;applied for cancellation&quot;"/>
    <x v="51"/>
    <x v="5"/>
    <s v="26th"/>
    <x v="5"/>
    <x v="2"/>
    <x v="1"/>
  </r>
  <r>
    <s v="AirAsia India"/>
    <n v="1"/>
    <x v="1"/>
    <s v="&quot;staff didnâ€™t let board&quot;"/>
    <x v="52"/>
    <x v="5"/>
    <s v="26th"/>
    <x v="5"/>
    <x v="2"/>
    <x v="1"/>
  </r>
  <r>
    <s v="AirAsia India"/>
    <n v="1"/>
    <x v="1"/>
    <s v="&quot;refund in the form of credit points &quot;"/>
    <x v="53"/>
    <x v="5"/>
    <s v="26th"/>
    <x v="5"/>
    <x v="2"/>
    <x v="1"/>
  </r>
  <r>
    <s v="AirAsia India"/>
    <n v="1"/>
    <x v="1"/>
    <s v="&quot;no telephone service outside India&quot;"/>
    <x v="54"/>
    <x v="5"/>
    <s v="26th"/>
    <x v="5"/>
    <x v="2"/>
    <x v="1"/>
  </r>
  <r>
    <s v="AirAsia India"/>
    <n v="1"/>
    <x v="1"/>
    <s v="&quot;cabin bag bigger than permitted size&quot;"/>
    <x v="55"/>
    <x v="5"/>
    <s v="26th"/>
    <x v="5"/>
    <x v="2"/>
    <x v="1"/>
  </r>
  <r>
    <s v="AirAsia India"/>
    <n v="1"/>
    <x v="1"/>
    <s v="&quot;cancellation charges will apply&quot;"/>
    <x v="56"/>
    <x v="5"/>
    <s v="26th"/>
    <x v="5"/>
    <x v="2"/>
    <x v="1"/>
  </r>
  <r>
    <s v="AirAsia India"/>
    <n v="10"/>
    <x v="2"/>
    <s v="&quot;I was pleasantly surprised&quot;"/>
    <x v="57"/>
    <x v="5"/>
    <s v="26th"/>
    <x v="5"/>
    <x v="2"/>
    <x v="0"/>
  </r>
  <r>
    <s v="AirAsia India"/>
    <n v="1"/>
    <x v="1"/>
    <s v="&quot;even changed the seat&quot;"/>
    <x v="58"/>
    <x v="6"/>
    <s v="17th"/>
    <x v="5"/>
    <x v="3"/>
    <x v="1"/>
  </r>
  <r>
    <s v="AirAsia India"/>
    <n v="9"/>
    <x v="2"/>
    <s v="&quot;the flight was quite nice&quot;"/>
    <x v="59"/>
    <x v="6"/>
    <s v="17th"/>
    <x v="5"/>
    <x v="3"/>
    <x v="0"/>
  </r>
  <r>
    <s v="AirAsia India"/>
    <n v="5"/>
    <x v="0"/>
    <s v="&quot;Need to learn a lot&quot;"/>
    <x v="60"/>
    <x v="6"/>
    <s v="17th"/>
    <x v="5"/>
    <x v="3"/>
    <x v="1"/>
  </r>
  <r>
    <s v="AirAsia India"/>
    <n v="3"/>
    <x v="1"/>
    <s v="&quot;Made me pay more for luggage&quot;"/>
    <x v="61"/>
    <x v="6"/>
    <s v="17th"/>
    <x v="5"/>
    <x v="3"/>
    <x v="1"/>
  </r>
  <r>
    <s v="AirAsia India"/>
    <n v="1"/>
    <x v="1"/>
    <s v="&quot;delayed for 2 hours initially&quot;"/>
    <x v="62"/>
    <x v="6"/>
    <s v="17th"/>
    <x v="5"/>
    <x v="3"/>
    <x v="1"/>
  </r>
  <r>
    <s v="AirAsia India"/>
    <n v="1"/>
    <x v="1"/>
    <s v="&quot;charge for rescheduling&quot;"/>
    <x v="63"/>
    <x v="6"/>
    <s v="17th"/>
    <x v="5"/>
    <x v="3"/>
    <x v="1"/>
  </r>
  <r>
    <s v="AirAsia India"/>
    <n v="1"/>
    <x v="1"/>
    <s v="&quot;rescheduled the flight&quot;"/>
    <x v="64"/>
    <x v="6"/>
    <s v="17th"/>
    <x v="5"/>
    <x v="3"/>
    <x v="1"/>
  </r>
  <r>
    <s v="AirAsia India"/>
    <n v="4"/>
    <x v="1"/>
    <s v="&quot;want the refund of prebooked meal&quot;"/>
    <x v="65"/>
    <x v="6"/>
    <s v="17th"/>
    <x v="5"/>
    <x v="3"/>
    <x v="1"/>
  </r>
  <r>
    <s v="AirAsia India"/>
    <n v="1"/>
    <x v="1"/>
    <s v="&quot;Rs 4000 for 2kgs extra hand luggage&quot;"/>
    <x v="66"/>
    <x v="6"/>
    <s v="17th"/>
    <x v="5"/>
    <x v="3"/>
    <x v="1"/>
  </r>
  <r>
    <s v="AirAsia India"/>
    <n v="1"/>
    <x v="1"/>
    <s v="&quot;Extremely poor services&quot;"/>
    <x v="67"/>
    <x v="6"/>
    <s v="17th"/>
    <x v="5"/>
    <x v="3"/>
    <x v="1"/>
  </r>
  <r>
    <s v="AirAsia India"/>
    <n v="1"/>
    <x v="1"/>
    <s v="&quot;Very frustrating experience&quot;"/>
    <x v="68"/>
    <x v="7"/>
    <s v="27th"/>
    <x v="0"/>
    <x v="4"/>
    <x v="1"/>
  </r>
  <r>
    <s v="AirAsia India"/>
    <n v="6"/>
    <x v="0"/>
    <s v="&quot;crew were very proactive and good&quot;"/>
    <x v="42"/>
    <x v="7"/>
    <s v="27th"/>
    <x v="0"/>
    <x v="4"/>
    <x v="0"/>
  </r>
  <r>
    <s v="AirAsia India"/>
    <n v="9"/>
    <x v="2"/>
    <s v="&quot;smooth take-off and landing&quot;"/>
    <x v="69"/>
    <x v="7"/>
    <s v="27th"/>
    <x v="0"/>
    <x v="4"/>
    <x v="0"/>
  </r>
  <r>
    <s v="AirAsia India"/>
    <n v="10"/>
    <x v="2"/>
    <s v="&quot;wonderful customer support&quot;"/>
    <x v="70"/>
    <x v="7"/>
    <s v="27th"/>
    <x v="0"/>
    <x v="4"/>
    <x v="0"/>
  </r>
  <r>
    <s v="AirAsia India"/>
    <n v="1"/>
    <x v="1"/>
    <s v="&quot;didn't offer refund&quot;"/>
    <x v="71"/>
    <x v="7"/>
    <s v="27th"/>
    <x v="0"/>
    <x v="4"/>
    <x v="1"/>
  </r>
  <r>
    <s v="AirAsia India"/>
    <n v="1"/>
    <x v="1"/>
    <s v="&quot;very bad experience&quot;"/>
    <x v="72"/>
    <x v="7"/>
    <s v="27th"/>
    <x v="0"/>
    <x v="4"/>
    <x v="1"/>
  </r>
  <r>
    <s v="AirAsia India"/>
    <n v="3"/>
    <x v="1"/>
    <s v="&quot;chaos at the airport&quot;"/>
    <x v="73"/>
    <x v="7"/>
    <s v="27th"/>
    <x v="0"/>
    <x v="4"/>
    <x v="1"/>
  </r>
  <r>
    <s v="AirAsia India"/>
    <n v="3"/>
    <x v="1"/>
    <s v="&quot;not informing the customers&quot;"/>
    <x v="74"/>
    <x v="7"/>
    <s v="27th"/>
    <x v="0"/>
    <x v="4"/>
    <x v="1"/>
  </r>
  <r>
    <s v="AirAsia India"/>
    <n v="2"/>
    <x v="1"/>
    <s v="&quot;a pretty unpleasant flight&quot;"/>
    <x v="75"/>
    <x v="7"/>
    <s v="27th"/>
    <x v="0"/>
    <x v="4"/>
    <x v="1"/>
  </r>
  <r>
    <s v="AirAsia India"/>
    <n v="1"/>
    <x v="1"/>
    <s v="&quot;couldnâ€™t find my baggage&quot;"/>
    <x v="76"/>
    <x v="7"/>
    <s v="27th"/>
    <x v="0"/>
    <x v="4"/>
    <x v="1"/>
  </r>
  <r>
    <s v="AirAsia India"/>
    <n v="1"/>
    <x v="1"/>
    <s v="&quot;virtual assistant is of no use&quot;"/>
    <x v="77"/>
    <x v="8"/>
    <s v="12th"/>
    <x v="3"/>
    <x v="4"/>
    <x v="1"/>
  </r>
  <r>
    <s v="AirAsia India"/>
    <n v="8"/>
    <x v="2"/>
    <s v="&quot;One of the best experiences &quot;"/>
    <x v="78"/>
    <x v="8"/>
    <s v="12th"/>
    <x v="3"/>
    <x v="4"/>
    <x v="0"/>
  </r>
  <r>
    <s v="AirAsia India"/>
    <n v="1"/>
    <x v="1"/>
    <s v="&quot;pay more for a couple of extra kgs&quot;"/>
    <x v="79"/>
    <x v="8"/>
    <s v="12th"/>
    <x v="3"/>
    <x v="4"/>
    <x v="1"/>
  </r>
  <r>
    <s v="AirAsia India"/>
    <n v="1"/>
    <x v="1"/>
    <s v="&quot;delayed for 4 hours&quot;"/>
    <x v="80"/>
    <x v="8"/>
    <s v="12th"/>
    <x v="3"/>
    <x v="4"/>
    <x v="1"/>
  </r>
  <r>
    <s v="AirAsia India"/>
    <n v="3"/>
    <x v="1"/>
    <s v="&quot;Clean aircraft and helpful crew&quot;"/>
    <x v="81"/>
    <x v="8"/>
    <s v="12th"/>
    <x v="3"/>
    <x v="4"/>
    <x v="1"/>
  </r>
  <r>
    <s v="AirAsia India"/>
    <n v="1"/>
    <x v="1"/>
    <s v="&quot;Gate changed 5 times&quot;"/>
    <x v="82"/>
    <x v="8"/>
    <s v="12th"/>
    <x v="3"/>
    <x v="4"/>
    <x v="1"/>
  </r>
  <r>
    <s v="AirAsia India"/>
    <n v="1"/>
    <x v="1"/>
    <s v="AirAsia India customer review"/>
    <x v="83"/>
    <x v="8"/>
    <s v="12th"/>
    <x v="3"/>
    <x v="4"/>
    <x v="1"/>
  </r>
  <r>
    <s v="AirAsia India"/>
    <n v="8"/>
    <x v="2"/>
    <s v="&quot;were all so warm and helpful&quot;"/>
    <x v="84"/>
    <x v="8"/>
    <s v="12th"/>
    <x v="3"/>
    <x v="4"/>
    <x v="0"/>
  </r>
  <r>
    <s v="AirAsia India"/>
    <n v="6"/>
    <x v="0"/>
    <s v="&quot;ground staff were well trained&quot;"/>
    <x v="85"/>
    <x v="8"/>
    <s v="12th"/>
    <x v="3"/>
    <x v="4"/>
    <x v="1"/>
  </r>
  <r>
    <s v="AirAsia India"/>
    <n v="8"/>
    <x v="2"/>
    <s v="&quot;amazing, good and polite&quot;"/>
    <x v="86"/>
    <x v="8"/>
    <s v="12th"/>
    <x v="3"/>
    <x v="4"/>
    <x v="0"/>
  </r>
  <r>
    <s v="AirAsia India"/>
    <n v="1"/>
    <x v="1"/>
    <s v="&quot;got rescheduled again&quot;"/>
    <x v="87"/>
    <x v="9"/>
    <s v="24th"/>
    <x v="6"/>
    <x v="5"/>
    <x v="1"/>
  </r>
  <r>
    <s v="AirAsia India"/>
    <n v="9"/>
    <x v="2"/>
    <s v="&quot;service was very good&quot;"/>
    <x v="88"/>
    <x v="9"/>
    <s v="24th"/>
    <x v="6"/>
    <x v="5"/>
    <x v="0"/>
  </r>
  <r>
    <s v="AirAsia India"/>
    <n v="1"/>
    <x v="1"/>
    <s v="&quot;not at all comfortable&quot;"/>
    <x v="89"/>
    <x v="9"/>
    <s v="24th"/>
    <x v="6"/>
    <x v="5"/>
    <x v="1"/>
  </r>
  <r>
    <s v="AirAsia India"/>
    <n v="2"/>
    <x v="1"/>
    <s v="&quot;low quality of service&quot;"/>
    <x v="90"/>
    <x v="9"/>
    <s v="24th"/>
    <x v="6"/>
    <x v="5"/>
    <x v="1"/>
  </r>
  <r>
    <s v="AirAsia India"/>
    <n v="1"/>
    <x v="1"/>
    <s v="&quot;I had to cancel my trip&quot;"/>
    <x v="91"/>
    <x v="9"/>
    <s v="24th"/>
    <x v="6"/>
    <x v="5"/>
    <x v="1"/>
  </r>
  <r>
    <s v="AirAsia India"/>
    <n v="1"/>
    <x v="1"/>
    <s v="&quot;Never ever go with AirAsia&quot;"/>
    <x v="92"/>
    <x v="9"/>
    <s v="24th"/>
    <x v="6"/>
    <x v="5"/>
    <x v="1"/>
  </r>
  <r>
    <s v="AirAsia India"/>
    <n v="10"/>
    <x v="2"/>
    <s v="&quot;like to applaud the staff&quot;"/>
    <x v="93"/>
    <x v="9"/>
    <s v="24th"/>
    <x v="6"/>
    <x v="5"/>
    <x v="0"/>
  </r>
  <r>
    <s v="AirAsia India"/>
    <n v="1"/>
    <x v="1"/>
    <s v="&quot;Poor seating arrangement&quot;"/>
    <x v="94"/>
    <x v="9"/>
    <s v="24th"/>
    <x v="6"/>
    <x v="5"/>
    <x v="1"/>
  </r>
  <r>
    <s v="AirAsia India"/>
    <n v="1"/>
    <x v="1"/>
    <s v="&quot;option in paid seats&quot;"/>
    <x v="95"/>
    <x v="9"/>
    <s v="24th"/>
    <x v="6"/>
    <x v="5"/>
    <x v="1"/>
  </r>
  <r>
    <s v="AirAsia India"/>
    <n v="2"/>
    <x v="1"/>
    <s v="&quot;seats at different places&quot;"/>
    <x v="96"/>
    <x v="9"/>
    <s v="24th"/>
    <x v="6"/>
    <x v="5"/>
    <x v="1"/>
  </r>
  <r>
    <s v="AirAsia India"/>
    <n v="1"/>
    <x v="1"/>
    <s v="&quot;really cheap tricks&quot;"/>
    <x v="97"/>
    <x v="10"/>
    <s v="14th"/>
    <x v="7"/>
    <x v="5"/>
    <x v="1"/>
  </r>
  <r>
    <s v="AirAsia India"/>
    <n v="1"/>
    <x v="1"/>
    <s v="&quot;staff are inefficient&quot;"/>
    <x v="98"/>
    <x v="10"/>
    <s v="14th"/>
    <x v="7"/>
    <x v="5"/>
    <x v="1"/>
  </r>
  <r>
    <s v="AirAsia India"/>
    <n v="5"/>
    <x v="0"/>
    <s v="&quot;main problem price of food and drink&quot;"/>
    <x v="99"/>
    <x v="10"/>
    <s v="14th"/>
    <x v="7"/>
    <x v="5"/>
    <x v="0"/>
  </r>
  <r>
    <s v="AirAsia India"/>
    <n v="2"/>
    <x v="1"/>
    <s v="&quot;arrival was not on time&quot;"/>
    <x v="100"/>
    <x v="10"/>
    <s v="14th"/>
    <x v="7"/>
    <x v="5"/>
    <x v="1"/>
  </r>
  <r>
    <s v="AirAsia India"/>
    <n v="5"/>
    <x v="0"/>
    <s v="&quot;Seat comfort was good&quot;"/>
    <x v="101"/>
    <x v="10"/>
    <s v="14th"/>
    <x v="7"/>
    <x v="5"/>
    <x v="0"/>
  </r>
  <r>
    <s v="AirAsia India"/>
    <n v="9"/>
    <x v="2"/>
    <s v="&quot;seat was really comfortable&quot;"/>
    <x v="102"/>
    <x v="10"/>
    <s v="14th"/>
    <x v="7"/>
    <x v="5"/>
    <x v="0"/>
  </r>
  <r>
    <s v="AirAsia India"/>
    <n v="2"/>
    <x v="1"/>
    <s v="&quot;got delayed for 2.5 hours&quot;"/>
    <x v="103"/>
    <x v="10"/>
    <s v="14th"/>
    <x v="7"/>
    <x v="5"/>
    <x v="1"/>
  </r>
  <r>
    <s v="AirAsia India"/>
    <n v="9"/>
    <x v="2"/>
    <s v="&quot;prefer AirAsia for my next trip&quot;"/>
    <x v="104"/>
    <x v="10"/>
    <s v="14th"/>
    <x v="7"/>
    <x v="5"/>
    <x v="0"/>
  </r>
  <r>
    <s v="AirAsia India"/>
    <n v="1"/>
    <x v="1"/>
    <s v="&quot;missed my International flight&quot;"/>
    <x v="105"/>
    <x v="10"/>
    <s v="14th"/>
    <x v="7"/>
    <x v="5"/>
    <x v="1"/>
  </r>
  <r>
    <s v="AirAsia India"/>
    <n v="2"/>
    <x v="1"/>
    <s v="&quot;no more check in baggage allowed&quot;"/>
    <x v="106"/>
    <x v="10"/>
    <s v="14th"/>
    <x v="7"/>
    <x v="5"/>
    <x v="1"/>
  </r>
  <r>
    <s v="AirAsia India"/>
    <n v="1"/>
    <x v="1"/>
    <s v="&quot;baggage got left behind&quot;"/>
    <x v="107"/>
    <x v="11"/>
    <s v="20th"/>
    <x v="0"/>
    <x v="6"/>
    <x v="1"/>
  </r>
  <r>
    <s v="AirAsia India"/>
    <n v="3"/>
    <x v="1"/>
    <s v="&quot;happy with the travel&quot;"/>
    <x v="108"/>
    <x v="11"/>
    <s v="20th"/>
    <x v="0"/>
    <x v="6"/>
    <x v="1"/>
  </r>
  <r>
    <s v="AirAsia India"/>
    <n v="7"/>
    <x v="0"/>
    <s v="&quot;was quite impressed&quot;"/>
    <x v="109"/>
    <x v="11"/>
    <s v="20th"/>
    <x v="0"/>
    <x v="6"/>
    <x v="0"/>
  </r>
  <r>
    <s v="AirAsia India"/>
    <n v="1"/>
    <x v="1"/>
    <s v="&quot;never to travel via Air Asia again&quot;"/>
    <x v="110"/>
    <x v="11"/>
    <s v="20th"/>
    <x v="0"/>
    <x v="6"/>
    <x v="1"/>
  </r>
  <r>
    <s v="AirAsia India"/>
    <n v="4"/>
    <x v="1"/>
    <s v="&quot;no option to pick a seat&quot;"/>
    <x v="111"/>
    <x v="11"/>
    <s v="20th"/>
    <x v="0"/>
    <x v="6"/>
    <x v="1"/>
  </r>
  <r>
    <s v="AirAsia India"/>
    <n v="1"/>
    <x v="1"/>
    <s v="&quot;paying almost nothing for the tickets&quot;"/>
    <x v="112"/>
    <x v="11"/>
    <s v="20th"/>
    <x v="0"/>
    <x v="6"/>
    <x v="1"/>
  </r>
  <r>
    <s v="AirAsia India"/>
    <n v="1"/>
    <x v="1"/>
    <s v="&quot;such a bad experience&quot;"/>
    <x v="113"/>
    <x v="11"/>
    <s v="20th"/>
    <x v="0"/>
    <x v="6"/>
    <x v="1"/>
  </r>
  <r>
    <s v="AirAsia India"/>
    <n v="5"/>
    <x v="0"/>
    <s v="&quot;demanded seat charges&quot;"/>
    <x v="114"/>
    <x v="11"/>
    <s v="20th"/>
    <x v="0"/>
    <x v="6"/>
    <x v="1"/>
  </r>
  <r>
    <s v="AirAsia India"/>
    <n v="4"/>
    <x v="1"/>
    <s v="&quot;not assisting on delays&quot;"/>
    <x v="115"/>
    <x v="11"/>
    <s v="20th"/>
    <x v="0"/>
    <x v="6"/>
    <x v="1"/>
  </r>
  <r>
    <s v="AirAsia India"/>
    <n v="7"/>
    <x v="0"/>
    <s v="&quot;reasonable low-fare airline&quot;"/>
    <x v="116"/>
    <x v="11"/>
    <s v="20th"/>
    <x v="0"/>
    <x v="6"/>
    <x v="0"/>
  </r>
  <r>
    <s v="AirIndia"/>
    <n v="8"/>
    <x v="2"/>
    <s v="â€œFor the price paid flight was pretty goodâ€"/>
    <x v="117"/>
    <x v="12"/>
    <s v="26th"/>
    <x v="2"/>
    <x v="7"/>
    <x v="0"/>
  </r>
  <r>
    <s v="AirIndia"/>
    <n v="1"/>
    <x v="1"/>
    <s v="&quot;the experience was extremely poor&quot;"/>
    <x v="118"/>
    <x v="12"/>
    <s v="26th"/>
    <x v="2"/>
    <x v="7"/>
    <x v="1"/>
  </r>
  <r>
    <s v="AirIndia"/>
    <n v="1"/>
    <x v="1"/>
    <s v="&quot;incompetence of this airline&quot;"/>
    <x v="119"/>
    <x v="12"/>
    <s v="26th"/>
    <x v="2"/>
    <x v="7"/>
    <x v="1"/>
  </r>
  <r>
    <s v="AirIndia"/>
    <n v="1"/>
    <x v="1"/>
    <s v="&quot;disappointed in Air India service&quot;"/>
    <x v="120"/>
    <x v="12"/>
    <s v="26th"/>
    <x v="2"/>
    <x v="7"/>
    <x v="1"/>
  </r>
  <r>
    <s v="AirIndia"/>
    <n v="1"/>
    <x v="1"/>
    <s v="&quot;made me buy a new ticket&quot;"/>
    <x v="121"/>
    <x v="12"/>
    <s v="26th"/>
    <x v="2"/>
    <x v="7"/>
    <x v="1"/>
  </r>
  <r>
    <s v="AirIndia"/>
    <n v="1"/>
    <x v="1"/>
    <s v="&quot;I had the worst experience&quot;"/>
    <x v="122"/>
    <x v="12"/>
    <s v="26th"/>
    <x v="2"/>
    <x v="7"/>
    <x v="1"/>
  </r>
  <r>
    <s v="AirIndia"/>
    <n v="2"/>
    <x v="1"/>
    <s v="&quot;14.5 hour flight no entertainment&quot;"/>
    <x v="123"/>
    <x v="12"/>
    <s v="26th"/>
    <x v="2"/>
    <x v="7"/>
    <x v="0"/>
  </r>
  <r>
    <s v="AirIndia"/>
    <n v="10"/>
    <x v="2"/>
    <s v="â€œWe wonâ€™t forget it!â€"/>
    <x v="124"/>
    <x v="12"/>
    <s v="26th"/>
    <x v="2"/>
    <x v="7"/>
    <x v="0"/>
  </r>
  <r>
    <s v="AirIndia"/>
    <n v="1"/>
    <x v="1"/>
    <s v="&quot;worst of my flying experience&quot;"/>
    <x v="125"/>
    <x v="12"/>
    <s v="26th"/>
    <x v="2"/>
    <x v="7"/>
    <x v="1"/>
  </r>
  <r>
    <s v="AirIndia"/>
    <n v="1"/>
    <x v="1"/>
    <s v="â€œservice is just getting worse and worseâ€"/>
    <x v="126"/>
    <x v="12"/>
    <s v="26th"/>
    <x v="2"/>
    <x v="7"/>
    <x v="1"/>
  </r>
  <r>
    <s v="AirIndia"/>
    <n v="1"/>
    <x v="1"/>
    <s v="&quot;service they provide is beyond the worst&quot;"/>
    <x v="127"/>
    <x v="13"/>
    <s v="11th"/>
    <x v="2"/>
    <x v="7"/>
    <x v="1"/>
  </r>
  <r>
    <s v="AirIndia"/>
    <n v="2"/>
    <x v="1"/>
    <s v="&quot;I have asked for compensation&quot;"/>
    <x v="128"/>
    <x v="13"/>
    <s v="11th"/>
    <x v="2"/>
    <x v="7"/>
    <x v="1"/>
  </r>
  <r>
    <s v="AirIndia"/>
    <n v="1"/>
    <x v="1"/>
    <s v="&quot;18 hour delay&quot;"/>
    <x v="129"/>
    <x v="13"/>
    <s v="11th"/>
    <x v="2"/>
    <x v="7"/>
    <x v="1"/>
  </r>
  <r>
    <s v="AirIndia"/>
    <n v="2"/>
    <x v="1"/>
    <s v="&quot;Annoying, frustrating and sad experience &quot;"/>
    <x v="130"/>
    <x v="13"/>
    <s v="11th"/>
    <x v="2"/>
    <x v="7"/>
    <x v="1"/>
  </r>
  <r>
    <s v="AirIndia"/>
    <n v="1"/>
    <x v="1"/>
    <s v="&quot;ancient angled flat seat&quot;"/>
    <x v="131"/>
    <x v="13"/>
    <s v="11th"/>
    <x v="2"/>
    <x v="7"/>
    <x v="1"/>
  </r>
  <r>
    <s v="AirIndia"/>
    <n v="2"/>
    <x v="1"/>
    <s v="&quot;equipment is super old&quot;"/>
    <x v="132"/>
    <x v="13"/>
    <s v="11th"/>
    <x v="2"/>
    <x v="7"/>
    <x v="1"/>
  </r>
  <r>
    <s v="AirIndia"/>
    <n v="7"/>
    <x v="0"/>
    <s v="&quot;crew were quite nice and friendly&quot;"/>
    <x v="133"/>
    <x v="13"/>
    <s v="11th"/>
    <x v="2"/>
    <x v="7"/>
    <x v="0"/>
  </r>
  <r>
    <s v="AirIndia"/>
    <n v="2"/>
    <x v="1"/>
    <s v="&quot;seats wont recline and handles broken&quot;"/>
    <x v="134"/>
    <x v="13"/>
    <s v="11th"/>
    <x v="2"/>
    <x v="7"/>
    <x v="1"/>
  </r>
  <r>
    <s v="AirIndia"/>
    <n v="1"/>
    <x v="1"/>
    <s v="&quot;customer care is -1&quot;"/>
    <x v="135"/>
    <x v="13"/>
    <s v="11th"/>
    <x v="2"/>
    <x v="7"/>
    <x v="1"/>
  </r>
  <r>
    <s v="AirIndia"/>
    <n v="1"/>
    <x v="1"/>
    <s v="&quot;embarrassing and unacceptable&quot;"/>
    <x v="136"/>
    <x v="13"/>
    <s v="11th"/>
    <x v="2"/>
    <x v="7"/>
    <x v="1"/>
  </r>
  <r>
    <s v="AirIndia"/>
    <n v="5"/>
    <x v="0"/>
    <s v="&quot;Air India still has lot of work to do&quot;"/>
    <x v="137"/>
    <x v="14"/>
    <s v="27th"/>
    <x v="8"/>
    <x v="7"/>
    <x v="1"/>
  </r>
  <r>
    <s v="AirIndia"/>
    <n v="1"/>
    <x v="1"/>
    <s v="&quot;Worst airline available&quot;"/>
    <x v="138"/>
    <x v="14"/>
    <s v="27th"/>
    <x v="8"/>
    <x v="7"/>
    <x v="1"/>
  </r>
  <r>
    <s v="AirIndia"/>
    <n v="1"/>
    <x v="1"/>
    <s v="&quot;the worst experience&quot;"/>
    <x v="139"/>
    <x v="14"/>
    <s v="27th"/>
    <x v="8"/>
    <x v="7"/>
    <x v="1"/>
  </r>
  <r>
    <s v="AirIndia"/>
    <n v="1"/>
    <x v="1"/>
    <s v="&quot;it was a horrible experience&quot;"/>
    <x v="140"/>
    <x v="14"/>
    <s v="27th"/>
    <x v="8"/>
    <x v="7"/>
    <x v="1"/>
  </r>
  <r>
    <s v="AirIndia"/>
    <n v="1"/>
    <x v="1"/>
    <s v="&quot;bags were delayed by 2+ weeks&quot;"/>
    <x v="141"/>
    <x v="14"/>
    <s v="27th"/>
    <x v="8"/>
    <x v="7"/>
    <x v="1"/>
  </r>
  <r>
    <s v="AirIndia"/>
    <n v="1"/>
    <x v="1"/>
    <s v="&quot;No concern for consumers&quot;"/>
    <x v="142"/>
    <x v="14"/>
    <s v="27th"/>
    <x v="8"/>
    <x v="7"/>
    <x v="1"/>
  </r>
  <r>
    <s v="AirIndia"/>
    <n v="1"/>
    <x v="1"/>
    <s v="&quot;12hour flight without a working screen&quot;"/>
    <x v="143"/>
    <x v="14"/>
    <s v="27th"/>
    <x v="8"/>
    <x v="7"/>
    <x v="1"/>
  </r>
  <r>
    <s v="AirIndia"/>
    <n v="2"/>
    <x v="1"/>
    <s v="&quot;Get your act together&quot;"/>
    <x v="144"/>
    <x v="14"/>
    <s v="27th"/>
    <x v="8"/>
    <x v="7"/>
    <x v="1"/>
  </r>
  <r>
    <s v="AirIndia"/>
    <n v="1"/>
    <x v="1"/>
    <s v="&quot;Avoid flying Air India&quot;"/>
    <x v="145"/>
    <x v="14"/>
    <s v="27th"/>
    <x v="8"/>
    <x v="7"/>
    <x v="1"/>
  </r>
  <r>
    <s v="AirIndia"/>
    <n v="1"/>
    <x v="1"/>
    <s v="&quot;didn't bother refunding my money&quot;"/>
    <x v="146"/>
    <x v="14"/>
    <s v="27th"/>
    <x v="8"/>
    <x v="7"/>
    <x v="1"/>
  </r>
  <r>
    <s v="AirIndia"/>
    <n v="1"/>
    <x v="1"/>
    <s v="&quot;Air India do not care&quot;"/>
    <x v="147"/>
    <x v="15"/>
    <s v="19th"/>
    <x v="9"/>
    <x v="7"/>
    <x v="1"/>
  </r>
  <r>
    <s v="AirIndia"/>
    <n v="2"/>
    <x v="1"/>
    <s v="&quot;no proper information to the travellers&quot;"/>
    <x v="148"/>
    <x v="15"/>
    <s v="19th"/>
    <x v="9"/>
    <x v="7"/>
    <x v="1"/>
  </r>
  <r>
    <s v="AirIndia"/>
    <n v="1"/>
    <x v="1"/>
    <s v="&quot;give you the torture treatment&quot;"/>
    <x v="149"/>
    <x v="15"/>
    <s v="19th"/>
    <x v="9"/>
    <x v="7"/>
    <x v="1"/>
  </r>
  <r>
    <s v="AirIndia"/>
    <n v="1"/>
    <x v="1"/>
    <s v="&quot; I was really disappointed&quot;"/>
    <x v="150"/>
    <x v="15"/>
    <s v="19th"/>
    <x v="9"/>
    <x v="7"/>
    <x v="1"/>
  </r>
  <r>
    <s v="AirIndia"/>
    <n v="1"/>
    <x v="1"/>
    <s v="&quot;never fly Air India again&quot;"/>
    <x v="151"/>
    <x v="15"/>
    <s v="19th"/>
    <x v="9"/>
    <x v="7"/>
    <x v="1"/>
  </r>
  <r>
    <s v="AirIndia"/>
    <n v="1"/>
    <x v="1"/>
    <s v="&quot;beyond useless and unhelpful&quot;"/>
    <x v="152"/>
    <x v="15"/>
    <s v="19th"/>
    <x v="9"/>
    <x v="7"/>
    <x v="1"/>
  </r>
  <r>
    <s v="AirIndia"/>
    <n v="1"/>
    <x v="1"/>
    <s v="&quot;charged me for the weight of my duty-free&quot;"/>
    <x v="153"/>
    <x v="15"/>
    <s v="19th"/>
    <x v="9"/>
    <x v="7"/>
    <x v="1"/>
  </r>
  <r>
    <s v="AirIndia"/>
    <n v="1"/>
    <x v="1"/>
    <s v="â€œNo value for moneyâ€"/>
    <x v="154"/>
    <x v="15"/>
    <s v="19th"/>
    <x v="9"/>
    <x v="7"/>
    <x v="1"/>
  </r>
  <r>
    <s v="AirIndia"/>
    <n v="5"/>
    <x v="0"/>
    <s v="â€œFood was great as alwaysâ€"/>
    <x v="155"/>
    <x v="15"/>
    <s v="19th"/>
    <x v="9"/>
    <x v="7"/>
    <x v="0"/>
  </r>
  <r>
    <s v="AirIndia"/>
    <n v="1"/>
    <x v="1"/>
    <s v="&quot;Very unhappy with the service&quot;"/>
    <x v="156"/>
    <x v="15"/>
    <s v="19th"/>
    <x v="9"/>
    <x v="7"/>
    <x v="1"/>
  </r>
  <r>
    <s v="AirIndia"/>
    <n v="1"/>
    <x v="1"/>
    <s v="&quot;express my deep disappointment&quot;"/>
    <x v="157"/>
    <x v="16"/>
    <s v="19th"/>
    <x v="3"/>
    <x v="7"/>
    <x v="1"/>
  </r>
  <r>
    <s v="AirIndia"/>
    <n v="9"/>
    <x v="2"/>
    <s v="â€œstaff was polite and helpfulâ€"/>
    <x v="158"/>
    <x v="16"/>
    <s v="19th"/>
    <x v="3"/>
    <x v="7"/>
    <x v="0"/>
  </r>
  <r>
    <s v="AirIndia"/>
    <n v="2"/>
    <x v="1"/>
    <s v="&quot;boarding experience was tiring&quot;"/>
    <x v="159"/>
    <x v="16"/>
    <s v="19th"/>
    <x v="3"/>
    <x v="7"/>
    <x v="1"/>
  </r>
  <r>
    <s v="AirIndia"/>
    <n v="1"/>
    <x v="1"/>
    <s v="&quot;Totally messed up airline&quot;"/>
    <x v="160"/>
    <x v="16"/>
    <s v="19th"/>
    <x v="3"/>
    <x v="7"/>
    <x v="1"/>
  </r>
  <r>
    <s v="AirIndia"/>
    <n v="4"/>
    <x v="1"/>
    <s v="&quot;16 hour flight without entertainment&quot;"/>
    <x v="161"/>
    <x v="16"/>
    <s v="19th"/>
    <x v="3"/>
    <x v="7"/>
    <x v="1"/>
  </r>
  <r>
    <s v="AirIndia"/>
    <n v="1"/>
    <x v="1"/>
    <s v="&quot;Horrible experience during check in&quot;"/>
    <x v="162"/>
    <x v="16"/>
    <s v="19th"/>
    <x v="3"/>
    <x v="7"/>
    <x v="1"/>
  </r>
  <r>
    <s v="AirIndia"/>
    <n v="2"/>
    <x v="1"/>
    <s v="&quot;will not recommend&quot;"/>
    <x v="163"/>
    <x v="16"/>
    <s v="19th"/>
    <x v="3"/>
    <x v="7"/>
    <x v="1"/>
  </r>
  <r>
    <s v="AirIndia"/>
    <n v="8"/>
    <x v="2"/>
    <s v="&quot;snack service was not up to par&quot;"/>
    <x v="164"/>
    <x v="16"/>
    <s v="19th"/>
    <x v="3"/>
    <x v="7"/>
    <x v="0"/>
  </r>
  <r>
    <s v="AirIndia"/>
    <n v="1"/>
    <x v="1"/>
    <s v="&quot;Every service needs deep review&quot;"/>
    <x v="165"/>
    <x v="16"/>
    <s v="19th"/>
    <x v="3"/>
    <x v="7"/>
    <x v="1"/>
  </r>
  <r>
    <s v="AirIndia"/>
    <n v="1"/>
    <x v="1"/>
    <s v="&quot;charging for carrying a laptop bag&quot;"/>
    <x v="166"/>
    <x v="16"/>
    <s v="19th"/>
    <x v="3"/>
    <x v="7"/>
    <x v="1"/>
  </r>
  <r>
    <s v="AirIndia"/>
    <n v="1"/>
    <x v="1"/>
    <s v="&quot;The worst company ever&quot;"/>
    <x v="167"/>
    <x v="17"/>
    <s v="17th"/>
    <x v="7"/>
    <x v="7"/>
    <x v="1"/>
  </r>
  <r>
    <s v="AirIndia"/>
    <n v="1"/>
    <x v="1"/>
    <s v="â€œCustomer Service is the worstâ€"/>
    <x v="168"/>
    <x v="17"/>
    <s v="17th"/>
    <x v="7"/>
    <x v="7"/>
    <x v="1"/>
  </r>
  <r>
    <s v="AirIndia"/>
    <n v="1"/>
    <x v="1"/>
    <s v="&quot;please avoid Air India&quot;"/>
    <x v="169"/>
    <x v="17"/>
    <s v="17th"/>
    <x v="7"/>
    <x v="7"/>
    <x v="1"/>
  </r>
  <r>
    <s v="AirIndia"/>
    <n v="1"/>
    <x v="1"/>
    <s v="&quot;pathetic service and attitude&quot;"/>
    <x v="170"/>
    <x v="17"/>
    <s v="17th"/>
    <x v="7"/>
    <x v="7"/>
    <x v="1"/>
  </r>
  <r>
    <s v="AirIndia"/>
    <n v="1"/>
    <x v="1"/>
    <s v="â€œpoor management and bad decisionsâ€"/>
    <x v="171"/>
    <x v="17"/>
    <s v="17th"/>
    <x v="7"/>
    <x v="7"/>
    <x v="1"/>
  </r>
  <r>
    <s v="AirIndia"/>
    <n v="1"/>
    <x v="1"/>
    <s v="&quot; disaster from start to finish&quot;"/>
    <x v="172"/>
    <x v="17"/>
    <s v="17th"/>
    <x v="7"/>
    <x v="7"/>
    <x v="1"/>
  </r>
  <r>
    <s v="AirIndia"/>
    <n v="1"/>
    <x v="1"/>
    <s v="&quot;worst experience Iâ€™ve had&quot;"/>
    <x v="173"/>
    <x v="17"/>
    <s v="17th"/>
    <x v="7"/>
    <x v="7"/>
    <x v="1"/>
  </r>
  <r>
    <s v="AirIndia"/>
    <n v="1"/>
    <x v="1"/>
    <s v="&quot;3 toilets out of order&quot;"/>
    <x v="174"/>
    <x v="17"/>
    <s v="17th"/>
    <x v="7"/>
    <x v="7"/>
    <x v="1"/>
  </r>
  <r>
    <s v="AirIndia"/>
    <n v="2"/>
    <x v="1"/>
    <s v="â€œnot the customer service we expectâ€"/>
    <x v="175"/>
    <x v="17"/>
    <s v="17th"/>
    <x v="7"/>
    <x v="7"/>
    <x v="1"/>
  </r>
  <r>
    <s v="AirIndia"/>
    <n v="2"/>
    <x v="1"/>
    <s v="&quot;terrible customer service experience&quot;"/>
    <x v="176"/>
    <x v="17"/>
    <s v="17th"/>
    <x v="7"/>
    <x v="7"/>
    <x v="1"/>
  </r>
  <r>
    <s v="AirIndia"/>
    <n v="1"/>
    <x v="1"/>
    <s v="&quot;Worst Staff behaviour&quot;"/>
    <x v="177"/>
    <x v="18"/>
    <s v="29th"/>
    <x v="1"/>
    <x v="7"/>
    <x v="1"/>
  </r>
  <r>
    <s v="AirIndia"/>
    <n v="2"/>
    <x v="1"/>
    <s v="&quot;no in flight entertainment&quot;"/>
    <x v="178"/>
    <x v="18"/>
    <s v="29th"/>
    <x v="1"/>
    <x v="7"/>
    <x v="1"/>
  </r>
  <r>
    <s v="AirIndia"/>
    <n v="8"/>
    <x v="2"/>
    <s v="&quot;Overall a good flight&quot;"/>
    <x v="179"/>
    <x v="18"/>
    <s v="29th"/>
    <x v="1"/>
    <x v="7"/>
    <x v="0"/>
  </r>
  <r>
    <s v="AirIndia"/>
    <n v="7"/>
    <x v="0"/>
    <s v="Air India customer review"/>
    <x v="180"/>
    <x v="18"/>
    <s v="29th"/>
    <x v="1"/>
    <x v="7"/>
    <x v="0"/>
  </r>
  <r>
    <s v="AirIndia"/>
    <n v="1"/>
    <x v="1"/>
    <s v="â€œnothing short of a nightmareâ€"/>
    <x v="181"/>
    <x v="18"/>
    <s v="29th"/>
    <x v="1"/>
    <x v="7"/>
    <x v="1"/>
  </r>
  <r>
    <s v="AirIndia"/>
    <n v="1"/>
    <x v="1"/>
    <s v="&quot;ridiculous customer service&quot;"/>
    <x v="182"/>
    <x v="18"/>
    <s v="29th"/>
    <x v="1"/>
    <x v="7"/>
    <x v="1"/>
  </r>
  <r>
    <s v="AirIndia"/>
    <n v="1"/>
    <x v="1"/>
    <s v="&quot;No working entertainment&quot;"/>
    <x v="183"/>
    <x v="18"/>
    <s v="29th"/>
    <x v="1"/>
    <x v="7"/>
    <x v="1"/>
  </r>
  <r>
    <s v="AirIndia"/>
    <n v="7"/>
    <x v="0"/>
    <s v="&quot;a pretty routine flight&quot;"/>
    <x v="184"/>
    <x v="18"/>
    <s v="29th"/>
    <x v="1"/>
    <x v="7"/>
    <x v="0"/>
  </r>
  <r>
    <s v="AirIndia"/>
    <n v="9"/>
    <x v="2"/>
    <s v="&quot;The flight was quite nice&quot;"/>
    <x v="184"/>
    <x v="18"/>
    <s v="29th"/>
    <x v="1"/>
    <x v="7"/>
    <x v="0"/>
  </r>
  <r>
    <s v="AirIndia"/>
    <n v="3"/>
    <x v="1"/>
    <s v="&quot;seat back was in a catastrophic state&quot;"/>
    <x v="185"/>
    <x v="18"/>
    <s v="29th"/>
    <x v="1"/>
    <x v="7"/>
    <x v="1"/>
  </r>
  <r>
    <s v="AirIndia"/>
    <n v="10"/>
    <x v="2"/>
    <s v="&quot;One way my IFE was not working&quot;"/>
    <x v="186"/>
    <x v="19"/>
    <s v="11th"/>
    <x v="1"/>
    <x v="7"/>
    <x v="0"/>
  </r>
  <r>
    <s v="AirIndia"/>
    <n v="3"/>
    <x v="1"/>
    <s v="&quot;Will not fly on them again&quot;"/>
    <x v="187"/>
    <x v="19"/>
    <s v="11th"/>
    <x v="1"/>
    <x v="7"/>
    <x v="1"/>
  </r>
  <r>
    <s v="AirIndia"/>
    <n v="1"/>
    <x v="1"/>
    <s v="â€œTerrible experienceâ€"/>
    <x v="188"/>
    <x v="19"/>
    <s v="11th"/>
    <x v="1"/>
    <x v="7"/>
    <x v="1"/>
  </r>
  <r>
    <s v="AirIndia"/>
    <n v="2"/>
    <x v="1"/>
    <s v="&quot;the disgrace to the country&quot;"/>
    <x v="189"/>
    <x v="19"/>
    <s v="11th"/>
    <x v="1"/>
    <x v="7"/>
    <x v="1"/>
  </r>
  <r>
    <s v="AirIndia"/>
    <n v="3"/>
    <x v="1"/>
    <s v="&quot;not in any way attentive&quot;"/>
    <x v="190"/>
    <x v="19"/>
    <s v="11th"/>
    <x v="1"/>
    <x v="7"/>
    <x v="1"/>
  </r>
  <r>
    <s v="AirIndia"/>
    <n v="8"/>
    <x v="2"/>
    <s v="&quot;Overall had a good experience&quot;"/>
    <x v="191"/>
    <x v="19"/>
    <s v="11th"/>
    <x v="1"/>
    <x v="7"/>
    <x v="0"/>
  </r>
  <r>
    <s v="AirIndia"/>
    <n v="2"/>
    <x v="1"/>
    <s v="&quot;Entertainment was not working&quot;"/>
    <x v="192"/>
    <x v="19"/>
    <s v="11th"/>
    <x v="1"/>
    <x v="7"/>
    <x v="1"/>
  </r>
  <r>
    <s v="AirIndia"/>
    <n v="2"/>
    <x v="1"/>
    <s v="&quot;disheartening to see such discrepancies&quot;"/>
    <x v="193"/>
    <x v="19"/>
    <s v="11th"/>
    <x v="1"/>
    <x v="7"/>
    <x v="1"/>
  </r>
  <r>
    <s v="AirIndia"/>
    <n v="1"/>
    <x v="1"/>
    <s v="&quot;Worst trip in a business class ever&quot;"/>
    <x v="194"/>
    <x v="19"/>
    <s v="11th"/>
    <x v="1"/>
    <x v="7"/>
    <x v="1"/>
  </r>
  <r>
    <s v="AirIndia"/>
    <n v="1"/>
    <x v="1"/>
    <s v="&quot;Worst experience!&quot;"/>
    <x v="195"/>
    <x v="19"/>
    <s v="11th"/>
    <x v="1"/>
    <x v="7"/>
    <x v="1"/>
  </r>
  <r>
    <s v="AirIndia"/>
    <n v="1"/>
    <x v="1"/>
    <s v="&quot;change the gates any time&quot;"/>
    <x v="196"/>
    <x v="20"/>
    <s v="16th"/>
    <x v="10"/>
    <x v="7"/>
    <x v="1"/>
  </r>
  <r>
    <s v="AirIndia"/>
    <n v="1"/>
    <x v="1"/>
    <s v="&quot;unprofessional and uncooperative&quot;"/>
    <x v="197"/>
    <x v="20"/>
    <s v="16th"/>
    <x v="10"/>
    <x v="7"/>
    <x v="1"/>
  </r>
  <r>
    <s v="AirIndia"/>
    <n v="1"/>
    <x v="1"/>
    <s v="&quot;Air India lost my luggage&quot;"/>
    <x v="198"/>
    <x v="20"/>
    <s v="16th"/>
    <x v="10"/>
    <x v="7"/>
    <x v="1"/>
  </r>
  <r>
    <s v="AirIndia"/>
    <n v="8"/>
    <x v="2"/>
    <s v="&quot;Excellent leg room&quot;"/>
    <x v="199"/>
    <x v="20"/>
    <s v="16th"/>
    <x v="10"/>
    <x v="7"/>
    <x v="0"/>
  </r>
  <r>
    <s v="AirIndia"/>
    <n v="2"/>
    <x v="1"/>
    <s v="&quot;very unenjoyable flight&quot;"/>
    <x v="200"/>
    <x v="20"/>
    <s v="16th"/>
    <x v="10"/>
    <x v="7"/>
    <x v="1"/>
  </r>
  <r>
    <s v="AirIndia"/>
    <n v="8"/>
    <x v="2"/>
    <s v="&quot;No light button for reading too&quot;"/>
    <x v="200"/>
    <x v="20"/>
    <s v="16th"/>
    <x v="10"/>
    <x v="7"/>
    <x v="0"/>
  </r>
  <r>
    <s v="AirIndia"/>
    <n v="1"/>
    <x v="1"/>
    <s v="&quot;worst international flight experience&quot;"/>
    <x v="201"/>
    <x v="20"/>
    <s v="16th"/>
    <x v="10"/>
    <x v="7"/>
    <x v="1"/>
  </r>
  <r>
    <s v="AirIndia"/>
    <n v="1"/>
    <x v="1"/>
    <s v="â€œNothing was workingâ€"/>
    <x v="202"/>
    <x v="20"/>
    <s v="16th"/>
    <x v="10"/>
    <x v="7"/>
    <x v="1"/>
  </r>
  <r>
    <s v="AirIndia"/>
    <n v="1"/>
    <x v="1"/>
    <s v="&quot;a nightmare that might haunt me&quot;"/>
    <x v="203"/>
    <x v="20"/>
    <s v="16th"/>
    <x v="10"/>
    <x v="7"/>
    <x v="1"/>
  </r>
  <r>
    <s v="AirIndia"/>
    <n v="8"/>
    <x v="2"/>
    <s v="â€œgood decent serviceâ€"/>
    <x v="204"/>
    <x v="20"/>
    <s v="16th"/>
    <x v="10"/>
    <x v="7"/>
    <x v="1"/>
  </r>
  <r>
    <s v="AirIndia"/>
    <n v="1"/>
    <x v="1"/>
    <s v="&quot;very bad experience&quot;"/>
    <x v="205"/>
    <x v="21"/>
    <s v="3rd"/>
    <x v="10"/>
    <x v="7"/>
    <x v="1"/>
  </r>
  <r>
    <s v="AirIndia"/>
    <n v="1"/>
    <x v="1"/>
    <s v="â€œdidn't offer any kind of compensationâ€"/>
    <x v="206"/>
    <x v="21"/>
    <s v="3rd"/>
    <x v="10"/>
    <x v="7"/>
    <x v="1"/>
  </r>
  <r>
    <s v="AirIndia"/>
    <n v="1"/>
    <x v="1"/>
    <s v="&quot;Very disappointed&quot;"/>
    <x v="207"/>
    <x v="21"/>
    <s v="3rd"/>
    <x v="10"/>
    <x v="7"/>
    <x v="1"/>
  </r>
  <r>
    <s v="AirIndia"/>
    <n v="1"/>
    <x v="1"/>
    <s v="&quot;extremely dissatisfied with Air India&quot;"/>
    <x v="208"/>
    <x v="21"/>
    <s v="3rd"/>
    <x v="10"/>
    <x v="7"/>
    <x v="1"/>
  </r>
  <r>
    <s v="AirIndia"/>
    <n v="1"/>
    <x v="1"/>
    <s v="&quot;I asked for compensation&quot;"/>
    <x v="209"/>
    <x v="21"/>
    <s v="3rd"/>
    <x v="10"/>
    <x v="7"/>
    <x v="1"/>
  </r>
  <r>
    <s v="AirIndia"/>
    <n v="1"/>
    <x v="1"/>
    <s v="&quot;Itâ€™s a bad experience&quot;"/>
    <x v="210"/>
    <x v="21"/>
    <s v="3rd"/>
    <x v="10"/>
    <x v="7"/>
    <x v="1"/>
  </r>
  <r>
    <s v="AirIndia"/>
    <n v="9"/>
    <x v="2"/>
    <s v="&quot;Very polite cabin crew&quot;"/>
    <x v="211"/>
    <x v="21"/>
    <s v="3rd"/>
    <x v="10"/>
    <x v="7"/>
    <x v="0"/>
  </r>
  <r>
    <s v="AirIndia"/>
    <n v="1"/>
    <x v="1"/>
    <s v="&quot;horrible, dirty and old&quot;"/>
    <x v="212"/>
    <x v="21"/>
    <s v="3rd"/>
    <x v="10"/>
    <x v="7"/>
    <x v="1"/>
  </r>
  <r>
    <s v="AirIndia"/>
    <n v="1"/>
    <x v="1"/>
    <s v="&quot;Our worst flying experience&quot;"/>
    <x v="213"/>
    <x v="21"/>
    <s v="3rd"/>
    <x v="10"/>
    <x v="7"/>
    <x v="1"/>
  </r>
  <r>
    <s v="AirIndia"/>
    <n v="1"/>
    <x v="1"/>
    <s v="â€œa fabulous experienceâ€œ"/>
    <x v="214"/>
    <x v="21"/>
    <s v="3rd"/>
    <x v="10"/>
    <x v="7"/>
    <x v="0"/>
  </r>
  <r>
    <s v="AirIndia"/>
    <n v="10"/>
    <x v="2"/>
    <s v="&quot;Excellent crew, polite and professional&quot;"/>
    <x v="215"/>
    <x v="22"/>
    <s v="2nd"/>
    <x v="5"/>
    <x v="7"/>
    <x v="0"/>
  </r>
  <r>
    <s v="AirIndia"/>
    <n v="1"/>
    <x v="1"/>
    <s v="&quot;Absolutely the worst flight&quot;"/>
    <x v="216"/>
    <x v="22"/>
    <s v="2nd"/>
    <x v="5"/>
    <x v="7"/>
    <x v="1"/>
  </r>
  <r>
    <s v="AirIndia"/>
    <n v="1"/>
    <x v="1"/>
    <s v="&quot;My worst flying experience&quot;"/>
    <x v="217"/>
    <x v="22"/>
    <s v="2nd"/>
    <x v="5"/>
    <x v="7"/>
    <x v="1"/>
  </r>
  <r>
    <s v="AirIndia"/>
    <n v="1"/>
    <x v="1"/>
    <s v="&quot;A very bad experience&quot;"/>
    <x v="218"/>
    <x v="22"/>
    <s v="2nd"/>
    <x v="5"/>
    <x v="7"/>
    <x v="1"/>
  </r>
  <r>
    <s v="AirIndia"/>
    <n v="4"/>
    <x v="1"/>
    <s v="&quot;experience left much to be desired&quot;"/>
    <x v="219"/>
    <x v="22"/>
    <s v="2nd"/>
    <x v="5"/>
    <x v="7"/>
    <x v="1"/>
  </r>
  <r>
    <s v="AirIndia"/>
    <n v="10"/>
    <x v="2"/>
    <s v="â€œhad a very pleasant experienceâ€"/>
    <x v="220"/>
    <x v="22"/>
    <s v="2nd"/>
    <x v="5"/>
    <x v="7"/>
    <x v="0"/>
  </r>
  <r>
    <s v="AirIndia"/>
    <n v="1"/>
    <x v="1"/>
    <s v="&quot;Total waste of your money&quot;"/>
    <x v="221"/>
    <x v="22"/>
    <s v="2nd"/>
    <x v="5"/>
    <x v="7"/>
    <x v="1"/>
  </r>
  <r>
    <s v="AirIndia"/>
    <n v="10"/>
    <x v="2"/>
    <s v="&quot;outstanding service provided&quot;"/>
    <x v="222"/>
    <x v="22"/>
    <s v="2nd"/>
    <x v="5"/>
    <x v="7"/>
    <x v="0"/>
  </r>
  <r>
    <s v="AirIndia"/>
    <n v="2"/>
    <x v="1"/>
    <s v="&quot;the seats are falling apart&quot;"/>
    <x v="223"/>
    <x v="22"/>
    <s v="2nd"/>
    <x v="5"/>
    <x v="7"/>
    <x v="1"/>
  </r>
  <r>
    <s v="AirIndia"/>
    <n v="10"/>
    <x v="2"/>
    <s v="&quot;clean and comfortable seats&quot;"/>
    <x v="224"/>
    <x v="22"/>
    <s v="2nd"/>
    <x v="5"/>
    <x v="7"/>
    <x v="0"/>
  </r>
  <r>
    <s v="AirIndia"/>
    <n v="8"/>
    <x v="2"/>
    <s v="&quot;25kg check in Baggage&quot;"/>
    <x v="225"/>
    <x v="23"/>
    <s v="3rd"/>
    <x v="11"/>
    <x v="7"/>
    <x v="0"/>
  </r>
  <r>
    <s v="AirIndia"/>
    <n v="1"/>
    <x v="1"/>
    <s v="&quot;Avoid like a Plague&quot;"/>
    <x v="226"/>
    <x v="23"/>
    <s v="3rd"/>
    <x v="11"/>
    <x v="7"/>
    <x v="1"/>
  </r>
  <r>
    <s v="AirIndia"/>
    <n v="1"/>
    <x v="1"/>
    <s v="&quot;Both my flights were delayed&quot;"/>
    <x v="227"/>
    <x v="23"/>
    <s v="3rd"/>
    <x v="11"/>
    <x v="7"/>
    <x v="1"/>
  </r>
  <r>
    <s v="AirIndia"/>
    <n v="3"/>
    <x v="1"/>
    <s v="&quot;did not enjoy the flight&quot;"/>
    <x v="228"/>
    <x v="23"/>
    <s v="3rd"/>
    <x v="11"/>
    <x v="7"/>
    <x v="1"/>
  </r>
  <r>
    <s v="AirIndia"/>
    <n v="1"/>
    <x v="1"/>
    <s v="&quot;cancelled our flight just 2 hours prior&quot;"/>
    <x v="229"/>
    <x v="23"/>
    <s v="3rd"/>
    <x v="11"/>
    <x v="7"/>
    <x v="1"/>
  </r>
  <r>
    <s v="AirIndia"/>
    <n v="2"/>
    <x v="1"/>
    <s v="&quot;terrible airline&quot;"/>
    <x v="230"/>
    <x v="23"/>
    <s v="3rd"/>
    <x v="11"/>
    <x v="7"/>
    <x v="1"/>
  </r>
  <r>
    <s v="AirIndia"/>
    <n v="1"/>
    <x v="1"/>
    <s v="&quot;wouldn't recommend this nasty airline&quot;"/>
    <x v="231"/>
    <x v="23"/>
    <s v="3rd"/>
    <x v="11"/>
    <x v="7"/>
    <x v="1"/>
  </r>
  <r>
    <s v="AirIndia"/>
    <n v="1"/>
    <x v="1"/>
    <s v="&quot;Do not expect a comfortable seat&quot;"/>
    <x v="232"/>
    <x v="23"/>
    <s v="3rd"/>
    <x v="11"/>
    <x v="7"/>
    <x v="1"/>
  </r>
  <r>
    <s v="AirIndia"/>
    <n v="1"/>
    <x v="1"/>
    <s v="â€œfly another carrierâ€"/>
    <x v="233"/>
    <x v="23"/>
    <s v="3rd"/>
    <x v="11"/>
    <x v="7"/>
    <x v="1"/>
  </r>
  <r>
    <s v="AirIndia"/>
    <n v="2"/>
    <x v="1"/>
    <s v="&quot;a disappointing experience&quot;"/>
    <x v="234"/>
    <x v="23"/>
    <s v="3rd"/>
    <x v="11"/>
    <x v="7"/>
    <x v="1"/>
  </r>
  <r>
    <s v="AirIndia"/>
    <n v="3"/>
    <x v="1"/>
    <s v="â€œflight was delayed by 14 hrsâ€"/>
    <x v="235"/>
    <x v="24"/>
    <s v="5th"/>
    <x v="4"/>
    <x v="0"/>
    <x v="1"/>
  </r>
  <r>
    <s v="AirIndia"/>
    <n v="1"/>
    <x v="1"/>
    <s v="â€œWorst airline everâ€"/>
    <x v="236"/>
    <x v="24"/>
    <s v="5th"/>
    <x v="4"/>
    <x v="0"/>
    <x v="1"/>
  </r>
  <r>
    <s v="AirIndia"/>
    <n v="1"/>
    <x v="1"/>
    <s v="&quot;attempting to profit $700 from me&quot;"/>
    <x v="237"/>
    <x v="24"/>
    <s v="5th"/>
    <x v="4"/>
    <x v="0"/>
    <x v="1"/>
  </r>
  <r>
    <s v="AirIndia"/>
    <n v="1"/>
    <x v="1"/>
    <s v="â€œinfotainment system wasnâ€™t workingâ€"/>
    <x v="238"/>
    <x v="24"/>
    <s v="5th"/>
    <x v="4"/>
    <x v="0"/>
    <x v="1"/>
  </r>
  <r>
    <s v="AirIndia"/>
    <n v="1"/>
    <x v="1"/>
    <s v="â€œdirty toilets, tray table and stained seatsâ€"/>
    <x v="239"/>
    <x v="24"/>
    <s v="5th"/>
    <x v="4"/>
    <x v="0"/>
    <x v="1"/>
  </r>
  <r>
    <s v="AirIndia"/>
    <n v="1"/>
    <x v="1"/>
    <s v="&quot;customer service was terrible&quot;"/>
    <x v="240"/>
    <x v="24"/>
    <s v="5th"/>
    <x v="4"/>
    <x v="0"/>
    <x v="1"/>
  </r>
  <r>
    <s v="AirIndia"/>
    <n v="10"/>
    <x v="2"/>
    <s v="â€œthey have done a commendable jobâ€"/>
    <x v="241"/>
    <x v="24"/>
    <s v="5th"/>
    <x v="4"/>
    <x v="0"/>
    <x v="0"/>
  </r>
  <r>
    <s v="AirIndia"/>
    <n v="1"/>
    <x v="1"/>
    <s v="&quot;lack the concept of hospitality&quot;"/>
    <x v="242"/>
    <x v="24"/>
    <s v="5th"/>
    <x v="4"/>
    <x v="0"/>
    <x v="1"/>
  </r>
  <r>
    <s v="AirIndia"/>
    <n v="2"/>
    <x v="1"/>
    <s v="â€œexperience with Air India was challengingâ€"/>
    <x v="243"/>
    <x v="24"/>
    <s v="5th"/>
    <x v="4"/>
    <x v="0"/>
    <x v="1"/>
  </r>
  <r>
    <s v="AirIndia"/>
    <n v="9"/>
    <x v="2"/>
    <s v="â€œcrew were quite nice and soothingâ€"/>
    <x v="244"/>
    <x v="24"/>
    <s v="5th"/>
    <x v="4"/>
    <x v="0"/>
    <x v="0"/>
  </r>
  <r>
    <s v="AirIndia"/>
    <n v="1"/>
    <x v="1"/>
    <s v="&quot;experience was much worse than ever before&quot;"/>
    <x v="245"/>
    <x v="25"/>
    <s v="21st"/>
    <x v="6"/>
    <x v="0"/>
    <x v="1"/>
  </r>
  <r>
    <s v="AirIndia"/>
    <n v="1"/>
    <x v="1"/>
    <s v="&quot;Just a terrible experience&quot;"/>
    <x v="246"/>
    <x v="25"/>
    <s v="21st"/>
    <x v="6"/>
    <x v="0"/>
    <x v="1"/>
  </r>
  <r>
    <s v="AirIndia"/>
    <n v="10"/>
    <x v="2"/>
    <s v="&quot;experienced excellent service&quot;"/>
    <x v="247"/>
    <x v="25"/>
    <s v="21st"/>
    <x v="6"/>
    <x v="0"/>
    <x v="0"/>
  </r>
  <r>
    <s v="AirIndia"/>
    <n v="4"/>
    <x v="1"/>
    <s v="&quot;disappoints on international routes&quot;"/>
    <x v="228"/>
    <x v="25"/>
    <s v="21st"/>
    <x v="6"/>
    <x v="0"/>
    <x v="1"/>
  </r>
  <r>
    <s v="AirIndia"/>
    <n v="10"/>
    <x v="2"/>
    <s v="&quot;Comfortable seating&quot;"/>
    <x v="248"/>
    <x v="25"/>
    <s v="21st"/>
    <x v="6"/>
    <x v="0"/>
    <x v="0"/>
  </r>
  <r>
    <s v="AirIndia"/>
    <n v="2"/>
    <x v="1"/>
    <s v="&quot;Pathetic airline&quot;"/>
    <x v="249"/>
    <x v="25"/>
    <s v="21st"/>
    <x v="6"/>
    <x v="0"/>
    <x v="1"/>
  </r>
  <r>
    <s v="AirIndia"/>
    <n v="3"/>
    <x v="1"/>
    <s v="&quot;No entertainment at all&quot;"/>
    <x v="250"/>
    <x v="25"/>
    <s v="21st"/>
    <x v="6"/>
    <x v="0"/>
    <x v="1"/>
  </r>
  <r>
    <s v="AirIndia"/>
    <n v="1"/>
    <x v="1"/>
    <s v="&quot;a very humiliating experience&quot;"/>
    <x v="251"/>
    <x v="25"/>
    <s v="21st"/>
    <x v="6"/>
    <x v="0"/>
    <x v="1"/>
  </r>
  <r>
    <s v="AirIndia"/>
    <n v="8"/>
    <x v="2"/>
    <s v="â€œthe soft product was markedly improvedâ€"/>
    <x v="252"/>
    <x v="25"/>
    <s v="21st"/>
    <x v="6"/>
    <x v="0"/>
    <x v="0"/>
  </r>
  <r>
    <s v="AirIndia"/>
    <n v="2"/>
    <x v="1"/>
    <s v="&quot;the worst Iâ€™ve travelled&quot;"/>
    <x v="253"/>
    <x v="25"/>
    <s v="21st"/>
    <x v="6"/>
    <x v="0"/>
    <x v="1"/>
  </r>
  <r>
    <s v="AirIndia"/>
    <n v="1"/>
    <x v="1"/>
    <s v="&quot;never expected or experienced such a difficult flight&quot;"/>
    <x v="254"/>
    <x v="26"/>
    <s v="27th"/>
    <x v="0"/>
    <x v="0"/>
    <x v="1"/>
  </r>
  <r>
    <s v="AirIndia"/>
    <n v="1"/>
    <x v="1"/>
    <s v="&quot;like a never ending nightmare&quot;"/>
    <x v="255"/>
    <x v="26"/>
    <s v="27th"/>
    <x v="0"/>
    <x v="0"/>
    <x v="1"/>
  </r>
  <r>
    <s v="AirIndia"/>
    <n v="2"/>
    <x v="1"/>
    <s v="&quot;I was just refunded taxes&quot;"/>
    <x v="256"/>
    <x v="26"/>
    <s v="27th"/>
    <x v="0"/>
    <x v="0"/>
    <x v="1"/>
  </r>
  <r>
    <s v="AirIndia"/>
    <n v="1"/>
    <x v="1"/>
    <s v="&quot;whole food experience was disgusting&quot;"/>
    <x v="257"/>
    <x v="26"/>
    <s v="27th"/>
    <x v="0"/>
    <x v="0"/>
    <x v="1"/>
  </r>
  <r>
    <s v="AirIndia"/>
    <n v="3"/>
    <x v="1"/>
    <s v="&quot;half of the screens weren't working&quot;"/>
    <x v="258"/>
    <x v="26"/>
    <s v="27th"/>
    <x v="0"/>
    <x v="0"/>
    <x v="1"/>
  </r>
  <r>
    <s v="AirIndia"/>
    <n v="1"/>
    <x v="1"/>
    <s v="&quot;The worst airline to fly&quot;"/>
    <x v="259"/>
    <x v="26"/>
    <s v="27th"/>
    <x v="0"/>
    <x v="0"/>
    <x v="1"/>
  </r>
  <r>
    <s v="AirIndia"/>
    <n v="1"/>
    <x v="1"/>
    <s v="&quot;nothing is right&quot;"/>
    <x v="260"/>
    <x v="26"/>
    <s v="27th"/>
    <x v="0"/>
    <x v="0"/>
    <x v="1"/>
  </r>
  <r>
    <s v="AirIndia"/>
    <n v="2"/>
    <x v="1"/>
    <s v="&quot;entire experience left us deeply disappointed&quot;"/>
    <x v="261"/>
    <x v="26"/>
    <s v="27th"/>
    <x v="0"/>
    <x v="0"/>
    <x v="1"/>
  </r>
  <r>
    <s v="AirIndia"/>
    <n v="2"/>
    <x v="1"/>
    <s v="&quot;Spend your money on other airlines&quot;"/>
    <x v="262"/>
    <x v="26"/>
    <s v="27th"/>
    <x v="0"/>
    <x v="0"/>
    <x v="1"/>
  </r>
  <r>
    <s v="AirIndia"/>
    <n v="1"/>
    <x v="1"/>
    <s v="&quot;Be aware of this airline&quot;"/>
    <x v="263"/>
    <x v="26"/>
    <s v="27th"/>
    <x v="0"/>
    <x v="0"/>
    <x v="1"/>
  </r>
  <r>
    <s v="AirIndia"/>
    <n v="1"/>
    <x v="1"/>
    <s v="&quot;Not a good experience&quot;"/>
    <x v="264"/>
    <x v="27"/>
    <s v="9th"/>
    <x v="0"/>
    <x v="0"/>
    <x v="1"/>
  </r>
  <r>
    <s v="AirIndia"/>
    <n v="1"/>
    <x v="1"/>
    <s v="&quot;deep disappointment and frustration&quot;"/>
    <x v="265"/>
    <x v="27"/>
    <s v="9th"/>
    <x v="0"/>
    <x v="0"/>
    <x v="1"/>
  </r>
  <r>
    <s v="AirIndia"/>
    <n v="1"/>
    <x v="1"/>
    <s v="&quot;pay 14,000 INR because of extra luggage&quot;"/>
    <x v="266"/>
    <x v="27"/>
    <s v="9th"/>
    <x v="0"/>
    <x v="0"/>
    <x v="1"/>
  </r>
  <r>
    <s v="AirIndia"/>
    <n v="3"/>
    <x v="1"/>
    <s v="&quot;a very disappointing experience&quot;"/>
    <x v="267"/>
    <x v="27"/>
    <s v="9th"/>
    <x v="0"/>
    <x v="0"/>
    <x v="1"/>
  </r>
  <r>
    <s v="AirIndia"/>
    <n v="1"/>
    <x v="1"/>
    <s v="&quot;seats were worn out, uncomfortable&quot;"/>
    <x v="268"/>
    <x v="27"/>
    <s v="9th"/>
    <x v="0"/>
    <x v="0"/>
    <x v="1"/>
  </r>
  <r>
    <s v="AirIndia"/>
    <n v="2"/>
    <x v="1"/>
    <s v="&quot;Staff on both flights were poorly trained&quot;"/>
    <x v="269"/>
    <x v="27"/>
    <s v="9th"/>
    <x v="0"/>
    <x v="0"/>
    <x v="1"/>
  </r>
  <r>
    <s v="AirIndia"/>
    <n v="1"/>
    <x v="1"/>
    <s v="&quot;No lounge or compensation was given&quot;"/>
    <x v="270"/>
    <x v="27"/>
    <s v="9th"/>
    <x v="0"/>
    <x v="0"/>
    <x v="1"/>
  </r>
  <r>
    <s v="AirIndia"/>
    <n v="1"/>
    <x v="1"/>
    <s v="&quot;the most horrible airline&quot;"/>
    <x v="271"/>
    <x v="27"/>
    <s v="9th"/>
    <x v="0"/>
    <x v="0"/>
    <x v="1"/>
  </r>
  <r>
    <s v="AirIndia"/>
    <n v="3"/>
    <x v="1"/>
    <s v="&quot;they need to make some changes&quot;"/>
    <x v="272"/>
    <x v="27"/>
    <s v="9th"/>
    <x v="0"/>
    <x v="0"/>
    <x v="1"/>
  </r>
  <r>
    <s v="AirIndia"/>
    <n v="2"/>
    <x v="1"/>
    <s v="&quot;Pathetic service&quot;"/>
    <x v="273"/>
    <x v="27"/>
    <s v="9th"/>
    <x v="0"/>
    <x v="0"/>
    <x v="1"/>
  </r>
  <r>
    <s v="AirIndia"/>
    <n v="2"/>
    <x v="1"/>
    <s v="&quot;experience is very bad&quot;"/>
    <x v="274"/>
    <x v="28"/>
    <s v="26th"/>
    <x v="2"/>
    <x v="0"/>
    <x v="1"/>
  </r>
  <r>
    <s v="AirIndia"/>
    <n v="1"/>
    <x v="1"/>
    <s v="&quot;site bombed when I tried to pay&quot;"/>
    <x v="275"/>
    <x v="28"/>
    <s v="26th"/>
    <x v="2"/>
    <x v="0"/>
    <x v="1"/>
  </r>
  <r>
    <s v="AirIndia"/>
    <n v="1"/>
    <x v="1"/>
    <s v="&quot;I will never choose Air India&quot;"/>
    <x v="276"/>
    <x v="28"/>
    <s v="26th"/>
    <x v="2"/>
    <x v="0"/>
    <x v="1"/>
  </r>
  <r>
    <s v="AirIndia"/>
    <n v="1"/>
    <x v="1"/>
    <s v="&quot;I had to spend 3 days in the airport&quot;"/>
    <x v="277"/>
    <x v="28"/>
    <s v="26th"/>
    <x v="2"/>
    <x v="0"/>
    <x v="1"/>
  </r>
  <r>
    <s v="AirIndia"/>
    <n v="4"/>
    <x v="1"/>
    <s v="&quot;staff changed our seat numbers&quot;"/>
    <x v="278"/>
    <x v="28"/>
    <s v="26th"/>
    <x v="2"/>
    <x v="0"/>
    <x v="0"/>
  </r>
  <r>
    <s v="AirIndia"/>
    <n v="2"/>
    <x v="1"/>
    <s v="&quot;Worst airline I traveled with&quot;"/>
    <x v="279"/>
    <x v="28"/>
    <s v="26th"/>
    <x v="2"/>
    <x v="0"/>
    <x v="1"/>
  </r>
  <r>
    <s v="AirIndia"/>
    <n v="2"/>
    <x v="1"/>
    <s v="&quot;The seat was broken&quot;"/>
    <x v="280"/>
    <x v="28"/>
    <s v="26th"/>
    <x v="2"/>
    <x v="0"/>
    <x v="1"/>
  </r>
  <r>
    <s v="AirIndia"/>
    <n v="1"/>
    <x v="1"/>
    <s v="&quot;avoid any flight with Air India&quot;"/>
    <x v="281"/>
    <x v="28"/>
    <s v="26th"/>
    <x v="2"/>
    <x v="0"/>
    <x v="1"/>
  </r>
  <r>
    <s v="AirIndia"/>
    <n v="3"/>
    <x v="1"/>
    <s v="&quot;it is highly inconvenient&quot;"/>
    <x v="282"/>
    <x v="28"/>
    <s v="26th"/>
    <x v="2"/>
    <x v="0"/>
    <x v="1"/>
  </r>
  <r>
    <s v="AirIndia"/>
    <n v="10"/>
    <x v="2"/>
    <s v="&quot;a very good experience&quot;"/>
    <x v="283"/>
    <x v="28"/>
    <s v="26th"/>
    <x v="2"/>
    <x v="0"/>
    <x v="0"/>
  </r>
  <r>
    <s v="AirIndia"/>
    <n v="7"/>
    <x v="0"/>
    <s v="&quot;Business class is not roomy&quot;"/>
    <x v="284"/>
    <x v="29"/>
    <s v="11th"/>
    <x v="2"/>
    <x v="0"/>
    <x v="0"/>
  </r>
  <r>
    <s v="AirIndia"/>
    <n v="8"/>
    <x v="2"/>
    <s v="&quot;a really comfortable and good flight&quot;"/>
    <x v="252"/>
    <x v="29"/>
    <s v="11th"/>
    <x v="2"/>
    <x v="0"/>
    <x v="0"/>
  </r>
  <r>
    <s v="AirIndia"/>
    <n v="1"/>
    <x v="1"/>
    <s v="&quot;This is the worst flight service&quot;"/>
    <x v="285"/>
    <x v="29"/>
    <s v="11th"/>
    <x v="2"/>
    <x v="0"/>
    <x v="1"/>
  </r>
  <r>
    <s v="AirIndia"/>
    <n v="1"/>
    <x v="1"/>
    <s v="&quot;very disappointing that they didn't help me&quot;"/>
    <x v="286"/>
    <x v="29"/>
    <s v="11th"/>
    <x v="2"/>
    <x v="0"/>
    <x v="1"/>
  </r>
  <r>
    <s v="AirIndia"/>
    <n v="3"/>
    <x v="1"/>
    <s v="&quot;one of the worst experiences&quot;"/>
    <x v="287"/>
    <x v="29"/>
    <s v="11th"/>
    <x v="2"/>
    <x v="0"/>
    <x v="1"/>
  </r>
  <r>
    <s v="AirIndia"/>
    <n v="2"/>
    <x v="1"/>
    <s v="&quot;everyone was sweating for nearly 2 hours&quot;"/>
    <x v="288"/>
    <x v="29"/>
    <s v="11th"/>
    <x v="2"/>
    <x v="0"/>
    <x v="1"/>
  </r>
  <r>
    <s v="AirIndia"/>
    <n v="3"/>
    <x v="1"/>
    <s v="&quot;food they serve is so bad&quot;"/>
    <x v="289"/>
    <x v="29"/>
    <s v="11th"/>
    <x v="2"/>
    <x v="0"/>
    <x v="1"/>
  </r>
  <r>
    <s v="AirIndia"/>
    <n v="10"/>
    <x v="2"/>
    <s v="&quot;an amazing experience&quot;"/>
    <x v="290"/>
    <x v="29"/>
    <s v="11th"/>
    <x v="2"/>
    <x v="0"/>
    <x v="0"/>
  </r>
  <r>
    <s v="AirIndia"/>
    <n v="1"/>
    <x v="1"/>
    <s v="&quot;It's a third class flight&quot;"/>
    <x v="291"/>
    <x v="29"/>
    <s v="11th"/>
    <x v="2"/>
    <x v="0"/>
    <x v="1"/>
  </r>
  <r>
    <s v="AirIndia"/>
    <n v="1"/>
    <x v="1"/>
    <s v="&quot;never fly Air India again&quot;"/>
    <x v="292"/>
    <x v="29"/>
    <s v="11th"/>
    <x v="2"/>
    <x v="0"/>
    <x v="1"/>
  </r>
  <r>
    <s v="AirIndia"/>
    <n v="4"/>
    <x v="1"/>
    <s v="&quot;a waste of money&quot;"/>
    <x v="293"/>
    <x v="30"/>
    <s v="19th"/>
    <x v="8"/>
    <x v="0"/>
    <x v="1"/>
  </r>
  <r>
    <s v="AirIndia"/>
    <n v="2"/>
    <x v="1"/>
    <s v="&quot;denied to take the bag saying that I am late&quot;"/>
    <x v="294"/>
    <x v="30"/>
    <s v="19th"/>
    <x v="8"/>
    <x v="0"/>
    <x v="1"/>
  </r>
  <r>
    <s v="AirIndia"/>
    <n v="2"/>
    <x v="1"/>
    <s v="&quot;plane seemed terribly run down&quot;"/>
    <x v="295"/>
    <x v="30"/>
    <s v="19th"/>
    <x v="8"/>
    <x v="0"/>
    <x v="1"/>
  </r>
  <r>
    <s v="AirIndia"/>
    <n v="2"/>
    <x v="1"/>
    <s v="&quot;soon lose their customer base&quot;"/>
    <x v="296"/>
    <x v="30"/>
    <s v="19th"/>
    <x v="8"/>
    <x v="0"/>
    <x v="1"/>
  </r>
  <r>
    <s v="AirIndia"/>
    <n v="1"/>
    <x v="1"/>
    <s v="&quot;Worst experience of my life&quot;"/>
    <x v="297"/>
    <x v="30"/>
    <s v="19th"/>
    <x v="8"/>
    <x v="0"/>
    <x v="1"/>
  </r>
  <r>
    <s v="AirIndia"/>
    <n v="1"/>
    <x v="1"/>
    <s v="&quot;delayed almost 5-6 hours&quot;"/>
    <x v="298"/>
    <x v="30"/>
    <s v="19th"/>
    <x v="8"/>
    <x v="0"/>
    <x v="1"/>
  </r>
  <r>
    <s v="AirIndia"/>
    <n v="2"/>
    <x v="1"/>
    <s v="&quot;very low cost aircraft&quot;"/>
    <x v="299"/>
    <x v="30"/>
    <s v="19th"/>
    <x v="8"/>
    <x v="0"/>
    <x v="1"/>
  </r>
  <r>
    <s v="AirIndia"/>
    <n v="3"/>
    <x v="1"/>
    <s v="&quot;IFE screens don't work&quot;"/>
    <x v="300"/>
    <x v="30"/>
    <s v="19th"/>
    <x v="8"/>
    <x v="0"/>
    <x v="1"/>
  </r>
  <r>
    <s v="AirIndia"/>
    <n v="10"/>
    <x v="2"/>
    <s v="&quot;Keep up the good work&quot;"/>
    <x v="301"/>
    <x v="30"/>
    <s v="19th"/>
    <x v="8"/>
    <x v="0"/>
    <x v="0"/>
  </r>
  <r>
    <s v="AirIndia"/>
    <n v="1"/>
    <x v="1"/>
    <s v="&quot;Pathetic and unprofessional&quot;"/>
    <x v="302"/>
    <x v="30"/>
    <s v="19th"/>
    <x v="8"/>
    <x v="0"/>
    <x v="1"/>
  </r>
  <r>
    <s v="AirIndia"/>
    <n v="3"/>
    <x v="1"/>
    <s v="&quot;no different from a low-budget airline&quot;"/>
    <x v="303"/>
    <x v="31"/>
    <s v="7th"/>
    <x v="8"/>
    <x v="0"/>
    <x v="1"/>
  </r>
  <r>
    <s v="AirIndia"/>
    <n v="1"/>
    <x v="1"/>
    <s v="&quot;bathrooms on the plane were disgusting&quot;"/>
    <x v="304"/>
    <x v="31"/>
    <s v="7th"/>
    <x v="8"/>
    <x v="0"/>
    <x v="1"/>
  </r>
  <r>
    <s v="AirIndia"/>
    <n v="1"/>
    <x v="1"/>
    <s v="&quot;Horrible service&quot;"/>
    <x v="305"/>
    <x v="31"/>
    <s v="7th"/>
    <x v="8"/>
    <x v="0"/>
    <x v="1"/>
  </r>
  <r>
    <s v="AirIndia"/>
    <n v="5"/>
    <x v="0"/>
    <s v="&quot;outstanding service from staff&quot;"/>
    <x v="306"/>
    <x v="31"/>
    <s v="7th"/>
    <x v="8"/>
    <x v="0"/>
    <x v="0"/>
  </r>
  <r>
    <s v="AirIndia"/>
    <n v="1"/>
    <x v="1"/>
    <s v="&quot;never ever again Air India&quot;"/>
    <x v="307"/>
    <x v="31"/>
    <s v="7th"/>
    <x v="8"/>
    <x v="0"/>
    <x v="1"/>
  </r>
  <r>
    <s v="AirIndia"/>
    <n v="3"/>
    <x v="1"/>
    <s v="&quot;Disappointed to the core&quot;"/>
    <x v="308"/>
    <x v="31"/>
    <s v="7th"/>
    <x v="8"/>
    <x v="0"/>
    <x v="1"/>
  </r>
  <r>
    <s v="AirIndia"/>
    <n v="3"/>
    <x v="1"/>
    <s v="&quot;going from bad to worst&quot;"/>
    <x v="309"/>
    <x v="31"/>
    <s v="7th"/>
    <x v="8"/>
    <x v="0"/>
    <x v="1"/>
  </r>
  <r>
    <s v="AirIndia"/>
    <n v="1"/>
    <x v="1"/>
    <s v="&quot;was given a regular meal&quot;"/>
    <x v="310"/>
    <x v="31"/>
    <s v="7th"/>
    <x v="8"/>
    <x v="0"/>
    <x v="1"/>
  </r>
  <r>
    <s v="AirIndia"/>
    <n v="1"/>
    <x v="1"/>
    <s v="&quot;both times it was torture&quot;"/>
    <x v="311"/>
    <x v="31"/>
    <s v="7th"/>
    <x v="8"/>
    <x v="0"/>
    <x v="1"/>
  </r>
  <r>
    <s v="AirIndia"/>
    <n v="1"/>
    <x v="1"/>
    <s v="&quot;flight was disgusting and dirty&quot;"/>
    <x v="312"/>
    <x v="31"/>
    <s v="7th"/>
    <x v="8"/>
    <x v="0"/>
    <x v="1"/>
  </r>
  <r>
    <s v="AirIndia"/>
    <n v="1"/>
    <x v="1"/>
    <s v="&quot;gotten progressively worse&quot;"/>
    <x v="313"/>
    <x v="32"/>
    <s v="18th"/>
    <x v="9"/>
    <x v="0"/>
    <x v="1"/>
  </r>
  <r>
    <s v="AirIndia"/>
    <n v="2"/>
    <x v="1"/>
    <s v="&quot;most disappointed&quot;"/>
    <x v="314"/>
    <x v="32"/>
    <s v="18th"/>
    <x v="9"/>
    <x v="0"/>
    <x v="1"/>
  </r>
  <r>
    <s v="AirIndia"/>
    <n v="7"/>
    <x v="0"/>
    <s v="&quot;this was a welcome flight&quot;"/>
    <x v="315"/>
    <x v="32"/>
    <s v="18th"/>
    <x v="9"/>
    <x v="0"/>
    <x v="0"/>
  </r>
  <r>
    <s v="AirIndia"/>
    <n v="1"/>
    <x v="1"/>
    <s v="&quot;company to really avoid&quot;"/>
    <x v="316"/>
    <x v="32"/>
    <s v="18th"/>
    <x v="9"/>
    <x v="0"/>
    <x v="1"/>
  </r>
  <r>
    <s v="AirIndia"/>
    <n v="8"/>
    <x v="2"/>
    <s v="&quot;excellent service provided by staff&quot;"/>
    <x v="317"/>
    <x v="32"/>
    <s v="18th"/>
    <x v="9"/>
    <x v="0"/>
    <x v="1"/>
  </r>
  <r>
    <s v="AirIndia"/>
    <n v="2"/>
    <x v="1"/>
    <s v="&quot;entertainment did not work&quot;"/>
    <x v="318"/>
    <x v="32"/>
    <s v="18th"/>
    <x v="9"/>
    <x v="0"/>
    <x v="1"/>
  </r>
  <r>
    <s v="AirIndia"/>
    <n v="1"/>
    <x v="1"/>
    <s v="&quot;The service was non-existent&quot;"/>
    <x v="319"/>
    <x v="32"/>
    <s v="18th"/>
    <x v="9"/>
    <x v="0"/>
    <x v="1"/>
  </r>
  <r>
    <s v="AirIndia"/>
    <n v="6"/>
    <x v="0"/>
    <s v="&quot;I would still recommend&quot;"/>
    <x v="320"/>
    <x v="32"/>
    <s v="18th"/>
    <x v="9"/>
    <x v="0"/>
    <x v="0"/>
  </r>
  <r>
    <s v="AirIndia"/>
    <n v="1"/>
    <x v="1"/>
    <s v="&quot;first and last flight with Air India&quot;"/>
    <x v="255"/>
    <x v="32"/>
    <s v="18th"/>
    <x v="9"/>
    <x v="0"/>
    <x v="1"/>
  </r>
  <r>
    <s v="AirIndia"/>
    <n v="2"/>
    <x v="1"/>
    <s v="&quot;Again bad experience&quot;"/>
    <x v="321"/>
    <x v="32"/>
    <s v="18th"/>
    <x v="9"/>
    <x v="0"/>
    <x v="1"/>
  </r>
  <r>
    <s v="AirIndia"/>
    <n v="1"/>
    <x v="1"/>
    <s v="&quot;No value for money&quot;"/>
    <x v="322"/>
    <x v="33"/>
    <s v="5th"/>
    <x v="9"/>
    <x v="0"/>
    <x v="1"/>
  </r>
  <r>
    <s v="AirIndia"/>
    <n v="1"/>
    <x v="1"/>
    <s v="&quot;there was nobody there to help&quot;"/>
    <x v="323"/>
    <x v="33"/>
    <s v="5th"/>
    <x v="9"/>
    <x v="0"/>
    <x v="1"/>
  </r>
  <r>
    <s v="AirIndia"/>
    <n v="1"/>
    <x v="1"/>
    <s v="&quot;Worst quality of food!"/>
    <x v="324"/>
    <x v="33"/>
    <s v="5th"/>
    <x v="9"/>
    <x v="0"/>
    <x v="1"/>
  </r>
  <r>
    <s v="AirIndia"/>
    <n v="1"/>
    <x v="1"/>
    <s v="&quot;Worst flight&quot;"/>
    <x v="325"/>
    <x v="33"/>
    <s v="5th"/>
    <x v="9"/>
    <x v="0"/>
    <x v="1"/>
  </r>
  <r>
    <s v="AirIndia"/>
    <n v="1"/>
    <x v="1"/>
    <s v="&quot;No entertainment, no call lights, no seat reclining&quot;"/>
    <x v="326"/>
    <x v="33"/>
    <s v="5th"/>
    <x v="9"/>
    <x v="0"/>
    <x v="1"/>
  </r>
  <r>
    <s v="AirIndia"/>
    <n v="1"/>
    <x v="1"/>
    <s v="&quot;A terrible nightmare&quot;"/>
    <x v="327"/>
    <x v="33"/>
    <s v="5th"/>
    <x v="9"/>
    <x v="0"/>
    <x v="1"/>
  </r>
  <r>
    <s v="AirIndia"/>
    <n v="3"/>
    <x v="1"/>
    <s v="&quot;more than 45 minutes for baggage check&quot;"/>
    <x v="328"/>
    <x v="33"/>
    <s v="5th"/>
    <x v="9"/>
    <x v="0"/>
    <x v="1"/>
  </r>
  <r>
    <s v="AirIndia"/>
    <n v="10"/>
    <x v="2"/>
    <s v="&quot;top notch crew experience&quot;"/>
    <x v="329"/>
    <x v="33"/>
    <s v="5th"/>
    <x v="9"/>
    <x v="0"/>
    <x v="0"/>
  </r>
  <r>
    <s v="AirIndia"/>
    <n v="2"/>
    <x v="1"/>
    <s v="&quot;Worst experience ever&quot;"/>
    <x v="330"/>
    <x v="33"/>
    <s v="5th"/>
    <x v="9"/>
    <x v="0"/>
    <x v="1"/>
  </r>
  <r>
    <s v="AirIndia"/>
    <n v="1"/>
    <x v="1"/>
    <s v="&quot;seats are absolutely atrocious&quot;"/>
    <x v="331"/>
    <x v="33"/>
    <s v="5th"/>
    <x v="9"/>
    <x v="0"/>
    <x v="1"/>
  </r>
  <r>
    <s v="AirIndia"/>
    <n v="2"/>
    <x v="1"/>
    <s v="&quot;service is horrible&quot;"/>
    <x v="332"/>
    <x v="34"/>
    <s v="27th"/>
    <x v="3"/>
    <x v="0"/>
    <x v="0"/>
  </r>
  <r>
    <s v="AirIndia"/>
    <n v="1"/>
    <x v="1"/>
    <s v="&quot;worst customer support&quot;"/>
    <x v="333"/>
    <x v="34"/>
    <s v="27th"/>
    <x v="3"/>
    <x v="0"/>
    <x v="1"/>
  </r>
  <r>
    <s v="AirIndia"/>
    <n v="1"/>
    <x v="1"/>
    <s v="&quot;never seen such kind of chaos&quot;"/>
    <x v="334"/>
    <x v="34"/>
    <s v="27th"/>
    <x v="3"/>
    <x v="0"/>
    <x v="1"/>
  </r>
  <r>
    <s v="AirIndia"/>
    <n v="1"/>
    <x v="1"/>
    <s v="&quot;web check-in was harrowing&quot;"/>
    <x v="335"/>
    <x v="34"/>
    <s v="27th"/>
    <x v="3"/>
    <x v="0"/>
    <x v="1"/>
  </r>
  <r>
    <s v="AirIndia"/>
    <n v="4"/>
    <x v="1"/>
    <s v="&quot;service and customer experience lacking&quot;"/>
    <x v="336"/>
    <x v="34"/>
    <s v="27th"/>
    <x v="3"/>
    <x v="0"/>
    <x v="1"/>
  </r>
  <r>
    <s v="AirIndia"/>
    <n v="8"/>
    <x v="2"/>
    <s v="&quot;Overall good customer service&quot;"/>
    <x v="337"/>
    <x v="34"/>
    <s v="27th"/>
    <x v="3"/>
    <x v="0"/>
    <x v="0"/>
  </r>
  <r>
    <s v="AirIndia"/>
    <n v="2"/>
    <x v="1"/>
    <s v="&quot;held passengers for nearly 4 hours&quot;"/>
    <x v="338"/>
    <x v="34"/>
    <s v="27th"/>
    <x v="3"/>
    <x v="0"/>
    <x v="1"/>
  </r>
  <r>
    <s v="AirIndia"/>
    <n v="2"/>
    <x v="1"/>
    <s v="&quot;seat was completely broken&quot;"/>
    <x v="339"/>
    <x v="34"/>
    <s v="27th"/>
    <x v="3"/>
    <x v="0"/>
    <x v="1"/>
  </r>
  <r>
    <s v="AirIndia"/>
    <n v="1"/>
    <x v="1"/>
    <s v="&quot;Worst inflight experience&quot;"/>
    <x v="340"/>
    <x v="34"/>
    <s v="27th"/>
    <x v="3"/>
    <x v="0"/>
    <x v="1"/>
  </r>
  <r>
    <s v="AirIndia"/>
    <n v="1"/>
    <x v="1"/>
    <s v="&quot;Customer service is getting worse day by day&quot;"/>
    <x v="341"/>
    <x v="34"/>
    <s v="27th"/>
    <x v="3"/>
    <x v="0"/>
    <x v="1"/>
  </r>
  <r>
    <s v="AirIndia"/>
    <n v="9"/>
    <x v="2"/>
    <s v="&quot;Good experience overall&quot;"/>
    <x v="342"/>
    <x v="35"/>
    <s v="20th"/>
    <x v="3"/>
    <x v="0"/>
    <x v="0"/>
  </r>
  <r>
    <s v="AirIndia"/>
    <n v="1"/>
    <x v="1"/>
    <s v="&quot;last time flying Air India&quot;"/>
    <x v="343"/>
    <x v="35"/>
    <s v="20th"/>
    <x v="3"/>
    <x v="0"/>
    <x v="1"/>
  </r>
  <r>
    <s v="AirIndia"/>
    <n v="1"/>
    <x v="1"/>
    <s v="&quot;AI has given nothing but lousy service&quot;"/>
    <x v="344"/>
    <x v="35"/>
    <s v="20th"/>
    <x v="3"/>
    <x v="0"/>
    <x v="1"/>
  </r>
  <r>
    <s v="AirIndia"/>
    <n v="10"/>
    <x v="2"/>
    <s v="&quot;a wonderful experience&quot;"/>
    <x v="345"/>
    <x v="35"/>
    <s v="20th"/>
    <x v="3"/>
    <x v="0"/>
    <x v="0"/>
  </r>
  <r>
    <s v="AirIndia"/>
    <n v="2"/>
    <x v="1"/>
    <s v="&quot;cabin crew not arrived&quot;"/>
    <x v="346"/>
    <x v="35"/>
    <s v="20th"/>
    <x v="3"/>
    <x v="0"/>
    <x v="1"/>
  </r>
  <r>
    <s v="AirIndia"/>
    <n v="1"/>
    <x v="1"/>
    <s v="&quot;Worst flight experience&quot;"/>
    <x v="347"/>
    <x v="35"/>
    <s v="20th"/>
    <x v="3"/>
    <x v="0"/>
    <x v="1"/>
  </r>
  <r>
    <s v="AirIndia"/>
    <n v="9"/>
    <x v="2"/>
    <s v="&quot;staff extremely kind and helpful&quot;"/>
    <x v="348"/>
    <x v="35"/>
    <s v="20th"/>
    <x v="3"/>
    <x v="0"/>
    <x v="0"/>
  </r>
  <r>
    <s v="AirIndia"/>
    <n v="1"/>
    <x v="1"/>
    <s v="&quot;the worst flight experience&quot;"/>
    <x v="349"/>
    <x v="35"/>
    <s v="20th"/>
    <x v="3"/>
    <x v="0"/>
    <x v="1"/>
  </r>
  <r>
    <s v="AirIndia"/>
    <n v="1"/>
    <x v="1"/>
    <s v="&quot;Seats small and uncomfortable&quot;"/>
    <x v="350"/>
    <x v="35"/>
    <s v="20th"/>
    <x v="3"/>
    <x v="0"/>
    <x v="1"/>
  </r>
  <r>
    <s v="AirIndia"/>
    <n v="1"/>
    <x v="1"/>
    <s v="&quot;book at your peril&quot;"/>
    <x v="351"/>
    <x v="35"/>
    <s v="20th"/>
    <x v="3"/>
    <x v="0"/>
    <x v="1"/>
  </r>
  <r>
    <s v="AirIndia"/>
    <n v="5"/>
    <x v="0"/>
    <s v="&quot;Boarding a bit messy&quot;"/>
    <x v="352"/>
    <x v="36"/>
    <s v="14th"/>
    <x v="3"/>
    <x v="0"/>
    <x v="1"/>
  </r>
  <r>
    <s v="AirIndia"/>
    <n v="7"/>
    <x v="0"/>
    <s v="&quot;staff super efficient and friendly&quot;"/>
    <x v="353"/>
    <x v="36"/>
    <s v="14th"/>
    <x v="3"/>
    <x v="0"/>
    <x v="1"/>
  </r>
  <r>
    <s v="AirIndia"/>
    <n v="1"/>
    <x v="1"/>
    <s v="&quot;One of the worst flight experiences&quot;"/>
    <x v="354"/>
    <x v="36"/>
    <s v="14th"/>
    <x v="3"/>
    <x v="0"/>
    <x v="1"/>
  </r>
  <r>
    <s v="AirIndia"/>
    <n v="1"/>
    <x v="1"/>
    <s v="&quot;experienced such poor service&quot;"/>
    <x v="355"/>
    <x v="36"/>
    <s v="14th"/>
    <x v="3"/>
    <x v="0"/>
    <x v="0"/>
  </r>
  <r>
    <s v="AirIndia"/>
    <n v="1"/>
    <x v="1"/>
    <s v="&quot;Very poor flight management&quot;"/>
    <x v="356"/>
    <x v="36"/>
    <s v="14th"/>
    <x v="3"/>
    <x v="0"/>
    <x v="1"/>
  </r>
  <r>
    <s v="AirIndia"/>
    <n v="1"/>
    <x v="1"/>
    <s v="&quot;Food quality horrible&quot;"/>
    <x v="357"/>
    <x v="36"/>
    <s v="14th"/>
    <x v="3"/>
    <x v="0"/>
    <x v="1"/>
  </r>
  <r>
    <s v="AirIndia"/>
    <n v="2"/>
    <x v="1"/>
    <s v="&quot;the worst flight experience &quot;"/>
    <x v="358"/>
    <x v="36"/>
    <s v="14th"/>
    <x v="3"/>
    <x v="0"/>
    <x v="1"/>
  </r>
  <r>
    <s v="AirIndia"/>
    <n v="1"/>
    <x v="1"/>
    <s v="&quot;delayed for more than 5 hours&quot;"/>
    <x v="359"/>
    <x v="36"/>
    <s v="14th"/>
    <x v="3"/>
    <x v="0"/>
    <x v="1"/>
  </r>
  <r>
    <s v="AirIndia"/>
    <n v="9"/>
    <x v="2"/>
    <s v="&quot;a very good flight&quot;"/>
    <x v="360"/>
    <x v="36"/>
    <s v="14th"/>
    <x v="3"/>
    <x v="0"/>
    <x v="0"/>
  </r>
  <r>
    <s v="AirIndia"/>
    <n v="1"/>
    <x v="1"/>
    <s v="&quot;Worst experience ever&quot;"/>
    <x v="361"/>
    <x v="36"/>
    <s v="14th"/>
    <x v="3"/>
    <x v="0"/>
    <x v="1"/>
  </r>
  <r>
    <s v="AirIndia"/>
    <n v="9"/>
    <x v="2"/>
    <s v="&quot;Worst experience ever&quot;"/>
    <x v="362"/>
    <x v="37"/>
    <s v="9th"/>
    <x v="3"/>
    <x v="0"/>
    <x v="1"/>
  </r>
  <r>
    <s v="AirIndia"/>
    <n v="3"/>
    <x v="1"/>
    <s v="&quot;very poor service&quot;"/>
    <x v="363"/>
    <x v="37"/>
    <s v="9th"/>
    <x v="3"/>
    <x v="0"/>
    <x v="1"/>
  </r>
  <r>
    <s v="AirIndia"/>
    <n v="1"/>
    <x v="1"/>
    <s v="&quot;Some seats were not reclining&quot;"/>
    <x v="364"/>
    <x v="37"/>
    <s v="9th"/>
    <x v="3"/>
    <x v="0"/>
    <x v="1"/>
  </r>
  <r>
    <s v="AirIndia"/>
    <n v="2"/>
    <x v="1"/>
    <s v="&quot;Horrible service by Air India&quot;"/>
    <x v="365"/>
    <x v="37"/>
    <s v="9th"/>
    <x v="3"/>
    <x v="0"/>
    <x v="1"/>
  </r>
  <r>
    <s v="AirIndia"/>
    <n v="1"/>
    <x v="1"/>
    <s v="&quot;I asked if he could upgrade me&quot;"/>
    <x v="366"/>
    <x v="37"/>
    <s v="9th"/>
    <x v="3"/>
    <x v="0"/>
    <x v="1"/>
  </r>
  <r>
    <s v="AirIndia"/>
    <n v="1"/>
    <x v="1"/>
    <s v="&quot;bad airline service&quot;"/>
    <x v="367"/>
    <x v="37"/>
    <s v="9th"/>
    <x v="3"/>
    <x v="0"/>
    <x v="1"/>
  </r>
  <r>
    <s v="AirIndia"/>
    <n v="2"/>
    <x v="1"/>
    <s v="&quot;hated my overall flight experience&quot;"/>
    <x v="368"/>
    <x v="37"/>
    <s v="9th"/>
    <x v="3"/>
    <x v="0"/>
    <x v="1"/>
  </r>
  <r>
    <s v="AirIndia"/>
    <n v="1"/>
    <x v="1"/>
    <s v="&quot;Avoid booking Air India&quot;"/>
    <x v="369"/>
    <x v="37"/>
    <s v="9th"/>
    <x v="3"/>
    <x v="0"/>
    <x v="1"/>
  </r>
  <r>
    <s v="AirIndia"/>
    <n v="1"/>
    <x v="1"/>
    <s v="&quot;old planes with no inflight entertainment&quot;"/>
    <x v="370"/>
    <x v="37"/>
    <s v="9th"/>
    <x v="3"/>
    <x v="0"/>
    <x v="1"/>
  </r>
  <r>
    <s v="AirIndia"/>
    <n v="1"/>
    <x v="1"/>
    <s v="&quot;One of the worst airlines&quot;"/>
    <x v="371"/>
    <x v="37"/>
    <s v="9th"/>
    <x v="3"/>
    <x v="0"/>
    <x v="1"/>
  </r>
  <r>
    <s v="AirIndia"/>
    <n v="1"/>
    <x v="1"/>
    <s v="&quot;Very disappointing&quot;"/>
    <x v="372"/>
    <x v="38"/>
    <s v="26th"/>
    <x v="7"/>
    <x v="0"/>
    <x v="1"/>
  </r>
  <r>
    <s v="AirIndia"/>
    <n v="1"/>
    <x v="1"/>
    <s v="&quot;irresponsible airline&quot;"/>
    <x v="373"/>
    <x v="38"/>
    <s v="26th"/>
    <x v="7"/>
    <x v="0"/>
    <x v="1"/>
  </r>
  <r>
    <s v="AirIndia"/>
    <n v="4"/>
    <x v="1"/>
    <s v="&quot;Pathetic experience&quot;"/>
    <x v="374"/>
    <x v="38"/>
    <s v="26th"/>
    <x v="7"/>
    <x v="0"/>
    <x v="1"/>
  </r>
  <r>
    <s v="AirIndia"/>
    <n v="2"/>
    <x v="1"/>
    <s v="&quot;Seats are not at all hygienic&quot;"/>
    <x v="375"/>
    <x v="38"/>
    <s v="26th"/>
    <x v="7"/>
    <x v="0"/>
    <x v="1"/>
  </r>
  <r>
    <s v="AirIndia"/>
    <n v="1"/>
    <x v="1"/>
    <s v="&quot;No Inflight Entertainment&quot;"/>
    <x v="376"/>
    <x v="38"/>
    <s v="26th"/>
    <x v="7"/>
    <x v="0"/>
    <x v="1"/>
  </r>
  <r>
    <s v="AirIndia"/>
    <n v="5"/>
    <x v="0"/>
    <s v="&quot;disappointed that I never got to fly&quot;"/>
    <x v="377"/>
    <x v="38"/>
    <s v="26th"/>
    <x v="7"/>
    <x v="0"/>
    <x v="0"/>
  </r>
  <r>
    <s v="AirIndia"/>
    <n v="2"/>
    <x v="1"/>
    <s v="&quot;the flight was so horrible&quot;"/>
    <x v="378"/>
    <x v="38"/>
    <s v="26th"/>
    <x v="7"/>
    <x v="0"/>
    <x v="1"/>
  </r>
  <r>
    <s v="AirIndia"/>
    <n v="1"/>
    <x v="1"/>
    <s v="&quot;Such a bad experience&quot;"/>
    <x v="379"/>
    <x v="38"/>
    <s v="26th"/>
    <x v="7"/>
    <x v="0"/>
    <x v="1"/>
  </r>
  <r>
    <s v="AirIndia"/>
    <n v="3"/>
    <x v="1"/>
    <s v="&quot;Absolutely primitive aircraft&quot;"/>
    <x v="380"/>
    <x v="38"/>
    <s v="26th"/>
    <x v="7"/>
    <x v="0"/>
    <x v="1"/>
  </r>
  <r>
    <s v="AirIndia"/>
    <n v="8"/>
    <x v="2"/>
    <s v="&quot;food was top class&quot;"/>
    <x v="381"/>
    <x v="38"/>
    <s v="26th"/>
    <x v="7"/>
    <x v="0"/>
    <x v="0"/>
  </r>
  <r>
    <s v="AirIndia"/>
    <n v="8"/>
    <x v="2"/>
    <s v="&quot;better than the last time I flew&quot;"/>
    <x v="382"/>
    <x v="39"/>
    <s v="3rd"/>
    <x v="7"/>
    <x v="0"/>
    <x v="0"/>
  </r>
  <r>
    <s v="AirIndia"/>
    <n v="4"/>
    <x v="1"/>
    <s v="&quot;the service was very poor&quot;"/>
    <x v="383"/>
    <x v="39"/>
    <s v="3rd"/>
    <x v="7"/>
    <x v="0"/>
    <x v="1"/>
  </r>
  <r>
    <s v="AirIndia"/>
    <n v="5"/>
    <x v="0"/>
    <s v="&quot;Staff new and not efficient&quot;"/>
    <x v="384"/>
    <x v="39"/>
    <s v="3rd"/>
    <x v="7"/>
    <x v="0"/>
    <x v="1"/>
  </r>
  <r>
    <s v="AirIndia"/>
    <n v="1"/>
    <x v="1"/>
    <s v="&quot;never travel again with Air India&quot;"/>
    <x v="385"/>
    <x v="39"/>
    <s v="3rd"/>
    <x v="7"/>
    <x v="0"/>
    <x v="1"/>
  </r>
  <r>
    <s v="AirIndia"/>
    <n v="2"/>
    <x v="1"/>
    <s v="&quot;comment is mainly for safety concern&quot;"/>
    <x v="386"/>
    <x v="39"/>
    <s v="3rd"/>
    <x v="7"/>
    <x v="0"/>
    <x v="0"/>
  </r>
  <r>
    <s v="AirIndia"/>
    <n v="3"/>
    <x v="1"/>
    <s v="&quot;it was shocking&quot;"/>
    <x v="387"/>
    <x v="39"/>
    <s v="3rd"/>
    <x v="7"/>
    <x v="0"/>
    <x v="1"/>
  </r>
  <r>
    <s v="AirIndia"/>
    <n v="1"/>
    <x v="1"/>
    <s v="&quot;Would never fly again&quot;"/>
    <x v="388"/>
    <x v="39"/>
    <s v="3rd"/>
    <x v="7"/>
    <x v="0"/>
    <x v="1"/>
  </r>
  <r>
    <s v="AirIndia"/>
    <n v="3"/>
    <x v="1"/>
    <s v="&quot;not friendly to customers&quot;"/>
    <x v="389"/>
    <x v="39"/>
    <s v="3rd"/>
    <x v="7"/>
    <x v="0"/>
    <x v="1"/>
  </r>
  <r>
    <s v="AirIndia"/>
    <n v="1"/>
    <x v="1"/>
    <s v="&quot;very bad experience in plane&quot;"/>
    <x v="390"/>
    <x v="39"/>
    <s v="3rd"/>
    <x v="7"/>
    <x v="0"/>
    <x v="1"/>
  </r>
  <r>
    <s v="AirIndia"/>
    <n v="7"/>
    <x v="0"/>
    <s v="&quot;food was improved&quot;"/>
    <x v="391"/>
    <x v="39"/>
    <s v="3rd"/>
    <x v="7"/>
    <x v="0"/>
    <x v="0"/>
  </r>
  <r>
    <s v="AirIndia"/>
    <n v="8"/>
    <x v="2"/>
    <s v="&quot;an excellent flight&quot;"/>
    <x v="392"/>
    <x v="40"/>
    <s v="19th"/>
    <x v="1"/>
    <x v="0"/>
    <x v="0"/>
  </r>
  <r>
    <s v="AirIndia"/>
    <n v="5"/>
    <x v="0"/>
    <s v="&quot;nervous about our journey back home&quot;"/>
    <x v="393"/>
    <x v="40"/>
    <s v="19th"/>
    <x v="1"/>
    <x v="0"/>
    <x v="1"/>
  </r>
  <r>
    <s v="AirIndia"/>
    <n v="1"/>
    <x v="1"/>
    <s v="&quot;Terrible customer service&quot;"/>
    <x v="394"/>
    <x v="40"/>
    <s v="19th"/>
    <x v="1"/>
    <x v="0"/>
    <x v="1"/>
  </r>
  <r>
    <s v="AirIndia"/>
    <n v="5"/>
    <x v="0"/>
    <s v="&quot;entertainment non existent&quot;"/>
    <x v="395"/>
    <x v="40"/>
    <s v="19th"/>
    <x v="1"/>
    <x v="0"/>
    <x v="1"/>
  </r>
  <r>
    <s v="AirIndia"/>
    <n v="2"/>
    <x v="1"/>
    <s v="&quot;Will not fly Air India again&quot;"/>
    <x v="396"/>
    <x v="40"/>
    <s v="19th"/>
    <x v="1"/>
    <x v="0"/>
    <x v="1"/>
  </r>
  <r>
    <s v="AirIndia"/>
    <n v="5"/>
    <x v="0"/>
    <s v="&quot;Air India are idling&quot;"/>
    <x v="397"/>
    <x v="40"/>
    <s v="19th"/>
    <x v="1"/>
    <x v="0"/>
    <x v="0"/>
  </r>
  <r>
    <s v="AirIndia"/>
    <n v="1"/>
    <x v="1"/>
    <s v="&quot;Never flying Air India again&quot;"/>
    <x v="398"/>
    <x v="40"/>
    <s v="19th"/>
    <x v="1"/>
    <x v="0"/>
    <x v="1"/>
  </r>
  <r>
    <s v="AirIndia"/>
    <n v="1"/>
    <x v="1"/>
    <s v="&quot;unfair and bad service&quot;"/>
    <x v="399"/>
    <x v="40"/>
    <s v="19th"/>
    <x v="1"/>
    <x v="0"/>
    <x v="1"/>
  </r>
  <r>
    <s v="AirIndia"/>
    <n v="3"/>
    <x v="1"/>
    <s v="&quot;Seat armrests are broken&quot;"/>
    <x v="400"/>
    <x v="40"/>
    <s v="19th"/>
    <x v="1"/>
    <x v="0"/>
    <x v="1"/>
  </r>
  <r>
    <s v="AirIndia"/>
    <n v="1"/>
    <x v="1"/>
    <s v="&quot;reluctant to help in any way&quot;"/>
    <x v="401"/>
    <x v="40"/>
    <s v="19th"/>
    <x v="1"/>
    <x v="0"/>
    <x v="1"/>
  </r>
  <r>
    <s v="AirIndia"/>
    <n v="2"/>
    <x v="1"/>
    <s v="&quot;Nothing was working at all&quot;"/>
    <x v="402"/>
    <x v="41"/>
    <s v="4th"/>
    <x v="1"/>
    <x v="0"/>
    <x v="1"/>
  </r>
  <r>
    <s v="AirIndia"/>
    <n v="1"/>
    <x v="1"/>
    <s v="&quot;scammed me for such a huge amount&quot;"/>
    <x v="403"/>
    <x v="41"/>
    <s v="4th"/>
    <x v="1"/>
    <x v="0"/>
    <x v="1"/>
  </r>
  <r>
    <s v="AirIndia"/>
    <n v="3"/>
    <x v="1"/>
    <s v="&quot;The flight experience was horrible&quot;"/>
    <x v="404"/>
    <x v="41"/>
    <s v="4th"/>
    <x v="1"/>
    <x v="0"/>
    <x v="1"/>
  </r>
  <r>
    <s v="AirIndia"/>
    <n v="5"/>
    <x v="0"/>
    <s v="&quot;Baggage service to be improved&quot;"/>
    <x v="405"/>
    <x v="41"/>
    <s v="4th"/>
    <x v="1"/>
    <x v="0"/>
    <x v="0"/>
  </r>
  <r>
    <s v="AirIndia"/>
    <n v="1"/>
    <x v="1"/>
    <s v="&quot;Extremely disgusted by Air India&quot;"/>
    <x v="406"/>
    <x v="41"/>
    <s v="4th"/>
    <x v="1"/>
    <x v="0"/>
    <x v="1"/>
  </r>
  <r>
    <s v="AirIndia"/>
    <n v="7"/>
    <x v="0"/>
    <s v="&quot;amazing legroom&quot;"/>
    <x v="407"/>
    <x v="41"/>
    <s v="4th"/>
    <x v="1"/>
    <x v="0"/>
    <x v="0"/>
  </r>
  <r>
    <s v="AirIndia"/>
    <n v="1"/>
    <x v="1"/>
    <s v="&quot;IFE screen does not work&quot;"/>
    <x v="408"/>
    <x v="41"/>
    <s v="4th"/>
    <x v="1"/>
    <x v="0"/>
    <x v="1"/>
  </r>
  <r>
    <s v="AirIndia"/>
    <n v="9"/>
    <x v="2"/>
    <s v="&quot;Flight was clean and neat&quot;"/>
    <x v="409"/>
    <x v="41"/>
    <s v="4th"/>
    <x v="1"/>
    <x v="0"/>
    <x v="0"/>
  </r>
  <r>
    <s v="AirIndia"/>
    <n v="10"/>
    <x v="2"/>
    <s v="&quot;Air India did not disappoint&quot;"/>
    <x v="410"/>
    <x v="41"/>
    <s v="4th"/>
    <x v="1"/>
    <x v="0"/>
    <x v="0"/>
  </r>
  <r>
    <s v="AirIndia"/>
    <n v="2"/>
    <x v="1"/>
    <s v="&quot;the worst I have ever flown with&quot;"/>
    <x v="411"/>
    <x v="41"/>
    <s v="4th"/>
    <x v="1"/>
    <x v="0"/>
    <x v="1"/>
  </r>
  <r>
    <s v="AirIndia"/>
    <n v="1"/>
    <x v="1"/>
    <s v="&quot;not a good customer experience&quot;"/>
    <x v="412"/>
    <x v="42"/>
    <s v="18th"/>
    <x v="10"/>
    <x v="0"/>
    <x v="1"/>
  </r>
  <r>
    <s v="AirIndia"/>
    <n v="1"/>
    <x v="1"/>
    <s v="&quot;Worst experience ever&quot;"/>
    <x v="413"/>
    <x v="42"/>
    <s v="18th"/>
    <x v="10"/>
    <x v="0"/>
    <x v="1"/>
  </r>
  <r>
    <s v="AirIndia"/>
    <n v="1"/>
    <x v="1"/>
    <s v="&quot;rude in their services&quot;"/>
    <x v="414"/>
    <x v="42"/>
    <s v="18th"/>
    <x v="10"/>
    <x v="0"/>
    <x v="1"/>
  </r>
  <r>
    <s v="AirIndia"/>
    <n v="4"/>
    <x v="1"/>
    <s v="&quot;my luggage was damaged&quot;"/>
    <x v="415"/>
    <x v="42"/>
    <s v="18th"/>
    <x v="10"/>
    <x v="0"/>
    <x v="1"/>
  </r>
  <r>
    <s v="AirIndia"/>
    <n v="10"/>
    <x v="2"/>
    <s v="&quot;I appreciate the attitude of the crew&quot;"/>
    <x v="416"/>
    <x v="42"/>
    <s v="18th"/>
    <x v="10"/>
    <x v="0"/>
    <x v="0"/>
  </r>
  <r>
    <s v="AirIndia"/>
    <n v="1"/>
    <x v="1"/>
    <s v="&quot;Appalling airline&quot;"/>
    <x v="417"/>
    <x v="42"/>
    <s v="18th"/>
    <x v="10"/>
    <x v="0"/>
    <x v="1"/>
  </r>
  <r>
    <s v="AirIndia"/>
    <n v="1"/>
    <x v="1"/>
    <s v="&quot;No accountability or professionalism&quot;"/>
    <x v="418"/>
    <x v="42"/>
    <s v="18th"/>
    <x v="10"/>
    <x v="0"/>
    <x v="1"/>
  </r>
  <r>
    <s v="AirIndia"/>
    <n v="3"/>
    <x v="1"/>
    <s v="&quot;Complete disaster&quot;"/>
    <x v="419"/>
    <x v="42"/>
    <s v="18th"/>
    <x v="10"/>
    <x v="0"/>
    <x v="1"/>
  </r>
  <r>
    <s v="AirIndia"/>
    <n v="1"/>
    <x v="1"/>
    <s v="&quot;A total disgrace&quot;"/>
    <x v="420"/>
    <x v="42"/>
    <s v="18th"/>
    <x v="10"/>
    <x v="0"/>
    <x v="1"/>
  </r>
  <r>
    <s v="AirIndia"/>
    <n v="5"/>
    <x v="0"/>
    <s v="&quot;the seats did not recline&quot;"/>
    <x v="421"/>
    <x v="42"/>
    <s v="18th"/>
    <x v="10"/>
    <x v="0"/>
    <x v="0"/>
  </r>
  <r>
    <s v="AirIndia"/>
    <n v="1"/>
    <x v="1"/>
    <s v="&quot;Horrible service&quot;"/>
    <x v="422"/>
    <x v="43"/>
    <s v="5th"/>
    <x v="10"/>
    <x v="0"/>
    <x v="1"/>
  </r>
  <r>
    <s v="AirIndia"/>
    <n v="1"/>
    <x v="1"/>
    <s v="&quot;I was very disappointed&quot;"/>
    <x v="423"/>
    <x v="43"/>
    <s v="5th"/>
    <x v="10"/>
    <x v="0"/>
    <x v="1"/>
  </r>
  <r>
    <s v="AirIndia"/>
    <n v="2"/>
    <x v="1"/>
    <s v="&quot;Service gone so down&quot;"/>
    <x v="424"/>
    <x v="43"/>
    <s v="5th"/>
    <x v="10"/>
    <x v="0"/>
    <x v="1"/>
  </r>
  <r>
    <s v="AirIndia"/>
    <n v="5"/>
    <x v="0"/>
    <s v="&quot;Food was below average quality&quot;"/>
    <x v="425"/>
    <x v="43"/>
    <s v="5th"/>
    <x v="10"/>
    <x v="0"/>
    <x v="0"/>
  </r>
  <r>
    <s v="AirIndia"/>
    <n v="3"/>
    <x v="1"/>
    <s v="&quot;Not a good value for money&quot;"/>
    <x v="426"/>
    <x v="43"/>
    <s v="5th"/>
    <x v="10"/>
    <x v="0"/>
    <x v="1"/>
  </r>
  <r>
    <s v="AirIndia"/>
    <n v="3"/>
    <x v="1"/>
    <s v="&quot;did not answer any call button&quot;"/>
    <x v="427"/>
    <x v="43"/>
    <s v="5th"/>
    <x v="10"/>
    <x v="0"/>
    <x v="0"/>
  </r>
  <r>
    <s v="AirIndia"/>
    <n v="1"/>
    <x v="1"/>
    <s v="&quot;beyond a horrible experience&quot;"/>
    <x v="428"/>
    <x v="43"/>
    <s v="5th"/>
    <x v="10"/>
    <x v="0"/>
    <x v="1"/>
  </r>
  <r>
    <s v="AirIndia"/>
    <n v="8"/>
    <x v="2"/>
    <s v="&quot;service was quite nice&quot;"/>
    <x v="429"/>
    <x v="43"/>
    <s v="5th"/>
    <x v="10"/>
    <x v="0"/>
    <x v="0"/>
  </r>
  <r>
    <s v="AirIndia"/>
    <n v="1"/>
    <x v="1"/>
    <s v="&quot;Very pathetic service&quot;"/>
    <x v="430"/>
    <x v="43"/>
    <s v="5th"/>
    <x v="10"/>
    <x v="0"/>
    <x v="1"/>
  </r>
  <r>
    <s v="AirIndia"/>
    <n v="1"/>
    <x v="1"/>
    <s v="&quot;never flying Air India again&quot;"/>
    <x v="431"/>
    <x v="43"/>
    <s v="5th"/>
    <x v="10"/>
    <x v="0"/>
    <x v="1"/>
  </r>
  <r>
    <s v="AirIndia"/>
    <n v="1"/>
    <x v="1"/>
    <s v="&quot;Cabin crew were extremely rude.&quot;"/>
    <x v="432"/>
    <x v="44"/>
    <s v="25th"/>
    <x v="5"/>
    <x v="0"/>
    <x v="1"/>
  </r>
  <r>
    <s v="AirIndia"/>
    <n v="4"/>
    <x v="1"/>
    <s v="&quot;unexpected and unhappy experience&quot;"/>
    <x v="433"/>
    <x v="44"/>
    <s v="25th"/>
    <x v="5"/>
    <x v="0"/>
    <x v="1"/>
  </r>
  <r>
    <s v="AirIndia"/>
    <n v="1"/>
    <x v="1"/>
    <s v="&quot; A big no for Air India&quot;"/>
    <x v="434"/>
    <x v="44"/>
    <s v="25th"/>
    <x v="5"/>
    <x v="0"/>
    <x v="1"/>
  </r>
  <r>
    <s v="AirIndia"/>
    <n v="1"/>
    <x v="1"/>
    <s v="&quot;Long delays are just norm&quot;"/>
    <x v="435"/>
    <x v="44"/>
    <s v="25th"/>
    <x v="5"/>
    <x v="0"/>
    <x v="1"/>
  </r>
  <r>
    <s v="AirIndia"/>
    <n v="2"/>
    <x v="1"/>
    <s v="&quot;Horrible experience&quot;"/>
    <x v="436"/>
    <x v="44"/>
    <s v="25th"/>
    <x v="5"/>
    <x v="0"/>
    <x v="1"/>
  </r>
  <r>
    <s v="AirIndia"/>
    <n v="1"/>
    <x v="1"/>
    <s v="&quot;do avoid at all costs&quot;"/>
    <x v="437"/>
    <x v="44"/>
    <s v="25th"/>
    <x v="5"/>
    <x v="0"/>
    <x v="1"/>
  </r>
  <r>
    <s v="AirIndia"/>
    <n v="4"/>
    <x v="1"/>
    <s v="&quot;Disrespectful and rude cabin crew&quot;"/>
    <x v="438"/>
    <x v="44"/>
    <s v="25th"/>
    <x v="5"/>
    <x v="0"/>
    <x v="1"/>
  </r>
  <r>
    <s v="AirIndia"/>
    <n v="2"/>
    <x v="1"/>
    <s v="&quot;entertainment system not working&quot;"/>
    <x v="439"/>
    <x v="44"/>
    <s v="25th"/>
    <x v="5"/>
    <x v="0"/>
    <x v="1"/>
  </r>
  <r>
    <s v="AirIndia"/>
    <n v="1"/>
    <x v="1"/>
    <s v="&quot;Seats were very uncomfortable&quot;"/>
    <x v="440"/>
    <x v="44"/>
    <s v="25th"/>
    <x v="5"/>
    <x v="0"/>
    <x v="1"/>
  </r>
  <r>
    <s v="AirIndia"/>
    <n v="1"/>
    <x v="1"/>
    <s v="&quot;Very uncooperative airline&quot;"/>
    <x v="441"/>
    <x v="44"/>
    <s v="25th"/>
    <x v="5"/>
    <x v="0"/>
    <x v="1"/>
  </r>
  <r>
    <s v="AirIndia"/>
    <n v="1"/>
    <x v="1"/>
    <s v="&quot;such a bad flight and experience&quot;"/>
    <x v="442"/>
    <x v="45"/>
    <s v="18th"/>
    <x v="5"/>
    <x v="0"/>
    <x v="1"/>
  </r>
  <r>
    <s v="AirIndia"/>
    <n v="4"/>
    <x v="1"/>
    <s v="&quot;So disappointing&quot;"/>
    <x v="443"/>
    <x v="45"/>
    <s v="18th"/>
    <x v="5"/>
    <x v="0"/>
    <x v="1"/>
  </r>
  <r>
    <s v="AirIndia"/>
    <n v="1"/>
    <x v="1"/>
    <s v="&quot;don't care about people&quot;"/>
    <x v="444"/>
    <x v="45"/>
    <s v="18th"/>
    <x v="5"/>
    <x v="0"/>
    <x v="1"/>
  </r>
  <r>
    <s v="AirIndia"/>
    <n v="2"/>
    <x v="1"/>
    <s v="&quot;non-customer friendly company&quot;"/>
    <x v="445"/>
    <x v="45"/>
    <s v="18th"/>
    <x v="5"/>
    <x v="0"/>
    <x v="1"/>
  </r>
  <r>
    <s v="AirIndia"/>
    <n v="2"/>
    <x v="1"/>
    <s v="&quot;a worst experience with check-in&quot;"/>
    <x v="446"/>
    <x v="45"/>
    <s v="18th"/>
    <x v="5"/>
    <x v="0"/>
    <x v="1"/>
  </r>
  <r>
    <s v="AirIndia"/>
    <n v="1"/>
    <x v="1"/>
    <s v="&quot;Never travel with this airline&quot;"/>
    <x v="447"/>
    <x v="45"/>
    <s v="18th"/>
    <x v="5"/>
    <x v="0"/>
    <x v="1"/>
  </r>
  <r>
    <s v="AirIndia"/>
    <n v="3"/>
    <x v="1"/>
    <s v="&quot;delayed for 12 hrs&quot;"/>
    <x v="448"/>
    <x v="45"/>
    <s v="18th"/>
    <x v="5"/>
    <x v="0"/>
    <x v="1"/>
  </r>
  <r>
    <s v="AirIndia"/>
    <n v="2"/>
    <x v="1"/>
    <s v="&quot;Very disappointed with the service&quot;"/>
    <x v="449"/>
    <x v="45"/>
    <s v="18th"/>
    <x v="5"/>
    <x v="0"/>
    <x v="1"/>
  </r>
  <r>
    <s v="AirIndia"/>
    <n v="1"/>
    <x v="1"/>
    <s v="&quot;Disgusting airline&quot;"/>
    <x v="450"/>
    <x v="45"/>
    <s v="18th"/>
    <x v="5"/>
    <x v="0"/>
    <x v="1"/>
  </r>
  <r>
    <s v="AirIndia"/>
    <n v="8"/>
    <x v="2"/>
    <s v="&quot;its prices are reasonable&quot;"/>
    <x v="451"/>
    <x v="45"/>
    <s v="18th"/>
    <x v="5"/>
    <x v="0"/>
    <x v="0"/>
  </r>
  <r>
    <s v="AirIndia"/>
    <n v="1"/>
    <x v="1"/>
    <s v="&quot;wouldn't recommend to anybody&quot;"/>
    <x v="452"/>
    <x v="46"/>
    <s v="27th"/>
    <x v="11"/>
    <x v="0"/>
    <x v="1"/>
  </r>
  <r>
    <s v="AirIndia"/>
    <n v="3"/>
    <x v="1"/>
    <s v="&quot;food was very bad and substandard&quot;"/>
    <x v="453"/>
    <x v="46"/>
    <s v="27th"/>
    <x v="11"/>
    <x v="0"/>
    <x v="1"/>
  </r>
  <r>
    <s v="AirIndia"/>
    <n v="1"/>
    <x v="1"/>
    <s v="&quot;poor services and management&quot;"/>
    <x v="454"/>
    <x v="46"/>
    <s v="27th"/>
    <x v="11"/>
    <x v="0"/>
    <x v="1"/>
  </r>
  <r>
    <s v="AirIndia"/>
    <n v="8"/>
    <x v="2"/>
    <s v="&quot;comfortable seats&quot;"/>
    <x v="12"/>
    <x v="46"/>
    <s v="27th"/>
    <x v="11"/>
    <x v="0"/>
    <x v="0"/>
  </r>
  <r>
    <s v="AirIndia"/>
    <n v="1"/>
    <x v="1"/>
    <s v="&quot;will not fly this airline&quot;"/>
    <x v="455"/>
    <x v="46"/>
    <s v="27th"/>
    <x v="11"/>
    <x v="0"/>
    <x v="1"/>
  </r>
  <r>
    <s v="AirIndia"/>
    <n v="4"/>
    <x v="1"/>
    <s v="&quot;bad quality of food&quot;"/>
    <x v="456"/>
    <x v="46"/>
    <s v="27th"/>
    <x v="11"/>
    <x v="0"/>
    <x v="1"/>
  </r>
  <r>
    <s v="AirIndia"/>
    <n v="7"/>
    <x v="0"/>
    <s v="&quot;A319 and leg room was better&quot;"/>
    <x v="12"/>
    <x v="46"/>
    <s v="27th"/>
    <x v="11"/>
    <x v="0"/>
    <x v="0"/>
  </r>
  <r>
    <s v="AirIndia"/>
    <n v="1"/>
    <x v="1"/>
    <s v="&quot;big difference in quality of service&quot;"/>
    <x v="457"/>
    <x v="46"/>
    <s v="27th"/>
    <x v="11"/>
    <x v="0"/>
    <x v="1"/>
  </r>
  <r>
    <s v="AirIndia"/>
    <n v="1"/>
    <x v="1"/>
    <s v="&quot;screens were not working&quot;"/>
    <x v="458"/>
    <x v="46"/>
    <s v="27th"/>
    <x v="11"/>
    <x v="0"/>
    <x v="1"/>
  </r>
  <r>
    <s v="AirIndia"/>
    <n v="1"/>
    <x v="1"/>
    <s v="&quot;Seats were poorly maintained&quot;"/>
    <x v="459"/>
    <x v="46"/>
    <s v="27th"/>
    <x v="11"/>
    <x v="0"/>
    <x v="1"/>
  </r>
  <r>
    <s v="AirIndia"/>
    <n v="2"/>
    <x v="1"/>
    <s v="&quot;worst experience of my life&quot;"/>
    <x v="460"/>
    <x v="47"/>
    <s v="14th"/>
    <x v="11"/>
    <x v="0"/>
    <x v="1"/>
  </r>
  <r>
    <s v="AirIndia"/>
    <n v="1"/>
    <x v="1"/>
    <s v="&quot;Customer service is very rude&quot;"/>
    <x v="461"/>
    <x v="47"/>
    <s v="14th"/>
    <x v="11"/>
    <x v="0"/>
    <x v="1"/>
  </r>
  <r>
    <s v="AirIndia"/>
    <n v="1"/>
    <x v="1"/>
    <s v="&quot;hygiene on these flights is horrendous&quot;"/>
    <x v="462"/>
    <x v="47"/>
    <s v="14th"/>
    <x v="11"/>
    <x v="0"/>
    <x v="1"/>
  </r>
  <r>
    <s v="AirIndia"/>
    <n v="9"/>
    <x v="2"/>
    <s v="&quot;Excellent experience on board&quot;"/>
    <x v="463"/>
    <x v="47"/>
    <s v="14th"/>
    <x v="11"/>
    <x v="0"/>
    <x v="0"/>
  </r>
  <r>
    <s v="AirIndia"/>
    <n v="1"/>
    <x v="1"/>
    <s v="&quot;2 day delay in our travel plan&quot;"/>
    <x v="464"/>
    <x v="47"/>
    <s v="14th"/>
    <x v="11"/>
    <x v="0"/>
    <x v="1"/>
  </r>
  <r>
    <s v="AirIndia"/>
    <n v="1"/>
    <x v="1"/>
    <s v="&quot;Air India is disgusting&quot;"/>
    <x v="465"/>
    <x v="47"/>
    <s v="14th"/>
    <x v="11"/>
    <x v="0"/>
    <x v="1"/>
  </r>
  <r>
    <s v="AirIndia"/>
    <n v="5"/>
    <x v="0"/>
    <s v="&quot;does not reflect well on the new owners&quot;"/>
    <x v="252"/>
    <x v="47"/>
    <s v="14th"/>
    <x v="11"/>
    <x v="0"/>
    <x v="1"/>
  </r>
  <r>
    <s v="AirIndia"/>
    <n v="1"/>
    <x v="1"/>
    <s v="&quot;check in was chaotic and unorganised&quot;"/>
    <x v="466"/>
    <x v="47"/>
    <s v="14th"/>
    <x v="11"/>
    <x v="0"/>
    <x v="1"/>
  </r>
  <r>
    <s v="AirIndia"/>
    <n v="7"/>
    <x v="0"/>
    <s v="&quot;&quot;"/>
    <x v="467"/>
    <x v="47"/>
    <s v="14th"/>
    <x v="11"/>
    <x v="0"/>
    <x v="0"/>
  </r>
  <r>
    <s v="AirIndia"/>
    <n v="5"/>
    <x v="0"/>
    <s v="&quot;dirty seats and covers&quot;"/>
    <x v="468"/>
    <x v="47"/>
    <s v="14th"/>
    <x v="11"/>
    <x v="0"/>
    <x v="1"/>
  </r>
  <r>
    <s v="AirIndia"/>
    <n v="1"/>
    <x v="1"/>
    <s v="&quot;Most disgusting service&quot;"/>
    <x v="450"/>
    <x v="48"/>
    <s v="2nd"/>
    <x v="11"/>
    <x v="0"/>
    <x v="1"/>
  </r>
  <r>
    <s v="AirIndia"/>
    <n v="9"/>
    <x v="2"/>
    <s v="&quot;staff were friendly and helpful&quot;"/>
    <x v="469"/>
    <x v="48"/>
    <s v="2nd"/>
    <x v="11"/>
    <x v="0"/>
    <x v="0"/>
  </r>
  <r>
    <s v="AirIndia"/>
    <n v="1"/>
    <x v="1"/>
    <s v="&quot;please avoid this airline&quot;"/>
    <x v="470"/>
    <x v="48"/>
    <s v="2nd"/>
    <x v="11"/>
    <x v="0"/>
    <x v="1"/>
  </r>
  <r>
    <s v="AirIndia"/>
    <n v="1"/>
    <x v="1"/>
    <s v="&quot;This flight was appalling&quot;"/>
    <x v="471"/>
    <x v="48"/>
    <s v="2nd"/>
    <x v="11"/>
    <x v="0"/>
    <x v="1"/>
  </r>
  <r>
    <s v="AirIndia"/>
    <n v="1"/>
    <x v="1"/>
    <s v="&quot;Never using the airline again&quot;"/>
    <x v="472"/>
    <x v="48"/>
    <s v="2nd"/>
    <x v="11"/>
    <x v="0"/>
    <x v="1"/>
  </r>
  <r>
    <s v="AirIndia"/>
    <n v="1"/>
    <x v="1"/>
    <s v="&quot;Worst experience of my life&quot;"/>
    <x v="473"/>
    <x v="48"/>
    <s v="2nd"/>
    <x v="11"/>
    <x v="0"/>
    <x v="1"/>
  </r>
  <r>
    <s v="AirIndia"/>
    <n v="1"/>
    <x v="1"/>
    <s v="&quot;Complete waste of money&quot;"/>
    <x v="220"/>
    <x v="48"/>
    <s v="2nd"/>
    <x v="11"/>
    <x v="0"/>
    <x v="1"/>
  </r>
  <r>
    <s v="AirIndia"/>
    <n v="10"/>
    <x v="2"/>
    <s v="&quot;Great food and customer service&quot;"/>
    <x v="474"/>
    <x v="48"/>
    <s v="2nd"/>
    <x v="11"/>
    <x v="0"/>
    <x v="0"/>
  </r>
  <r>
    <s v="AirIndia"/>
    <n v="3"/>
    <x v="1"/>
    <s v="&quot;dropped the ball here big time&quot;"/>
    <x v="475"/>
    <x v="48"/>
    <s v="2nd"/>
    <x v="11"/>
    <x v="0"/>
    <x v="1"/>
  </r>
  <r>
    <s v="AirIndia"/>
    <n v="10"/>
    <x v="2"/>
    <s v="&quot;outstanding hospitality&quot;"/>
    <x v="476"/>
    <x v="48"/>
    <s v="2nd"/>
    <x v="11"/>
    <x v="0"/>
    <x v="0"/>
  </r>
  <r>
    <s v="AirIndia"/>
    <n v="7"/>
    <x v="0"/>
    <s v="&quot;on time departure and arrival&quot;"/>
    <x v="477"/>
    <x v="49"/>
    <s v="11th"/>
    <x v="4"/>
    <x v="1"/>
    <x v="0"/>
  </r>
  <r>
    <s v="AirIndia"/>
    <n v="1"/>
    <x v="1"/>
    <s v="&quot;I would not recommend this airline&quot;"/>
    <x v="478"/>
    <x v="49"/>
    <s v="11th"/>
    <x v="4"/>
    <x v="1"/>
    <x v="1"/>
  </r>
  <r>
    <s v="AirIndia"/>
    <n v="1"/>
    <x v="1"/>
    <s v="&quot;Customer care and cabin crew are very rude and uncooperative&quot;"/>
    <x v="479"/>
    <x v="49"/>
    <s v="11th"/>
    <x v="4"/>
    <x v="1"/>
    <x v="1"/>
  </r>
  <r>
    <s v="AirIndia"/>
    <n v="2"/>
    <x v="1"/>
    <s v="&quot;Worst flight ever&quot;"/>
    <x v="480"/>
    <x v="49"/>
    <s v="11th"/>
    <x v="4"/>
    <x v="1"/>
    <x v="1"/>
  </r>
  <r>
    <s v="AirIndia"/>
    <n v="6"/>
    <x v="0"/>
    <s v="&quot;I am truly impressed&quot;"/>
    <x v="481"/>
    <x v="49"/>
    <s v="11th"/>
    <x v="4"/>
    <x v="1"/>
    <x v="1"/>
  </r>
  <r>
    <s v="AirIndia"/>
    <n v="9"/>
    <x v="2"/>
    <s v="&quot;cabin crew were absolutely delightful&quot;"/>
    <x v="482"/>
    <x v="49"/>
    <s v="11th"/>
    <x v="4"/>
    <x v="1"/>
    <x v="0"/>
  </r>
  <r>
    <s v="AirIndia"/>
    <n v="6"/>
    <x v="0"/>
    <s v="&quot;disappointed with the Customer Care&quot;"/>
    <x v="483"/>
    <x v="49"/>
    <s v="11th"/>
    <x v="4"/>
    <x v="1"/>
    <x v="0"/>
  </r>
  <r>
    <s v="AirIndia"/>
    <n v="9"/>
    <x v="2"/>
    <s v="&quot;Received very nice service&quot;"/>
    <x v="484"/>
    <x v="49"/>
    <s v="11th"/>
    <x v="4"/>
    <x v="1"/>
    <x v="0"/>
  </r>
  <r>
    <s v="AirIndia"/>
    <n v="2"/>
    <x v="1"/>
    <s v="&quot;Worst flight I have even taken&quot;"/>
    <x v="485"/>
    <x v="49"/>
    <s v="11th"/>
    <x v="4"/>
    <x v="1"/>
    <x v="1"/>
  </r>
  <r>
    <s v="AirIndia"/>
    <n v="5"/>
    <x v="0"/>
    <s v="&quot;The food was good&quot;"/>
    <x v="486"/>
    <x v="49"/>
    <s v="11th"/>
    <x v="4"/>
    <x v="1"/>
    <x v="1"/>
  </r>
  <r>
    <s v="AirIndia"/>
    <n v="1"/>
    <x v="1"/>
    <s v="&quot;Never going to fly with them again&quot;"/>
    <x v="487"/>
    <x v="50"/>
    <s v="19th"/>
    <x v="6"/>
    <x v="1"/>
    <x v="1"/>
  </r>
  <r>
    <s v="AirIndia"/>
    <n v="2"/>
    <x v="1"/>
    <s v="&quot;Food quality was extremely poor&quot;"/>
    <x v="488"/>
    <x v="50"/>
    <s v="19th"/>
    <x v="6"/>
    <x v="1"/>
    <x v="0"/>
  </r>
  <r>
    <s v="AirIndia"/>
    <n v="1"/>
    <x v="1"/>
    <s v="&quot;Worst airline ever&quot;"/>
    <x v="489"/>
    <x v="50"/>
    <s v="19th"/>
    <x v="6"/>
    <x v="1"/>
    <x v="1"/>
  </r>
  <r>
    <s v="AirIndia"/>
    <n v="1"/>
    <x v="1"/>
    <s v="&quot;there was no decent meal available&quot;"/>
    <x v="490"/>
    <x v="50"/>
    <s v="19th"/>
    <x v="6"/>
    <x v="1"/>
    <x v="1"/>
  </r>
  <r>
    <s v="AirIndia"/>
    <n v="2"/>
    <x v="1"/>
    <s v="&quot;Very poor service&quot;"/>
    <x v="491"/>
    <x v="50"/>
    <s v="19th"/>
    <x v="6"/>
    <x v="1"/>
    <x v="1"/>
  </r>
  <r>
    <s v="AirIndia"/>
    <n v="7"/>
    <x v="0"/>
    <s v="&quot;great value for money&quot;"/>
    <x v="492"/>
    <x v="50"/>
    <s v="19th"/>
    <x v="6"/>
    <x v="1"/>
    <x v="0"/>
  </r>
  <r>
    <s v="AirIndia"/>
    <n v="7"/>
    <x v="0"/>
    <s v="&quot;Good experience&quot;"/>
    <x v="12"/>
    <x v="50"/>
    <s v="19th"/>
    <x v="6"/>
    <x v="1"/>
    <x v="0"/>
  </r>
  <r>
    <s v="AirIndia"/>
    <n v="7"/>
    <x v="0"/>
    <s v="&quot;a very comfortable experience&quot;"/>
    <x v="493"/>
    <x v="50"/>
    <s v="19th"/>
    <x v="6"/>
    <x v="1"/>
    <x v="0"/>
  </r>
  <r>
    <s v="AirIndia"/>
    <n v="8"/>
    <x v="2"/>
    <s v="&quot;ticket was cheaper by 40%&quot;"/>
    <x v="494"/>
    <x v="50"/>
    <s v="19th"/>
    <x v="6"/>
    <x v="1"/>
    <x v="0"/>
  </r>
  <r>
    <s v="AirIndia"/>
    <n v="1"/>
    <x v="1"/>
    <s v="&quot;do not care for their customers&quot;"/>
    <x v="495"/>
    <x v="50"/>
    <s v="19th"/>
    <x v="6"/>
    <x v="1"/>
    <x v="1"/>
  </r>
  <r>
    <s v="AirIndia"/>
    <n v="1"/>
    <x v="1"/>
    <s v="&quot;seats were very uncomfortable&quot;"/>
    <x v="496"/>
    <x v="51"/>
    <s v="25th"/>
    <x v="0"/>
    <x v="1"/>
    <x v="1"/>
  </r>
  <r>
    <s v="AirIndia"/>
    <n v="1"/>
    <x v="1"/>
    <s v="&quot;Airport staff is not trained well&quot;"/>
    <x v="497"/>
    <x v="51"/>
    <s v="25th"/>
    <x v="0"/>
    <x v="1"/>
    <x v="1"/>
  </r>
  <r>
    <s v="AirIndia"/>
    <n v="3"/>
    <x v="1"/>
    <s v="2seats are broken in business class&quot;"/>
    <x v="498"/>
    <x v="51"/>
    <s v="25th"/>
    <x v="0"/>
    <x v="1"/>
    <x v="1"/>
  </r>
  <r>
    <s v="AirIndia"/>
    <n v="2"/>
    <x v="1"/>
    <s v="&quot;Donâ€™t fly Air India&quot;"/>
    <x v="499"/>
    <x v="51"/>
    <s v="25th"/>
    <x v="0"/>
    <x v="1"/>
    <x v="1"/>
  </r>
  <r>
    <s v="AirIndia"/>
    <n v="2"/>
    <x v="1"/>
    <s v="&quot;very poor experience&quot;"/>
    <x v="500"/>
    <x v="51"/>
    <s v="25th"/>
    <x v="0"/>
    <x v="1"/>
    <x v="1"/>
  </r>
  <r>
    <s v="AirIndia"/>
    <n v="9"/>
    <x v="2"/>
    <s v="&quot;very customer friendly&quot;"/>
    <x v="501"/>
    <x v="51"/>
    <s v="25th"/>
    <x v="0"/>
    <x v="1"/>
    <x v="0"/>
  </r>
  <r>
    <s v="AirIndia"/>
    <n v="10"/>
    <x v="2"/>
    <s v="&quot;experience has been improving&quot;"/>
    <x v="502"/>
    <x v="51"/>
    <s v="25th"/>
    <x v="0"/>
    <x v="1"/>
    <x v="0"/>
  </r>
  <r>
    <s v="AirIndia"/>
    <n v="1"/>
    <x v="1"/>
    <s v="&quot;Flight is the worst&quot;"/>
    <x v="503"/>
    <x v="51"/>
    <s v="25th"/>
    <x v="0"/>
    <x v="1"/>
    <x v="1"/>
  </r>
  <r>
    <s v="AirIndia"/>
    <n v="3"/>
    <x v="1"/>
    <s v="&quot;plane was not cleaned properly&quot;"/>
    <x v="504"/>
    <x v="51"/>
    <s v="25th"/>
    <x v="0"/>
    <x v="1"/>
    <x v="1"/>
  </r>
  <r>
    <s v="AirIndia"/>
    <n v="9"/>
    <x v="2"/>
    <s v="&quot;Her polite behavior was amazing&quot;"/>
    <x v="505"/>
    <x v="51"/>
    <s v="25th"/>
    <x v="0"/>
    <x v="1"/>
    <x v="0"/>
  </r>
  <r>
    <s v="AirIndia"/>
    <n v="9"/>
    <x v="2"/>
    <s v="&quot;smooth and comfortable flight&quot;"/>
    <x v="506"/>
    <x v="52"/>
    <s v="30th"/>
    <x v="2"/>
    <x v="1"/>
    <x v="0"/>
  </r>
  <r>
    <s v="AirIndia"/>
    <n v="8"/>
    <x v="2"/>
    <s v="&quot;a great experience for us2"/>
    <x v="507"/>
    <x v="52"/>
    <s v="30th"/>
    <x v="2"/>
    <x v="1"/>
    <x v="0"/>
  </r>
  <r>
    <s v="AirIndia"/>
    <n v="4"/>
    <x v="1"/>
    <s v="&quot;Outdated aircraft&quot;"/>
    <x v="508"/>
    <x v="52"/>
    <s v="30th"/>
    <x v="2"/>
    <x v="1"/>
    <x v="1"/>
  </r>
  <r>
    <s v="AirIndia"/>
    <n v="7"/>
    <x v="0"/>
    <s v="&quot;Will travel again&quot;"/>
    <x v="509"/>
    <x v="52"/>
    <s v="30th"/>
    <x v="2"/>
    <x v="1"/>
    <x v="0"/>
  </r>
  <r>
    <s v="AirIndia"/>
    <n v="8"/>
    <x v="2"/>
    <s v="&quot;Smooth experience&quot;"/>
    <x v="12"/>
    <x v="52"/>
    <s v="30th"/>
    <x v="2"/>
    <x v="1"/>
    <x v="0"/>
  </r>
  <r>
    <s v="AirIndia"/>
    <n v="7"/>
    <x v="0"/>
    <s v="&quot;offers 20kg baggage allowance&quot;"/>
    <x v="12"/>
    <x v="52"/>
    <s v="30th"/>
    <x v="2"/>
    <x v="1"/>
    <x v="0"/>
  </r>
  <r>
    <s v="AirIndia"/>
    <n v="1"/>
    <x v="1"/>
    <s v="&quot;We had the worst experience&quot;"/>
    <x v="510"/>
    <x v="52"/>
    <s v="30th"/>
    <x v="2"/>
    <x v="1"/>
    <x v="1"/>
  </r>
  <r>
    <s v="AirIndia"/>
    <n v="8"/>
    <x v="2"/>
    <s v="&quot;The airline has improved&quot;"/>
    <x v="511"/>
    <x v="52"/>
    <s v="30th"/>
    <x v="2"/>
    <x v="1"/>
    <x v="0"/>
  </r>
  <r>
    <s v="AirIndia"/>
    <n v="3"/>
    <x v="1"/>
    <s v="&quot;aircraft seats were torn and dirty&quot;"/>
    <x v="512"/>
    <x v="52"/>
    <s v="30th"/>
    <x v="2"/>
    <x v="1"/>
    <x v="1"/>
  </r>
  <r>
    <s v="AirIndia"/>
    <n v="1"/>
    <x v="1"/>
    <s v="&quot;supposedly too late for boarding&quot;"/>
    <x v="513"/>
    <x v="52"/>
    <s v="30th"/>
    <x v="2"/>
    <x v="1"/>
    <x v="1"/>
  </r>
  <r>
    <s v="AirIndia"/>
    <n v="1"/>
    <x v="1"/>
    <s v="&quot;won't fly Air India again&quot;"/>
    <x v="514"/>
    <x v="53"/>
    <s v="15th"/>
    <x v="2"/>
    <x v="1"/>
    <x v="1"/>
  </r>
  <r>
    <s v="AirIndia"/>
    <n v="6"/>
    <x v="0"/>
    <s v="&quot;new ownership is interested in cutting costs&quot;"/>
    <x v="515"/>
    <x v="53"/>
    <s v="15th"/>
    <x v="2"/>
    <x v="1"/>
    <x v="0"/>
  </r>
  <r>
    <s v="AirIndia"/>
    <n v="1"/>
    <x v="1"/>
    <s v="&quot;Worst flight I ever had&quot;"/>
    <x v="516"/>
    <x v="53"/>
    <s v="15th"/>
    <x v="2"/>
    <x v="1"/>
    <x v="1"/>
  </r>
  <r>
    <s v="AirIndia"/>
    <n v="3"/>
    <x v="1"/>
    <s v="&quot;Leg space was also very small&quot;"/>
    <x v="517"/>
    <x v="53"/>
    <s v="15th"/>
    <x v="2"/>
    <x v="1"/>
    <x v="1"/>
  </r>
  <r>
    <s v="AirIndia"/>
    <n v="1"/>
    <x v="1"/>
    <s v="&quot;Totally poor service&quot;"/>
    <x v="518"/>
    <x v="53"/>
    <s v="15th"/>
    <x v="2"/>
    <x v="1"/>
    <x v="1"/>
  </r>
  <r>
    <s v="AirIndia"/>
    <n v="1"/>
    <x v="1"/>
    <s v="&quot; My seat stopped reclining&quot;"/>
    <x v="519"/>
    <x v="53"/>
    <s v="15th"/>
    <x v="2"/>
    <x v="1"/>
    <x v="1"/>
  </r>
  <r>
    <s v="AirIndia"/>
    <n v="4"/>
    <x v="1"/>
    <s v="&quot;I decided to not fly Air India again&quot;"/>
    <x v="520"/>
    <x v="53"/>
    <s v="15th"/>
    <x v="2"/>
    <x v="1"/>
    <x v="1"/>
  </r>
  <r>
    <s v="AirIndia"/>
    <n v="3"/>
    <x v="1"/>
    <s v="&quot;Air India will certainly be my last option&quot;"/>
    <x v="521"/>
    <x v="53"/>
    <s v="15th"/>
    <x v="2"/>
    <x v="1"/>
    <x v="1"/>
  </r>
  <r>
    <s v="AirIndia"/>
    <n v="1"/>
    <x v="1"/>
    <s v="&quot;not cleaned since many of the past flights&quot;"/>
    <x v="522"/>
    <x v="53"/>
    <s v="15th"/>
    <x v="2"/>
    <x v="1"/>
    <x v="1"/>
  </r>
  <r>
    <s v="AirIndia"/>
    <n v="8"/>
    <x v="2"/>
    <s v="&quot;Overall good flight&quot;"/>
    <x v="523"/>
    <x v="53"/>
    <s v="15th"/>
    <x v="2"/>
    <x v="1"/>
    <x v="0"/>
  </r>
  <r>
    <s v="AirIndia"/>
    <n v="8"/>
    <x v="2"/>
    <s v="&quot;Staff were courteous&quot;"/>
    <x v="12"/>
    <x v="54"/>
    <s v="20th"/>
    <x v="8"/>
    <x v="1"/>
    <x v="0"/>
  </r>
  <r>
    <s v="AirIndia"/>
    <n v="4"/>
    <x v="1"/>
    <s v="&quot;Very disappointed with Air India&quot;"/>
    <x v="524"/>
    <x v="54"/>
    <s v="20th"/>
    <x v="8"/>
    <x v="1"/>
    <x v="1"/>
  </r>
  <r>
    <s v="AirIndia"/>
    <n v="8"/>
    <x v="2"/>
    <s v="&quot;I would recommend&quot;"/>
    <x v="525"/>
    <x v="54"/>
    <s v="20th"/>
    <x v="8"/>
    <x v="1"/>
    <x v="0"/>
  </r>
  <r>
    <s v="AirIndia"/>
    <n v="1"/>
    <x v="1"/>
    <s v="&quot;It was a nightmare for us&quot;"/>
    <x v="526"/>
    <x v="54"/>
    <s v="20th"/>
    <x v="8"/>
    <x v="1"/>
    <x v="1"/>
  </r>
  <r>
    <s v="AirIndia"/>
    <n v="8"/>
    <x v="2"/>
    <s v="&quot;stewards were efficient&quot;"/>
    <x v="527"/>
    <x v="54"/>
    <s v="20th"/>
    <x v="8"/>
    <x v="1"/>
    <x v="0"/>
  </r>
  <r>
    <s v="AirIndia"/>
    <n v="1"/>
    <x v="1"/>
    <s v="&quot;seat is not functioning&quot;"/>
    <x v="528"/>
    <x v="54"/>
    <s v="20th"/>
    <x v="8"/>
    <x v="1"/>
    <x v="1"/>
  </r>
  <r>
    <s v="AirIndia"/>
    <n v="10"/>
    <x v="2"/>
    <s v="&quot;Crew was attentive&quot;"/>
    <x v="523"/>
    <x v="54"/>
    <s v="20th"/>
    <x v="8"/>
    <x v="1"/>
    <x v="0"/>
  </r>
  <r>
    <s v="AirIndia"/>
    <n v="1"/>
    <x v="1"/>
    <s v="&quot;not worth the risk of flying with them&quot;"/>
    <x v="529"/>
    <x v="54"/>
    <s v="20th"/>
    <x v="8"/>
    <x v="1"/>
    <x v="1"/>
  </r>
  <r>
    <s v="AirIndia"/>
    <n v="2"/>
    <x v="1"/>
    <s v="&quot;providing low budget airline facilities&quot;"/>
    <x v="523"/>
    <x v="54"/>
    <s v="20th"/>
    <x v="8"/>
    <x v="1"/>
    <x v="1"/>
  </r>
  <r>
    <s v="AirIndia"/>
    <n v="1"/>
    <x v="1"/>
    <s v="&quot;first and the last time on Air India&quot;"/>
    <x v="530"/>
    <x v="54"/>
    <s v="20th"/>
    <x v="8"/>
    <x v="1"/>
    <x v="1"/>
  </r>
  <r>
    <s v="AirIndia"/>
    <n v="1"/>
    <x v="1"/>
    <s v="&quot;One of the worst experience&quot;"/>
    <x v="531"/>
    <x v="55"/>
    <s v="7th"/>
    <x v="8"/>
    <x v="1"/>
    <x v="1"/>
  </r>
  <r>
    <s v="AirIndia"/>
    <n v="1"/>
    <x v="1"/>
    <s v="&quot;Worst experience I have ever had&quot;"/>
    <x v="532"/>
    <x v="55"/>
    <s v="7th"/>
    <x v="8"/>
    <x v="1"/>
    <x v="1"/>
  </r>
  <r>
    <s v="AirIndia"/>
    <n v="1"/>
    <x v="1"/>
    <s v="&quot;not choose this airline&quot;"/>
    <x v="533"/>
    <x v="55"/>
    <s v="7th"/>
    <x v="8"/>
    <x v="1"/>
    <x v="1"/>
  </r>
  <r>
    <s v="AirIndia"/>
    <n v="2"/>
    <x v="1"/>
    <s v="&quot;I would not recommend this airline&quot;"/>
    <x v="534"/>
    <x v="55"/>
    <s v="7th"/>
    <x v="8"/>
    <x v="1"/>
    <x v="1"/>
  </r>
  <r>
    <s v="AirIndia"/>
    <n v="2"/>
    <x v="1"/>
    <s v="&quot;a dilapidated and outdated aircraft&quot;"/>
    <x v="535"/>
    <x v="55"/>
    <s v="7th"/>
    <x v="8"/>
    <x v="1"/>
    <x v="1"/>
  </r>
  <r>
    <s v="AirIndia"/>
    <n v="1"/>
    <x v="1"/>
    <s v="&quot;Never travel Air India&quot;"/>
    <x v="536"/>
    <x v="55"/>
    <s v="7th"/>
    <x v="8"/>
    <x v="1"/>
    <x v="1"/>
  </r>
  <r>
    <s v="AirIndia"/>
    <n v="2"/>
    <x v="1"/>
    <s v="&quot;Absolute worst airline and service&quot;"/>
    <x v="537"/>
    <x v="55"/>
    <s v="7th"/>
    <x v="8"/>
    <x v="1"/>
    <x v="1"/>
  </r>
  <r>
    <s v="AirIndia"/>
    <n v="1"/>
    <x v="1"/>
    <s v="&quot;Do not fly with them&quot;"/>
    <x v="538"/>
    <x v="55"/>
    <s v="7th"/>
    <x v="8"/>
    <x v="1"/>
    <x v="1"/>
  </r>
  <r>
    <s v="AirIndia"/>
    <n v="1"/>
    <x v="1"/>
    <s v="&quot;This is the worst airline&quot;"/>
    <x v="539"/>
    <x v="55"/>
    <s v="7th"/>
    <x v="8"/>
    <x v="1"/>
    <x v="1"/>
  </r>
  <r>
    <s v="AirIndia"/>
    <n v="2"/>
    <x v="1"/>
    <s v="&quot;It was a horror show&quot;"/>
    <x v="540"/>
    <x v="55"/>
    <s v="7th"/>
    <x v="8"/>
    <x v="1"/>
    <x v="1"/>
  </r>
  <r>
    <s v="AirIndia"/>
    <n v="7"/>
    <x v="0"/>
    <s v="&quot;I am severely disappointed&quot;"/>
    <x v="541"/>
    <x v="56"/>
    <s v="9th"/>
    <x v="9"/>
    <x v="1"/>
    <x v="0"/>
  </r>
  <r>
    <s v="AirIndia"/>
    <n v="8"/>
    <x v="2"/>
    <s v="&quot;surprisingly had a pleasant experience&quot;"/>
    <x v="542"/>
    <x v="56"/>
    <s v="9th"/>
    <x v="9"/>
    <x v="1"/>
    <x v="0"/>
  </r>
  <r>
    <s v="AirIndia"/>
    <n v="2"/>
    <x v="1"/>
    <s v="&quot;wouldn't choose to fly with Air India&quot;"/>
    <x v="543"/>
    <x v="56"/>
    <s v="9th"/>
    <x v="9"/>
    <x v="1"/>
    <x v="1"/>
  </r>
  <r>
    <s v="AirIndia"/>
    <n v="1"/>
    <x v="1"/>
    <s v="&quot;relates to my lost luggage&quot;"/>
    <x v="544"/>
    <x v="56"/>
    <s v="9th"/>
    <x v="9"/>
    <x v="1"/>
    <x v="1"/>
  </r>
  <r>
    <s v="AirIndia"/>
    <n v="1"/>
    <x v="1"/>
    <s v="&quot;Horrible, horrible airline&quot;"/>
    <x v="545"/>
    <x v="56"/>
    <s v="9th"/>
    <x v="9"/>
    <x v="1"/>
    <x v="1"/>
  </r>
  <r>
    <s v="AirIndia"/>
    <n v="1"/>
    <x v="1"/>
    <s v="&quot;the worst customer service&quot;"/>
    <x v="546"/>
    <x v="56"/>
    <s v="9th"/>
    <x v="9"/>
    <x v="1"/>
    <x v="1"/>
  </r>
  <r>
    <s v="AirIndia"/>
    <n v="2"/>
    <x v="1"/>
    <s v="&quot;cabin crew service was very rude&quot;"/>
    <x v="547"/>
    <x v="56"/>
    <s v="9th"/>
    <x v="9"/>
    <x v="1"/>
    <x v="1"/>
  </r>
  <r>
    <s v="AirIndia"/>
    <n v="1"/>
    <x v="1"/>
    <s v="&quot;the worst airline&quot;"/>
    <x v="548"/>
    <x v="56"/>
    <s v="9th"/>
    <x v="9"/>
    <x v="1"/>
    <x v="1"/>
  </r>
  <r>
    <s v="AirIndia"/>
    <n v="1"/>
    <x v="1"/>
    <s v="&quot;rude, unhelpful and unapologetic&quot;"/>
    <x v="549"/>
    <x v="56"/>
    <s v="9th"/>
    <x v="9"/>
    <x v="1"/>
    <x v="1"/>
  </r>
  <r>
    <s v="AirIndia"/>
    <n v="1"/>
    <x v="1"/>
    <s v="&quot;I was told that flight is overbooked&quot;"/>
    <x v="550"/>
    <x v="56"/>
    <s v="9th"/>
    <x v="9"/>
    <x v="1"/>
    <x v="1"/>
  </r>
  <r>
    <s v="AirIndia"/>
    <n v="1"/>
    <x v="1"/>
    <s v="&quot;Just appalled by the poor service&quot;"/>
    <x v="551"/>
    <x v="57"/>
    <s v="21st"/>
    <x v="7"/>
    <x v="1"/>
    <x v="1"/>
  </r>
  <r>
    <s v="AirIndia"/>
    <n v="1"/>
    <x v="1"/>
    <s v="&quot;not able to contact customer service&quot;"/>
    <x v="552"/>
    <x v="57"/>
    <s v="21st"/>
    <x v="7"/>
    <x v="1"/>
    <x v="1"/>
  </r>
  <r>
    <s v="AirIndia"/>
    <n v="1"/>
    <x v="1"/>
    <s v="&quot;Overall a poor experience&quot;"/>
    <x v="523"/>
    <x v="57"/>
    <s v="21st"/>
    <x v="7"/>
    <x v="1"/>
    <x v="1"/>
  </r>
  <r>
    <s v="AirIndia"/>
    <n v="1"/>
    <x v="1"/>
    <s v="&quot;first and last Air India experience&quot;"/>
    <x v="553"/>
    <x v="57"/>
    <s v="21st"/>
    <x v="7"/>
    <x v="1"/>
    <x v="1"/>
  </r>
  <r>
    <s v="AirIndia"/>
    <n v="8"/>
    <x v="2"/>
    <s v="&quot;found the flights enjoyable&quot;"/>
    <x v="554"/>
    <x v="57"/>
    <s v="21st"/>
    <x v="7"/>
    <x v="1"/>
    <x v="0"/>
  </r>
  <r>
    <s v="AirIndia"/>
    <n v="1"/>
    <x v="1"/>
    <s v="&quot;only 10% of the screens started working&quot;"/>
    <x v="555"/>
    <x v="57"/>
    <s v="21st"/>
    <x v="7"/>
    <x v="1"/>
    <x v="1"/>
  </r>
  <r>
    <s v="AirIndia"/>
    <n v="1"/>
    <x v="1"/>
    <s v="&quot;None of the TVs worked and no WIFI&quot;"/>
    <x v="556"/>
    <x v="57"/>
    <s v="21st"/>
    <x v="7"/>
    <x v="1"/>
    <x v="1"/>
  </r>
  <r>
    <s v="AirIndia"/>
    <n v="2"/>
    <x v="1"/>
    <s v="&quot;I will never fly with Air India again&quot;"/>
    <x v="557"/>
    <x v="57"/>
    <s v="21st"/>
    <x v="7"/>
    <x v="1"/>
    <x v="1"/>
  </r>
  <r>
    <s v="AirIndia"/>
    <n v="3"/>
    <x v="1"/>
    <s v="&quot;bad experience with this flight&quot;"/>
    <x v="558"/>
    <x v="57"/>
    <s v="21st"/>
    <x v="7"/>
    <x v="1"/>
    <x v="1"/>
  </r>
  <r>
    <s v="AirIndia"/>
    <n v="1"/>
    <x v="1"/>
    <s v="&quot;Horrible communication&quot;"/>
    <x v="559"/>
    <x v="57"/>
    <s v="21st"/>
    <x v="7"/>
    <x v="1"/>
    <x v="1"/>
  </r>
  <r>
    <s v="AirIndia"/>
    <n v="1"/>
    <x v="1"/>
    <s v="&quot;be ready for a very stressful travel if you choose this Airline&quot;"/>
    <x v="560"/>
    <x v="58"/>
    <s v="30th"/>
    <x v="1"/>
    <x v="1"/>
    <x v="1"/>
  </r>
  <r>
    <s v="AirIndia"/>
    <n v="1"/>
    <x v="1"/>
    <s v="&quot;Terrible customer support&quot;"/>
    <x v="561"/>
    <x v="58"/>
    <s v="30th"/>
    <x v="1"/>
    <x v="1"/>
    <x v="1"/>
  </r>
  <r>
    <s v="AirIndia"/>
    <n v="1"/>
    <x v="1"/>
    <s v="&quot;left stranded with very little options&quot;"/>
    <x v="562"/>
    <x v="58"/>
    <s v="30th"/>
    <x v="1"/>
    <x v="1"/>
    <x v="1"/>
  </r>
  <r>
    <s v="AirIndia"/>
    <n v="1"/>
    <x v="1"/>
    <s v="&quot;entertainment screen wasn't working&quot;"/>
    <x v="563"/>
    <x v="58"/>
    <s v="30th"/>
    <x v="1"/>
    <x v="1"/>
    <x v="1"/>
  </r>
  <r>
    <s v="AirIndia"/>
    <n v="1"/>
    <x v="1"/>
    <s v="&quot;Not recommending anymore&quot;"/>
    <x v="564"/>
    <x v="58"/>
    <s v="30th"/>
    <x v="1"/>
    <x v="1"/>
    <x v="1"/>
  </r>
  <r>
    <s v="AirIndia"/>
    <n v="1"/>
    <x v="1"/>
    <s v="&quot;Very disappointed by the attitude&quot;"/>
    <x v="565"/>
    <x v="58"/>
    <s v="30th"/>
    <x v="1"/>
    <x v="1"/>
    <x v="1"/>
  </r>
  <r>
    <s v="AirIndia"/>
    <n v="3"/>
    <x v="1"/>
    <s v="&quot;She was very unprofessional&quot;"/>
    <x v="566"/>
    <x v="58"/>
    <s v="30th"/>
    <x v="1"/>
    <x v="1"/>
    <x v="1"/>
  </r>
  <r>
    <s v="AirIndia"/>
    <n v="10"/>
    <x v="2"/>
    <s v="&quot;like to appreciate the ground staff&quot;"/>
    <x v="567"/>
    <x v="58"/>
    <s v="30th"/>
    <x v="1"/>
    <x v="1"/>
    <x v="0"/>
  </r>
  <r>
    <s v="AirIndia"/>
    <n v="2"/>
    <x v="1"/>
    <s v="&quot;It was the worst experience&quot;"/>
    <x v="568"/>
    <x v="58"/>
    <s v="30th"/>
    <x v="1"/>
    <x v="1"/>
    <x v="1"/>
  </r>
  <r>
    <s v="AirIndia"/>
    <n v="1"/>
    <x v="1"/>
    <s v="&quot;this was the worst experience&quot;"/>
    <x v="569"/>
    <x v="58"/>
    <s v="30th"/>
    <x v="1"/>
    <x v="1"/>
    <x v="1"/>
  </r>
  <r>
    <s v="AirIndia"/>
    <n v="1"/>
    <x v="1"/>
    <s v="&quot;One of the worst experiences&quot;"/>
    <x v="570"/>
    <x v="59"/>
    <s v="4th"/>
    <x v="1"/>
    <x v="1"/>
    <x v="1"/>
  </r>
  <r>
    <s v="AirIndia"/>
    <n v="2"/>
    <x v="1"/>
    <s v="&quot;nothing seems to have changed under the new ownership&quot;"/>
    <x v="571"/>
    <x v="59"/>
    <s v="4th"/>
    <x v="1"/>
    <x v="1"/>
    <x v="1"/>
  </r>
  <r>
    <s v="AirIndia"/>
    <n v="3"/>
    <x v="1"/>
    <s v="&quot;did not have pillows for passengers&quot;"/>
    <x v="572"/>
    <x v="59"/>
    <s v="4th"/>
    <x v="1"/>
    <x v="1"/>
    <x v="1"/>
  </r>
  <r>
    <s v="AirIndia"/>
    <n v="1"/>
    <x v="1"/>
    <s v="&quot;Never again Air India in my life&quot;"/>
    <x v="573"/>
    <x v="59"/>
    <s v="4th"/>
    <x v="1"/>
    <x v="1"/>
    <x v="1"/>
  </r>
  <r>
    <s v="AirIndia"/>
    <n v="1"/>
    <x v="1"/>
    <s v="&quot;a totally chaotic experience&quot;"/>
    <x v="574"/>
    <x v="59"/>
    <s v="4th"/>
    <x v="1"/>
    <x v="1"/>
    <x v="1"/>
  </r>
  <r>
    <s v="AirIndia"/>
    <n v="5"/>
    <x v="0"/>
    <s v="&quot;the food was the worst Iâ€™ve ever had&quot;"/>
    <x v="575"/>
    <x v="59"/>
    <s v="4th"/>
    <x v="1"/>
    <x v="1"/>
    <x v="0"/>
  </r>
  <r>
    <s v="AirIndia"/>
    <n v="1"/>
    <x v="1"/>
    <s v="&quot;Absolute worst flight experience&quot;"/>
    <x v="576"/>
    <x v="59"/>
    <s v="4th"/>
    <x v="1"/>
    <x v="1"/>
    <x v="1"/>
  </r>
  <r>
    <s v="AirIndia"/>
    <n v="1"/>
    <x v="1"/>
    <s v="&quot;an alternative flight was also not arranged&quot;"/>
    <x v="577"/>
    <x v="59"/>
    <s v="4th"/>
    <x v="1"/>
    <x v="1"/>
    <x v="1"/>
  </r>
  <r>
    <s v="AirIndia"/>
    <n v="3"/>
    <x v="1"/>
    <s v="&quot;most mediocre Business class&quot;"/>
    <x v="578"/>
    <x v="59"/>
    <s v="4th"/>
    <x v="1"/>
    <x v="1"/>
    <x v="1"/>
  </r>
  <r>
    <s v="AirIndia"/>
    <n v="1"/>
    <x v="1"/>
    <s v="&quot;doesn't care in the least about customer service&quot;"/>
    <x v="579"/>
    <x v="59"/>
    <s v="4th"/>
    <x v="1"/>
    <x v="1"/>
    <x v="1"/>
  </r>
  <r>
    <s v="AirIndia"/>
    <n v="7"/>
    <x v="0"/>
    <s v="&quot;In flight meal was good&quot;"/>
    <x v="12"/>
    <x v="60"/>
    <s v="13th"/>
    <x v="10"/>
    <x v="1"/>
    <x v="0"/>
  </r>
  <r>
    <s v="AirIndia"/>
    <n v="1"/>
    <x v="1"/>
    <s v="&quot;sublime torture on this 15.5 hour journey&quot;"/>
    <x v="580"/>
    <x v="60"/>
    <s v="13th"/>
    <x v="10"/>
    <x v="1"/>
    <x v="1"/>
  </r>
  <r>
    <s v="AirIndia"/>
    <n v="1"/>
    <x v="1"/>
    <s v="&quot;No entertainment on 16 hr flight&quot;"/>
    <x v="581"/>
    <x v="60"/>
    <s v="13th"/>
    <x v="10"/>
    <x v="1"/>
    <x v="1"/>
  </r>
  <r>
    <s v="AirIndia"/>
    <n v="1"/>
    <x v="1"/>
    <s v="&quot;Worst flight experience ever&quot;"/>
    <x v="582"/>
    <x v="60"/>
    <s v="13th"/>
    <x v="10"/>
    <x v="1"/>
    <x v="1"/>
  </r>
  <r>
    <s v="AirIndia"/>
    <n v="1"/>
    <x v="1"/>
    <s v="&quot;no proper accommodation provided&quot;"/>
    <x v="583"/>
    <x v="60"/>
    <s v="13th"/>
    <x v="10"/>
    <x v="1"/>
    <x v="1"/>
  </r>
  <r>
    <s v="AirIndia"/>
    <n v="1"/>
    <x v="1"/>
    <s v="&quot;do not recommend anyone to fly Air India&quot;"/>
    <x v="584"/>
    <x v="60"/>
    <s v="13th"/>
    <x v="10"/>
    <x v="1"/>
    <x v="1"/>
  </r>
  <r>
    <s v="AirIndia"/>
    <n v="1"/>
    <x v="1"/>
    <s v="&quot;plane was filthy,  entertainment non existent&quot;"/>
    <x v="585"/>
    <x v="60"/>
    <s v="13th"/>
    <x v="10"/>
    <x v="1"/>
    <x v="1"/>
  </r>
  <r>
    <s v="AirIndia"/>
    <n v="1"/>
    <x v="1"/>
    <s v="&quot;waiting for refund since last 1 year&quot;"/>
    <x v="586"/>
    <x v="60"/>
    <s v="13th"/>
    <x v="10"/>
    <x v="1"/>
    <x v="1"/>
  </r>
  <r>
    <s v="AirIndia"/>
    <n v="10"/>
    <x v="2"/>
    <s v="&quot;a great short flight&quot;"/>
    <x v="587"/>
    <x v="60"/>
    <s v="13th"/>
    <x v="10"/>
    <x v="1"/>
    <x v="0"/>
  </r>
  <r>
    <s v="AirIndia"/>
    <n v="1"/>
    <x v="1"/>
    <s v="&quot;not recommend anybody to travel with them&quot;"/>
    <x v="588"/>
    <x v="60"/>
    <s v="13th"/>
    <x v="10"/>
    <x v="1"/>
    <x v="1"/>
  </r>
  <r>
    <s v="AirIndia"/>
    <n v="1"/>
    <x v="1"/>
    <s v="&quot;Customer care support is worst&quot;"/>
    <x v="589"/>
    <x v="61"/>
    <s v="16th"/>
    <x v="11"/>
    <x v="1"/>
    <x v="1"/>
  </r>
  <r>
    <s v="AirIndia"/>
    <n v="1"/>
    <x v="1"/>
    <s v="&quot;havenâ€™t been able to refund me&quot;"/>
    <x v="590"/>
    <x v="61"/>
    <s v="16th"/>
    <x v="11"/>
    <x v="1"/>
    <x v="1"/>
  </r>
  <r>
    <s v="AirIndia"/>
    <n v="1"/>
    <x v="1"/>
    <s v="&quot;told now the change fee had increased&quot;"/>
    <x v="591"/>
    <x v="61"/>
    <s v="16th"/>
    <x v="11"/>
    <x v="1"/>
    <x v="1"/>
  </r>
  <r>
    <s v="AirIndia"/>
    <n v="1"/>
    <x v="1"/>
    <s v="&quot;Never travel with Air India again&quot;"/>
    <x v="592"/>
    <x v="61"/>
    <s v="16th"/>
    <x v="11"/>
    <x v="1"/>
    <x v="1"/>
  </r>
  <r>
    <s v="AirIndia"/>
    <n v="5"/>
    <x v="0"/>
    <s v="&quot;Booking a ticket online is such a pain&quot;"/>
    <x v="593"/>
    <x v="61"/>
    <s v="16th"/>
    <x v="11"/>
    <x v="1"/>
    <x v="1"/>
  </r>
  <r>
    <s v="AirIndia"/>
    <n v="6"/>
    <x v="0"/>
    <s v="&quot;I would say to not fly Air India &quot;"/>
    <x v="594"/>
    <x v="61"/>
    <s v="16th"/>
    <x v="11"/>
    <x v="1"/>
    <x v="1"/>
  </r>
  <r>
    <s v="AirIndia"/>
    <n v="1"/>
    <x v="1"/>
    <s v="&quot;Absolute horrendous experience!"/>
    <x v="595"/>
    <x v="61"/>
    <s v="16th"/>
    <x v="11"/>
    <x v="1"/>
    <x v="1"/>
  </r>
  <r>
    <s v="AirIndia"/>
    <n v="6"/>
    <x v="0"/>
    <s v="&quot;Boarding delay and nothing but chaos&quot;"/>
    <x v="596"/>
    <x v="61"/>
    <s v="16th"/>
    <x v="11"/>
    <x v="1"/>
    <x v="0"/>
  </r>
  <r>
    <s v="AirIndia"/>
    <n v="1"/>
    <x v="1"/>
    <s v="&quot;there is absolutely no clue what is going on&quot;"/>
    <x v="597"/>
    <x v="61"/>
    <s v="16th"/>
    <x v="11"/>
    <x v="1"/>
    <x v="1"/>
  </r>
  <r>
    <s v="AirIndia"/>
    <n v="1"/>
    <x v="1"/>
    <s v="&quot;Worst customer service experience&quot;"/>
    <x v="598"/>
    <x v="61"/>
    <s v="16th"/>
    <x v="11"/>
    <x v="1"/>
    <x v="1"/>
  </r>
  <r>
    <s v="AirIndia"/>
    <n v="1"/>
    <x v="1"/>
    <s v="&quot;not worth the money at all&quot;"/>
    <x v="599"/>
    <x v="62"/>
    <s v="2nd"/>
    <x v="4"/>
    <x v="2"/>
    <x v="1"/>
  </r>
  <r>
    <s v="AirIndia"/>
    <n v="10"/>
    <x v="2"/>
    <s v="&quot;good experience on this short sector&quot;"/>
    <x v="600"/>
    <x v="62"/>
    <s v="2nd"/>
    <x v="4"/>
    <x v="2"/>
    <x v="0"/>
  </r>
  <r>
    <s v="AirIndia"/>
    <n v="1"/>
    <x v="1"/>
    <s v="&quot;customer support has been absolutely pathetic&quot;"/>
    <x v="601"/>
    <x v="62"/>
    <s v="2nd"/>
    <x v="4"/>
    <x v="2"/>
    <x v="1"/>
  </r>
  <r>
    <s v="AirIndia"/>
    <n v="1"/>
    <x v="1"/>
    <s v="&quot;worst experience with this airline&quot;"/>
    <x v="602"/>
    <x v="62"/>
    <s v="2nd"/>
    <x v="4"/>
    <x v="2"/>
    <x v="1"/>
  </r>
  <r>
    <s v="AirIndia"/>
    <n v="1"/>
    <x v="1"/>
    <s v="&quot;the worst experience&quot;"/>
    <x v="603"/>
    <x v="62"/>
    <s v="2nd"/>
    <x v="4"/>
    <x v="2"/>
    <x v="1"/>
  </r>
  <r>
    <s v="AirIndia"/>
    <n v="1"/>
    <x v="1"/>
    <s v="&quot;they were not aware about the rule&quot;"/>
    <x v="604"/>
    <x v="62"/>
    <s v="2nd"/>
    <x v="4"/>
    <x v="2"/>
    <x v="1"/>
  </r>
  <r>
    <s v="AirIndia"/>
    <n v="2"/>
    <x v="1"/>
    <s v="&quot;lack of processes and untrained ground staff&quot;"/>
    <x v="605"/>
    <x v="62"/>
    <s v="2nd"/>
    <x v="4"/>
    <x v="2"/>
    <x v="1"/>
  </r>
  <r>
    <s v="AirIndia"/>
    <n v="1"/>
    <x v="1"/>
    <s v="&quot;Air India repeatedly disappoints&quot;"/>
    <x v="606"/>
    <x v="62"/>
    <s v="2nd"/>
    <x v="4"/>
    <x v="2"/>
    <x v="1"/>
  </r>
  <r>
    <s v="AirIndia"/>
    <n v="1"/>
    <x v="1"/>
    <s v="&quot;I never recommend Air India to anyone&quot;"/>
    <x v="607"/>
    <x v="62"/>
    <s v="2nd"/>
    <x v="4"/>
    <x v="2"/>
    <x v="1"/>
  </r>
  <r>
    <s v="AirIndia"/>
    <n v="2"/>
    <x v="1"/>
    <s v="&quot;the most disappointing experience&quot;"/>
    <x v="608"/>
    <x v="62"/>
    <s v="2nd"/>
    <x v="4"/>
    <x v="2"/>
    <x v="1"/>
  </r>
  <r>
    <s v="AirIndia"/>
    <n v="2"/>
    <x v="1"/>
    <s v="&quot;Services have downgraded tremendously&quot;"/>
    <x v="609"/>
    <x v="63"/>
    <s v="24th"/>
    <x v="0"/>
    <x v="2"/>
    <x v="1"/>
  </r>
  <r>
    <s v="AirIndia"/>
    <n v="2"/>
    <x v="1"/>
    <s v="&quot;don't have spaceto put my luggage&quot;"/>
    <x v="610"/>
    <x v="63"/>
    <s v="24th"/>
    <x v="0"/>
    <x v="2"/>
    <x v="1"/>
  </r>
  <r>
    <s v="AirIndia"/>
    <n v="1"/>
    <x v="1"/>
    <s v="&quot;bad experience with any airline&quot;"/>
    <x v="611"/>
    <x v="63"/>
    <s v="24th"/>
    <x v="0"/>
    <x v="2"/>
    <x v="1"/>
  </r>
  <r>
    <s v="AirIndia"/>
    <n v="2"/>
    <x v="1"/>
    <s v="&quot;Would not recommend Air India&quot;"/>
    <x v="612"/>
    <x v="63"/>
    <s v="24th"/>
    <x v="0"/>
    <x v="2"/>
    <x v="1"/>
  </r>
  <r>
    <s v="AirIndia"/>
    <n v="10"/>
    <x v="2"/>
    <s v="&quot;a wonderful experience&quot;"/>
    <x v="613"/>
    <x v="63"/>
    <s v="24th"/>
    <x v="0"/>
    <x v="2"/>
    <x v="0"/>
  </r>
  <r>
    <s v="AirIndia"/>
    <n v="1"/>
    <x v="1"/>
    <s v="&quot;unprofessional and rude customer service&quot;"/>
    <x v="614"/>
    <x v="63"/>
    <s v="24th"/>
    <x v="0"/>
    <x v="2"/>
    <x v="1"/>
  </r>
  <r>
    <s v="AirIndia"/>
    <n v="1"/>
    <x v="1"/>
    <s v="&quot;it has not been refunded&quot;"/>
    <x v="615"/>
    <x v="63"/>
    <s v="24th"/>
    <x v="0"/>
    <x v="2"/>
    <x v="1"/>
  </r>
  <r>
    <s v="AirIndia"/>
    <n v="10"/>
    <x v="2"/>
    <s v="&quot;he made sure I was all okay&quot;"/>
    <x v="616"/>
    <x v="63"/>
    <s v="24th"/>
    <x v="0"/>
    <x v="2"/>
    <x v="0"/>
  </r>
  <r>
    <s v="AirIndia"/>
    <n v="1"/>
    <x v="1"/>
    <s v="&quot;most terrible experience ever&quot;"/>
    <x v="617"/>
    <x v="63"/>
    <s v="24th"/>
    <x v="0"/>
    <x v="2"/>
    <x v="1"/>
  </r>
  <r>
    <s v="AirIndia"/>
    <n v="1"/>
    <x v="1"/>
    <s v="&quot;It was a nightmare&quot;"/>
    <x v="618"/>
    <x v="63"/>
    <s v="24th"/>
    <x v="0"/>
    <x v="2"/>
    <x v="1"/>
  </r>
  <r>
    <s v="AirIndia"/>
    <n v="1"/>
    <x v="1"/>
    <s v="&quot;Absolute nightmare&quot;"/>
    <x v="619"/>
    <x v="64"/>
    <s v="12th"/>
    <x v="2"/>
    <x v="2"/>
    <x v="1"/>
  </r>
  <r>
    <s v="AirIndia"/>
    <n v="1"/>
    <x v="1"/>
    <s v="&quot;they said that boarding is closed.&quot;"/>
    <x v="620"/>
    <x v="64"/>
    <s v="12th"/>
    <x v="2"/>
    <x v="2"/>
    <x v="1"/>
  </r>
  <r>
    <s v="AirIndia"/>
    <n v="1"/>
    <x v="1"/>
    <s v="&quot;assigned my seat to someone else&quot;"/>
    <x v="621"/>
    <x v="64"/>
    <s v="12th"/>
    <x v="2"/>
    <x v="2"/>
    <x v="1"/>
  </r>
  <r>
    <s v="AirIndia"/>
    <n v="1"/>
    <x v="1"/>
    <s v="&quot;there was no hygiene&quot;"/>
    <x v="622"/>
    <x v="64"/>
    <s v="12th"/>
    <x v="2"/>
    <x v="2"/>
    <x v="1"/>
  </r>
  <r>
    <s v="AirIndia"/>
    <n v="1"/>
    <x v="1"/>
    <s v="&quot;How can this airline treat passengers so casually?&quot;"/>
    <x v="623"/>
    <x v="64"/>
    <s v="12th"/>
    <x v="2"/>
    <x v="2"/>
    <x v="1"/>
  </r>
  <r>
    <s v="AirIndia"/>
    <n v="1"/>
    <x v="1"/>
    <s v="&quot;amount is not refundable&quot;"/>
    <x v="624"/>
    <x v="64"/>
    <s v="12th"/>
    <x v="2"/>
    <x v="2"/>
    <x v="1"/>
  </r>
  <r>
    <s v="AirIndia"/>
    <n v="2"/>
    <x v="1"/>
    <s v="&quot;not refunding the money&quot;"/>
    <x v="625"/>
    <x v="64"/>
    <s v="12th"/>
    <x v="2"/>
    <x v="2"/>
    <x v="1"/>
  </r>
  <r>
    <s v="AirIndia"/>
    <n v="1"/>
    <x v="1"/>
    <s v="&quot;good for nothing customer support&quot;"/>
    <x v="626"/>
    <x v="64"/>
    <s v="12th"/>
    <x v="2"/>
    <x v="2"/>
    <x v="1"/>
  </r>
  <r>
    <s v="AirIndia"/>
    <n v="1"/>
    <x v="1"/>
    <s v="&quot;significant delay in refunding money&quot;"/>
    <x v="627"/>
    <x v="64"/>
    <s v="12th"/>
    <x v="2"/>
    <x v="2"/>
    <x v="1"/>
  </r>
  <r>
    <s v="AirIndia"/>
    <n v="1"/>
    <x v="1"/>
    <s v="&quot;Is this airline out of their minds?&quot;"/>
    <x v="628"/>
    <x v="64"/>
    <s v="12th"/>
    <x v="2"/>
    <x v="2"/>
    <x v="1"/>
  </r>
  <r>
    <s v="AirIndia"/>
    <n v="1"/>
    <x v="1"/>
    <s v="&quot;their services are so pathetic&quot;"/>
    <x v="629"/>
    <x v="65"/>
    <s v="17th"/>
    <x v="3"/>
    <x v="2"/>
    <x v="1"/>
  </r>
  <r>
    <s v="AirIndia"/>
    <n v="1"/>
    <x v="1"/>
    <s v="&quot;Air India just doesn't care&quot;"/>
    <x v="630"/>
    <x v="65"/>
    <s v="17th"/>
    <x v="3"/>
    <x v="2"/>
    <x v="1"/>
  </r>
  <r>
    <s v="AirIndia"/>
    <n v="2"/>
    <x v="1"/>
    <s v="&quot;seats are not comfortable&quot;"/>
    <x v="631"/>
    <x v="65"/>
    <s v="17th"/>
    <x v="3"/>
    <x v="2"/>
    <x v="1"/>
  </r>
  <r>
    <s v="AirIndia"/>
    <n v="1"/>
    <x v="1"/>
    <s v="&quot;Donâ€™t ever use Air India&quot;"/>
    <x v="632"/>
    <x v="65"/>
    <s v="17th"/>
    <x v="3"/>
    <x v="2"/>
    <x v="1"/>
  </r>
  <r>
    <s v="AirIndia"/>
    <n v="1"/>
    <x v="1"/>
    <s v="&quot;Worst experience ever&quot;"/>
    <x v="633"/>
    <x v="65"/>
    <s v="17th"/>
    <x v="3"/>
    <x v="2"/>
    <x v="1"/>
  </r>
  <r>
    <s v="AirIndia"/>
    <n v="1"/>
    <x v="1"/>
    <s v="&quot;The worst customer service&quot;"/>
    <x v="634"/>
    <x v="65"/>
    <s v="17th"/>
    <x v="3"/>
    <x v="2"/>
    <x v="1"/>
  </r>
  <r>
    <s v="AirIndia"/>
    <n v="4"/>
    <x v="1"/>
    <s v="&quot;nearly 14 hrs without any entertainment&quot;"/>
    <x v="635"/>
    <x v="65"/>
    <s v="17th"/>
    <x v="3"/>
    <x v="2"/>
    <x v="1"/>
  </r>
  <r>
    <s v="AirIndia"/>
    <n v="5"/>
    <x v="0"/>
    <s v="&quot;phone chargers should be available&quot;"/>
    <x v="636"/>
    <x v="65"/>
    <s v="17th"/>
    <x v="3"/>
    <x v="2"/>
    <x v="0"/>
  </r>
  <r>
    <s v="AirIndia"/>
    <n v="4"/>
    <x v="1"/>
    <s v="&quot;the product is really sub par&quot;"/>
    <x v="637"/>
    <x v="65"/>
    <s v="17th"/>
    <x v="3"/>
    <x v="2"/>
    <x v="1"/>
  </r>
  <r>
    <s v="AirIndia"/>
    <n v="2"/>
    <x v="1"/>
    <s v="&quot;charged me 5040 rupees for 8kg&quot;"/>
    <x v="638"/>
    <x v="65"/>
    <s v="17th"/>
    <x v="3"/>
    <x v="2"/>
    <x v="1"/>
  </r>
  <r>
    <s v="AirIndia"/>
    <n v="9"/>
    <x v="2"/>
    <s v="&quot;it was worth the value&quot;"/>
    <x v="639"/>
    <x v="66"/>
    <s v="14th"/>
    <x v="10"/>
    <x v="2"/>
    <x v="0"/>
  </r>
  <r>
    <s v="AirIndia"/>
    <n v="1"/>
    <x v="1"/>
    <s v="&quot;charged Rs 20,000 for luggage weight&quot;"/>
    <x v="640"/>
    <x v="66"/>
    <s v="14th"/>
    <x v="10"/>
    <x v="2"/>
    <x v="1"/>
  </r>
  <r>
    <s v="AirIndia"/>
    <n v="1"/>
    <x v="1"/>
    <s v="&quot;flight has been re-scheduled three times&quot;"/>
    <x v="641"/>
    <x v="66"/>
    <s v="14th"/>
    <x v="10"/>
    <x v="2"/>
    <x v="1"/>
  </r>
  <r>
    <s v="AirIndia"/>
    <n v="1"/>
    <x v="1"/>
    <s v="&quot;Not following protocols or any rules&quot;"/>
    <x v="642"/>
    <x v="66"/>
    <s v="14th"/>
    <x v="10"/>
    <x v="2"/>
    <x v="1"/>
  </r>
  <r>
    <s v="AirIndia"/>
    <n v="7"/>
    <x v="0"/>
    <s v="&quot;the inflight experience was quite nice&quot;"/>
    <x v="252"/>
    <x v="66"/>
    <s v="14th"/>
    <x v="10"/>
    <x v="2"/>
    <x v="0"/>
  </r>
  <r>
    <s v="AirIndia"/>
    <n v="1"/>
    <x v="1"/>
    <s v="&quot;Worst staff behaviour ever!&quot;"/>
    <x v="643"/>
    <x v="66"/>
    <s v="14th"/>
    <x v="10"/>
    <x v="2"/>
    <x v="1"/>
  </r>
  <r>
    <s v="AirIndia"/>
    <n v="1"/>
    <x v="1"/>
    <s v="&quot;such a terrible experience&quot;"/>
    <x v="644"/>
    <x v="66"/>
    <s v="14th"/>
    <x v="10"/>
    <x v="2"/>
    <x v="1"/>
  </r>
  <r>
    <s v="AirIndia"/>
    <n v="1"/>
    <x v="1"/>
    <s v="&quot;Such a terrible airline&quot;"/>
    <x v="645"/>
    <x v="66"/>
    <s v="14th"/>
    <x v="10"/>
    <x v="2"/>
    <x v="1"/>
  </r>
  <r>
    <s v="AirIndia"/>
    <n v="2"/>
    <x v="1"/>
    <s v="&quot;Completely disgusted with my experience2"/>
    <x v="646"/>
    <x v="66"/>
    <s v="14th"/>
    <x v="10"/>
    <x v="2"/>
    <x v="1"/>
  </r>
  <r>
    <s v="AirIndia"/>
    <n v="3"/>
    <x v="1"/>
    <s v="&quot;bad experience as always&quot;"/>
    <x v="647"/>
    <x v="66"/>
    <s v="14th"/>
    <x v="10"/>
    <x v="2"/>
    <x v="1"/>
  </r>
  <r>
    <s v="Air India Express"/>
    <n v="1"/>
    <x v="1"/>
    <s v="&quot;The worst possible experience&quot;"/>
    <x v="648"/>
    <x v="67"/>
    <s v="12th"/>
    <x v="2"/>
    <x v="7"/>
    <x v="1"/>
  </r>
  <r>
    <s v="Air India Express"/>
    <n v="3"/>
    <x v="1"/>
    <s v="&quot;I feel it's more worst now&quot;"/>
    <x v="649"/>
    <x v="67"/>
    <s v="12th"/>
    <x v="2"/>
    <x v="7"/>
    <x v="1"/>
  </r>
  <r>
    <s v="Air India Express"/>
    <n v="1"/>
    <x v="1"/>
    <s v="â€œVery bad serviceâ€"/>
    <x v="650"/>
    <x v="67"/>
    <s v="12th"/>
    <x v="2"/>
    <x v="7"/>
    <x v="1"/>
  </r>
  <r>
    <s v="Air India Express"/>
    <n v="1"/>
    <x v="1"/>
    <s v="&quot;no information provided&quot;"/>
    <x v="651"/>
    <x v="67"/>
    <s v="12th"/>
    <x v="2"/>
    <x v="7"/>
    <x v="1"/>
  </r>
  <r>
    <s v="Air India Express"/>
    <n v="1"/>
    <x v="1"/>
    <s v="&quot;they refused to refund&quot;"/>
    <x v="652"/>
    <x v="67"/>
    <s v="12th"/>
    <x v="2"/>
    <x v="7"/>
    <x v="1"/>
  </r>
  <r>
    <s v="Air India Express"/>
    <n v="1"/>
    <x v="1"/>
    <s v="â€œEmployees behave badlyâ€"/>
    <x v="653"/>
    <x v="67"/>
    <s v="12th"/>
    <x v="2"/>
    <x v="7"/>
    <x v="1"/>
  </r>
  <r>
    <s v="Air India Express"/>
    <n v="1"/>
    <x v="1"/>
    <s v="&quot;Worst flight experience&quot;"/>
    <x v="654"/>
    <x v="67"/>
    <s v="12th"/>
    <x v="2"/>
    <x v="7"/>
    <x v="1"/>
  </r>
  <r>
    <s v="Air India Express"/>
    <n v="1"/>
    <x v="1"/>
    <s v="â€œno commitment to the clientsâ€"/>
    <x v="655"/>
    <x v="67"/>
    <s v="12th"/>
    <x v="2"/>
    <x v="7"/>
    <x v="1"/>
  </r>
  <r>
    <s v="Air India Express"/>
    <n v="1"/>
    <x v="1"/>
    <s v="&quot;Worst flight experience&quot;"/>
    <x v="656"/>
    <x v="67"/>
    <s v="12th"/>
    <x v="2"/>
    <x v="7"/>
    <x v="1"/>
  </r>
  <r>
    <s v="Air India Express"/>
    <n v="1"/>
    <x v="1"/>
    <s v="&quot;Frequently flight delays&quot;"/>
    <x v="657"/>
    <x v="67"/>
    <s v="12th"/>
    <x v="2"/>
    <x v="7"/>
    <x v="1"/>
  </r>
  <r>
    <s v="Air India Express"/>
    <n v="2"/>
    <x v="1"/>
    <s v="â€œI was really disappointedâ€"/>
    <x v="658"/>
    <x v="68"/>
    <s v="15th"/>
    <x v="3"/>
    <x v="7"/>
    <x v="1"/>
  </r>
  <r>
    <s v="Air India Express"/>
    <n v="1"/>
    <x v="1"/>
    <s v="â€œWorst flight experienceâ€"/>
    <x v="659"/>
    <x v="68"/>
    <s v="15th"/>
    <x v="3"/>
    <x v="7"/>
    <x v="1"/>
  </r>
  <r>
    <s v="Air India Express"/>
    <n v="2"/>
    <x v="1"/>
    <s v="â€œWhat a shame!â€"/>
    <x v="660"/>
    <x v="68"/>
    <s v="15th"/>
    <x v="3"/>
    <x v="7"/>
    <x v="1"/>
  </r>
  <r>
    <s v="Air India Express"/>
    <n v="1"/>
    <x v="1"/>
    <s v="&quot;huge amount on the extra bag&quot;"/>
    <x v="661"/>
    <x v="68"/>
    <s v="15th"/>
    <x v="3"/>
    <x v="7"/>
    <x v="1"/>
  </r>
  <r>
    <s v="Air India Express"/>
    <n v="1"/>
    <x v="1"/>
    <s v="&quot;told to check in our cabin baggage&quot;"/>
    <x v="662"/>
    <x v="68"/>
    <s v="15th"/>
    <x v="3"/>
    <x v="7"/>
    <x v="1"/>
  </r>
  <r>
    <s v="Air India Express"/>
    <n v="2"/>
    <x v="1"/>
    <s v="&quot;Very worst service&quot;"/>
    <x v="663"/>
    <x v="68"/>
    <s v="15th"/>
    <x v="3"/>
    <x v="7"/>
    <x v="1"/>
  </r>
  <r>
    <s v="Air India Express"/>
    <n v="8"/>
    <x v="2"/>
    <s v="&quot;appreciate his professionalism&quot;"/>
    <x v="664"/>
    <x v="68"/>
    <s v="15th"/>
    <x v="3"/>
    <x v="7"/>
    <x v="0"/>
  </r>
  <r>
    <s v="Air India Express"/>
    <n v="1"/>
    <x v="1"/>
    <s v="&quot;Worst staff service&quot;"/>
    <x v="665"/>
    <x v="68"/>
    <s v="15th"/>
    <x v="3"/>
    <x v="7"/>
    <x v="1"/>
  </r>
  <r>
    <s v="Air India Express"/>
    <n v="7"/>
    <x v="0"/>
    <s v="&quot;feeling trapped in the flight&quot;"/>
    <x v="666"/>
    <x v="68"/>
    <s v="15th"/>
    <x v="3"/>
    <x v="7"/>
    <x v="0"/>
  </r>
  <r>
    <s v="Air India Express"/>
    <n v="1"/>
    <x v="1"/>
    <s v="&quot;Worst airline ever&quot;"/>
    <x v="667"/>
    <x v="68"/>
    <s v="15th"/>
    <x v="3"/>
    <x v="7"/>
    <x v="1"/>
  </r>
  <r>
    <s v="Air India Express"/>
    <n v="3"/>
    <x v="1"/>
    <s v="&quot;Worst crew I've ever flown with&quot;"/>
    <x v="668"/>
    <x v="69"/>
    <s v="3rd"/>
    <x v="5"/>
    <x v="7"/>
    <x v="1"/>
  </r>
  <r>
    <s v="Air India Express"/>
    <n v="1"/>
    <x v="1"/>
    <s v="&quot;flight experience was worst&quot;"/>
    <x v="669"/>
    <x v="69"/>
    <s v="3rd"/>
    <x v="5"/>
    <x v="7"/>
    <x v="1"/>
  </r>
  <r>
    <s v="Air India Express"/>
    <n v="1"/>
    <x v="1"/>
    <s v="&quot;No proper communication&quot;"/>
    <x v="670"/>
    <x v="69"/>
    <s v="3rd"/>
    <x v="5"/>
    <x v="7"/>
    <x v="1"/>
  </r>
  <r>
    <s v="Air India Express"/>
    <n v="1"/>
    <x v="1"/>
    <s v="&quot;never recommend Air India&quot;"/>
    <x v="671"/>
    <x v="69"/>
    <s v="3rd"/>
    <x v="5"/>
    <x v="7"/>
    <x v="1"/>
  </r>
  <r>
    <s v="Air India Express"/>
    <n v="8"/>
    <x v="2"/>
    <s v="&quot;Thanks for their support&quot;"/>
    <x v="672"/>
    <x v="69"/>
    <s v="3rd"/>
    <x v="5"/>
    <x v="7"/>
    <x v="0"/>
  </r>
  <r>
    <s v="Air India Express"/>
    <n v="1"/>
    <x v="1"/>
    <s v="&quot;did not enjoy my flight&quot;"/>
    <x v="673"/>
    <x v="69"/>
    <s v="3rd"/>
    <x v="5"/>
    <x v="7"/>
    <x v="1"/>
  </r>
  <r>
    <s v="Air India Express"/>
    <n v="1"/>
    <x v="1"/>
    <s v="&quot;never travel again in this airline&quot;"/>
    <x v="674"/>
    <x v="69"/>
    <s v="3rd"/>
    <x v="5"/>
    <x v="7"/>
    <x v="1"/>
  </r>
  <r>
    <s v="Air India Express"/>
    <n v="1"/>
    <x v="1"/>
    <s v="&quot;the worst experience&quot;"/>
    <x v="675"/>
    <x v="69"/>
    <s v="3rd"/>
    <x v="5"/>
    <x v="7"/>
    <x v="1"/>
  </r>
  <r>
    <s v="Air India Express"/>
    <n v="1"/>
    <x v="1"/>
    <s v="&quot;It is a worst service&quot;"/>
    <x v="676"/>
    <x v="69"/>
    <s v="3rd"/>
    <x v="5"/>
    <x v="7"/>
    <x v="1"/>
  </r>
  <r>
    <s v="Air India Express"/>
    <n v="1"/>
    <x v="1"/>
    <s v="&quot;One of the worst airline services&quot;"/>
    <x v="677"/>
    <x v="69"/>
    <s v="3rd"/>
    <x v="5"/>
    <x v="7"/>
    <x v="1"/>
  </r>
  <r>
    <s v="Air India Express"/>
    <n v="1"/>
    <x v="1"/>
    <s v="&quot;canceled the flight without any information&quot;"/>
    <x v="678"/>
    <x v="70"/>
    <s v="20th"/>
    <x v="2"/>
    <x v="0"/>
    <x v="1"/>
  </r>
  <r>
    <s v="Air India Express"/>
    <n v="1"/>
    <x v="1"/>
    <s v="&quot;not a pleasant or comfortable experience&quot;"/>
    <x v="679"/>
    <x v="70"/>
    <s v="20th"/>
    <x v="2"/>
    <x v="0"/>
    <x v="1"/>
  </r>
  <r>
    <s v="Air India Express"/>
    <n v="1"/>
    <x v="1"/>
    <s v="&quot;charge you for every 1 Kg&quot;"/>
    <x v="680"/>
    <x v="70"/>
    <s v="20th"/>
    <x v="2"/>
    <x v="0"/>
    <x v="1"/>
  </r>
  <r>
    <s v="Air India Express"/>
    <n v="2"/>
    <x v="1"/>
    <s v="&quot;utter wastage of money and time&quot;"/>
    <x v="681"/>
    <x v="70"/>
    <s v="20th"/>
    <x v="2"/>
    <x v="0"/>
    <x v="1"/>
  </r>
  <r>
    <s v="Air India Express"/>
    <n v="7"/>
    <x v="0"/>
    <s v="&quot;Cabin crews were friendly&quot;"/>
    <x v="682"/>
    <x v="70"/>
    <s v="20th"/>
    <x v="2"/>
    <x v="0"/>
    <x v="0"/>
  </r>
  <r>
    <s v="Air India Express"/>
    <n v="1"/>
    <x v="1"/>
    <s v="&quot;they broke my new luggage&quot;"/>
    <x v="683"/>
    <x v="70"/>
    <s v="20th"/>
    <x v="2"/>
    <x v="0"/>
    <x v="1"/>
  </r>
  <r>
    <s v="Air India Express"/>
    <n v="1"/>
    <x v="1"/>
    <s v="&quot;delayed by more than 3 hours&quot;"/>
    <x v="684"/>
    <x v="70"/>
    <s v="20th"/>
    <x v="2"/>
    <x v="0"/>
    <x v="1"/>
  </r>
  <r>
    <s v="Air India Express"/>
    <n v="5"/>
    <x v="0"/>
    <s v="&quot;a budget flight but with a high fare&quot;"/>
    <x v="685"/>
    <x v="70"/>
    <s v="20th"/>
    <x v="2"/>
    <x v="0"/>
    <x v="1"/>
  </r>
  <r>
    <s v="Air India Express"/>
    <n v="2"/>
    <x v="1"/>
    <s v="&quot;don't recommend this airline&quot;"/>
    <x v="686"/>
    <x v="70"/>
    <s v="20th"/>
    <x v="2"/>
    <x v="0"/>
    <x v="1"/>
  </r>
  <r>
    <s v="Air India Express"/>
    <n v="8"/>
    <x v="2"/>
    <s v="&quot;accommodative and hospitable&quot;"/>
    <x v="687"/>
    <x v="70"/>
    <s v="20th"/>
    <x v="2"/>
    <x v="0"/>
    <x v="0"/>
  </r>
  <r>
    <s v="Air India Express"/>
    <n v="10"/>
    <x v="2"/>
    <s v="&quot;Very good healthy food&quot;"/>
    <x v="688"/>
    <x v="71"/>
    <s v="4th"/>
    <x v="10"/>
    <x v="0"/>
    <x v="0"/>
  </r>
  <r>
    <s v="Air India Express"/>
    <n v="1"/>
    <x v="1"/>
    <s v="&quot;entire staff are rude&quot;"/>
    <x v="689"/>
    <x v="71"/>
    <s v="4th"/>
    <x v="10"/>
    <x v="0"/>
    <x v="1"/>
  </r>
  <r>
    <s v="Air India Express"/>
    <n v="1"/>
    <x v="1"/>
    <s v="&quot;poor service&quot;"/>
    <x v="690"/>
    <x v="71"/>
    <s v="4th"/>
    <x v="10"/>
    <x v="0"/>
    <x v="1"/>
  </r>
  <r>
    <s v="Air India Express"/>
    <n v="1"/>
    <x v="1"/>
    <s v="&quot;delayed for 24 hours and no prior information&quot;"/>
    <x v="691"/>
    <x v="71"/>
    <s v="4th"/>
    <x v="10"/>
    <x v="0"/>
    <x v="1"/>
  </r>
  <r>
    <s v="Air India Express"/>
    <n v="1"/>
    <x v="1"/>
    <s v="&quot;Not value for money&quot;"/>
    <x v="692"/>
    <x v="71"/>
    <s v="4th"/>
    <x v="10"/>
    <x v="0"/>
    <x v="1"/>
  </r>
  <r>
    <s v="Air India Express"/>
    <n v="1"/>
    <x v="1"/>
    <s v="&quot;This airline is not worth the money&quot;"/>
    <x v="693"/>
    <x v="71"/>
    <s v="4th"/>
    <x v="10"/>
    <x v="0"/>
    <x v="1"/>
  </r>
  <r>
    <s v="Air India Express"/>
    <n v="8"/>
    <x v="2"/>
    <s v="&quot;It is value for money&quot;"/>
    <x v="694"/>
    <x v="71"/>
    <s v="4th"/>
    <x v="10"/>
    <x v="0"/>
    <x v="0"/>
  </r>
  <r>
    <s v="Air India Express"/>
    <n v="1"/>
    <x v="1"/>
    <s v="&quot;horrible customer service&quot;"/>
    <x v="695"/>
    <x v="71"/>
    <s v="4th"/>
    <x v="10"/>
    <x v="0"/>
    <x v="1"/>
  </r>
  <r>
    <s v="Air India Express"/>
    <n v="1"/>
    <x v="1"/>
    <s v="&quot;Such a pathetic service&quot;"/>
    <x v="696"/>
    <x v="71"/>
    <s v="4th"/>
    <x v="10"/>
    <x v="0"/>
    <x v="1"/>
  </r>
  <r>
    <s v="Air India Express"/>
    <n v="1"/>
    <x v="1"/>
    <s v="&quot;What a pathetic airline&quot;"/>
    <x v="697"/>
    <x v="71"/>
    <s v="4th"/>
    <x v="10"/>
    <x v="0"/>
    <x v="1"/>
  </r>
  <r>
    <s v="Air India Express"/>
    <n v="1"/>
    <x v="1"/>
    <s v="&quot;I have not received refund yet&quot;"/>
    <x v="698"/>
    <x v="72"/>
    <s v="9th"/>
    <x v="4"/>
    <x v="2"/>
    <x v="1"/>
  </r>
  <r>
    <s v="Air India Express"/>
    <n v="1"/>
    <x v="1"/>
    <s v="&quot;This was very disappointing&quot;"/>
    <x v="699"/>
    <x v="72"/>
    <s v="9th"/>
    <x v="4"/>
    <x v="2"/>
    <x v="1"/>
  </r>
  <r>
    <s v="Air India Express"/>
    <n v="8"/>
    <x v="2"/>
    <s v="&quot;crew surprisingly good&quot;"/>
    <x v="700"/>
    <x v="72"/>
    <s v="9th"/>
    <x v="4"/>
    <x v="2"/>
    <x v="1"/>
  </r>
  <r>
    <s v="Air India Express"/>
    <n v="1"/>
    <x v="1"/>
    <s v="&quot;A very unhappy customer&quot;"/>
    <x v="701"/>
    <x v="72"/>
    <s v="9th"/>
    <x v="4"/>
    <x v="2"/>
    <x v="1"/>
  </r>
  <r>
    <s v="Air India Express"/>
    <n v="1"/>
    <x v="1"/>
    <s v="&quot;really upset about your service&quot;"/>
    <x v="702"/>
    <x v="72"/>
    <s v="9th"/>
    <x v="4"/>
    <x v="2"/>
    <x v="1"/>
  </r>
  <r>
    <s v="Air India Express"/>
    <n v="1"/>
    <x v="1"/>
    <s v="&quot;I did not get a refund yet&quot;"/>
    <x v="703"/>
    <x v="72"/>
    <s v="9th"/>
    <x v="4"/>
    <x v="2"/>
    <x v="1"/>
  </r>
  <r>
    <s v="Air India Express"/>
    <n v="8"/>
    <x v="2"/>
    <s v="&quot;made me very comfortable&quot;"/>
    <x v="704"/>
    <x v="72"/>
    <s v="9th"/>
    <x v="4"/>
    <x v="2"/>
    <x v="0"/>
  </r>
  <r>
    <s v="Air India Express"/>
    <n v="3"/>
    <x v="1"/>
    <s v="&quot;until now I have no response&quot;"/>
    <x v="705"/>
    <x v="72"/>
    <s v="9th"/>
    <x v="4"/>
    <x v="2"/>
    <x v="1"/>
  </r>
  <r>
    <s v="Air India Express"/>
    <n v="3"/>
    <x v="1"/>
    <s v="&quot;Very poor customer service&quot;"/>
    <x v="706"/>
    <x v="72"/>
    <s v="9th"/>
    <x v="4"/>
    <x v="2"/>
    <x v="1"/>
  </r>
  <r>
    <s v="Air India Express"/>
    <n v="8"/>
    <x v="2"/>
    <s v="&quot;took off and landed on time&quot;"/>
    <x v="707"/>
    <x v="72"/>
    <s v="9th"/>
    <x v="4"/>
    <x v="2"/>
    <x v="0"/>
  </r>
  <r>
    <s v="Air India Express"/>
    <n v="1"/>
    <x v="1"/>
    <s v="&quot;I expect to be compensated&quot;"/>
    <x v="708"/>
    <x v="73"/>
    <s v="14th"/>
    <x v="5"/>
    <x v="3"/>
    <x v="1"/>
  </r>
  <r>
    <s v="Air India Express"/>
    <n v="10"/>
    <x v="2"/>
    <s v="&quot;Excellent Service&quot;"/>
    <x v="709"/>
    <x v="73"/>
    <s v="14th"/>
    <x v="5"/>
    <x v="3"/>
    <x v="0"/>
  </r>
  <r>
    <s v="Air India Express"/>
    <n v="3"/>
    <x v="1"/>
    <s v="&quot;refund system is very bad&quot;"/>
    <x v="710"/>
    <x v="73"/>
    <s v="14th"/>
    <x v="5"/>
    <x v="3"/>
    <x v="1"/>
  </r>
  <r>
    <s v="Air India Express"/>
    <n v="3"/>
    <x v="1"/>
    <s v="&quot;no single entertainment&quot;"/>
    <x v="711"/>
    <x v="73"/>
    <s v="14th"/>
    <x v="5"/>
    <x v="3"/>
    <x v="0"/>
  </r>
  <r>
    <s v="Air India Express"/>
    <n v="7"/>
    <x v="0"/>
    <s v="&quot;a pleasant flight&quot;"/>
    <x v="712"/>
    <x v="73"/>
    <s v="14th"/>
    <x v="5"/>
    <x v="3"/>
    <x v="0"/>
  </r>
  <r>
    <s v="Air India Express"/>
    <n v="2"/>
    <x v="1"/>
    <s v="&quot;Worst experience I ever had&quot;"/>
    <x v="713"/>
    <x v="73"/>
    <s v="14th"/>
    <x v="5"/>
    <x v="3"/>
    <x v="1"/>
  </r>
  <r>
    <s v="Air India Express"/>
    <n v="4"/>
    <x v="1"/>
    <s v="&quot;no one cares to reply&quot;"/>
    <x v="714"/>
    <x v="73"/>
    <s v="14th"/>
    <x v="5"/>
    <x v="3"/>
    <x v="1"/>
  </r>
  <r>
    <s v="Air India Express"/>
    <n v="1"/>
    <x v="1"/>
    <s v="&quot;plain and simple incompetence and laziness&quot;"/>
    <x v="715"/>
    <x v="73"/>
    <s v="14th"/>
    <x v="5"/>
    <x v="3"/>
    <x v="1"/>
  </r>
  <r>
    <s v="Air India Express"/>
    <n v="7"/>
    <x v="0"/>
    <s v="&quot;staff service was good&quot;"/>
    <x v="716"/>
    <x v="73"/>
    <s v="14th"/>
    <x v="5"/>
    <x v="3"/>
    <x v="0"/>
  </r>
  <r>
    <s v="Air India Express"/>
    <n v="2"/>
    <x v="1"/>
    <s v="&quot;mostly like a horror movie&quot;"/>
    <x v="717"/>
    <x v="73"/>
    <s v="14th"/>
    <x v="5"/>
    <x v="3"/>
    <x v="1"/>
  </r>
  <r>
    <s v="Air India Express"/>
    <n v="1"/>
    <x v="1"/>
    <s v="&quot;the flight is a disgrace&quot;"/>
    <x v="718"/>
    <x v="74"/>
    <s v="28th"/>
    <x v="4"/>
    <x v="5"/>
    <x v="1"/>
  </r>
  <r>
    <s v="Air India Express"/>
    <n v="7"/>
    <x v="0"/>
    <s v="&quot;a great experience&quot;"/>
    <x v="719"/>
    <x v="74"/>
    <s v="28th"/>
    <x v="4"/>
    <x v="5"/>
    <x v="0"/>
  </r>
  <r>
    <s v="Air India Express"/>
    <n v="7"/>
    <x v="0"/>
    <s v="&quot;I was pleasantly surprised&quot;"/>
    <x v="720"/>
    <x v="74"/>
    <s v="28th"/>
    <x v="4"/>
    <x v="5"/>
    <x v="0"/>
  </r>
  <r>
    <s v="Air India Express"/>
    <n v="8"/>
    <x v="2"/>
    <s v="&quot;asked my seating preference&quot;"/>
    <x v="721"/>
    <x v="74"/>
    <s v="28th"/>
    <x v="4"/>
    <x v="5"/>
    <x v="0"/>
  </r>
  <r>
    <s v="Air India Express"/>
    <n v="1"/>
    <x v="1"/>
    <s v="&quot;I don't care way of dealing&quot;"/>
    <x v="722"/>
    <x v="74"/>
    <s v="28th"/>
    <x v="4"/>
    <x v="5"/>
    <x v="1"/>
  </r>
  <r>
    <s v="Air India Express"/>
    <n v="1"/>
    <x v="1"/>
    <s v="&quot;staff with adamant nature&quot;"/>
    <x v="723"/>
    <x v="74"/>
    <s v="28th"/>
    <x v="4"/>
    <x v="5"/>
    <x v="1"/>
  </r>
  <r>
    <s v="Air India Express"/>
    <n v="8"/>
    <x v="2"/>
    <s v="&quot;Overall experience was good&quot;"/>
    <x v="724"/>
    <x v="74"/>
    <s v="28th"/>
    <x v="4"/>
    <x v="5"/>
    <x v="0"/>
  </r>
  <r>
    <s v="Air India Express"/>
    <n v="4"/>
    <x v="1"/>
    <s v="&quot;flights are delayed&quot;"/>
    <x v="725"/>
    <x v="74"/>
    <s v="28th"/>
    <x v="4"/>
    <x v="5"/>
    <x v="1"/>
  </r>
  <r>
    <s v="Air India Express"/>
    <n v="2"/>
    <x v="1"/>
    <s v="&quot;first experience is bad&quot;"/>
    <x v="726"/>
    <x v="74"/>
    <s v="28th"/>
    <x v="4"/>
    <x v="5"/>
    <x v="1"/>
  </r>
  <r>
    <s v="Air India Express"/>
    <n v="1"/>
    <x v="1"/>
    <s v="&quot;really was a disappointment&quot;"/>
    <x v="727"/>
    <x v="74"/>
    <s v="28th"/>
    <x v="4"/>
    <x v="5"/>
    <x v="1"/>
  </r>
  <r>
    <s v="Air India Express"/>
    <n v="1"/>
    <x v="1"/>
    <s v="&quot;had a horrible experience&quot;"/>
    <x v="728"/>
    <x v="75"/>
    <s v="5th"/>
    <x v="9"/>
    <x v="5"/>
    <x v="1"/>
  </r>
  <r>
    <s v="Air India Express"/>
    <n v="4"/>
    <x v="1"/>
    <s v="&quot;Please avoid this airline&quot;"/>
    <x v="729"/>
    <x v="75"/>
    <s v="5th"/>
    <x v="9"/>
    <x v="5"/>
    <x v="1"/>
  </r>
  <r>
    <s v="Air India Express"/>
    <n v="1"/>
    <x v="1"/>
    <s v="&quot;second bad experience&quot;"/>
    <x v="730"/>
    <x v="75"/>
    <s v="5th"/>
    <x v="9"/>
    <x v="5"/>
    <x v="1"/>
  </r>
  <r>
    <s v="Air India Express"/>
    <n v="2"/>
    <x v="1"/>
    <s v="ground staff are so incompetent&quot;"/>
    <x v="731"/>
    <x v="75"/>
    <s v="5th"/>
    <x v="9"/>
    <x v="5"/>
    <x v="1"/>
  </r>
  <r>
    <s v="Air India Express"/>
    <n v="1"/>
    <x v="1"/>
    <s v="&quot;Worst airline in my life&quot;"/>
    <x v="732"/>
    <x v="75"/>
    <s v="5th"/>
    <x v="9"/>
    <x v="5"/>
    <x v="1"/>
  </r>
  <r>
    <s v="Air India Express"/>
    <n v="1"/>
    <x v="1"/>
    <s v="Air India Express customer review"/>
    <x v="733"/>
    <x v="75"/>
    <s v="5th"/>
    <x v="9"/>
    <x v="5"/>
    <x v="1"/>
  </r>
  <r>
    <s v="Air India Express"/>
    <n v="2"/>
    <x v="1"/>
    <s v="&quot;air conditioning wasn't working&quot;"/>
    <x v="734"/>
    <x v="75"/>
    <s v="5th"/>
    <x v="9"/>
    <x v="5"/>
    <x v="1"/>
  </r>
  <r>
    <s v="Air India Express"/>
    <n v="1"/>
    <x v="1"/>
    <s v="&quot;Never fly Air India Express&quot;"/>
    <x v="735"/>
    <x v="75"/>
    <s v="5th"/>
    <x v="9"/>
    <x v="5"/>
    <x v="1"/>
  </r>
  <r>
    <s v="Air India Express"/>
    <n v="3"/>
    <x v="1"/>
    <s v="&quot;entire cabin wasn't in good condition&quot;"/>
    <x v="736"/>
    <x v="75"/>
    <s v="5th"/>
    <x v="9"/>
    <x v="5"/>
    <x v="1"/>
  </r>
  <r>
    <s v="Air India Express"/>
    <n v="1"/>
    <x v="1"/>
    <s v="&quot;Worst airline ever&quot;"/>
    <x v="737"/>
    <x v="75"/>
    <s v="5th"/>
    <x v="9"/>
    <x v="5"/>
    <x v="1"/>
  </r>
  <r>
    <s v="Air India Express"/>
    <n v="1"/>
    <x v="1"/>
    <s v="&quot;Their flight delays very often&quot;"/>
    <x v="738"/>
    <x v="76"/>
    <s v="28th"/>
    <x v="0"/>
    <x v="6"/>
    <x v="1"/>
  </r>
  <r>
    <s v="Air India Express"/>
    <n v="10"/>
    <x v="2"/>
    <s v="&quot;young and efficient crew&quot;"/>
    <x v="739"/>
    <x v="76"/>
    <s v="28th"/>
    <x v="0"/>
    <x v="6"/>
    <x v="0"/>
  </r>
  <r>
    <s v="Air India Express"/>
    <n v="1"/>
    <x v="1"/>
    <s v="&quot;the worst experience&quot;"/>
    <x v="740"/>
    <x v="76"/>
    <s v="28th"/>
    <x v="0"/>
    <x v="6"/>
    <x v="1"/>
  </r>
  <r>
    <s v="Air India Express"/>
    <n v="4"/>
    <x v="1"/>
    <s v="&quot;regret this decision forever&quot;"/>
    <x v="741"/>
    <x v="76"/>
    <s v="28th"/>
    <x v="0"/>
    <x v="6"/>
    <x v="1"/>
  </r>
  <r>
    <s v="Air India Express"/>
    <n v="1"/>
    <x v="1"/>
    <s v="&quot;staff ran away&quot;"/>
    <x v="742"/>
    <x v="76"/>
    <s v="28th"/>
    <x v="0"/>
    <x v="6"/>
    <x v="1"/>
  </r>
  <r>
    <s v="Air India Express"/>
    <n v="2"/>
    <x v="1"/>
    <s v="&quot;the flight was not enjoyable&quot;"/>
    <x v="743"/>
    <x v="76"/>
    <s v="28th"/>
    <x v="0"/>
    <x v="6"/>
    <x v="1"/>
  </r>
  <r>
    <s v="Air India Express"/>
    <n v="3"/>
    <x v="1"/>
    <s v="Air India Express customer review"/>
    <x v="744"/>
    <x v="76"/>
    <s v="28th"/>
    <x v="0"/>
    <x v="6"/>
    <x v="1"/>
  </r>
  <r>
    <s v="Air India Express"/>
    <n v="9"/>
    <x v="2"/>
    <s v="Air India Express customer review"/>
    <x v="745"/>
    <x v="76"/>
    <s v="28th"/>
    <x v="0"/>
    <x v="6"/>
    <x v="0"/>
  </r>
  <r>
    <s v="Air India Express"/>
    <n v="8"/>
    <x v="2"/>
    <s v="Air India Express customer review"/>
    <x v="746"/>
    <x v="76"/>
    <s v="28th"/>
    <x v="0"/>
    <x v="6"/>
    <x v="0"/>
  </r>
  <r>
    <s v="Air India Express"/>
    <n v="3"/>
    <x v="1"/>
    <s v="Air India Express customer review"/>
    <x v="747"/>
    <x v="76"/>
    <s v="28th"/>
    <x v="0"/>
    <x v="6"/>
    <x v="1"/>
  </r>
  <r>
    <s v="Air India Express"/>
    <n v="1"/>
    <x v="1"/>
    <s v="Air India Express customer review"/>
    <x v="748"/>
    <x v="77"/>
    <s v="12th"/>
    <x v="0"/>
    <x v="8"/>
    <x v="1"/>
  </r>
  <r>
    <s v="Air India Express"/>
    <n v="1"/>
    <x v="1"/>
    <s v="Air India Express customer review"/>
    <x v="749"/>
    <x v="77"/>
    <s v="12th"/>
    <x v="0"/>
    <x v="8"/>
    <x v="1"/>
  </r>
  <r>
    <s v="Air India Express"/>
    <n v="7"/>
    <x v="0"/>
    <s v="Air India Express customer review"/>
    <x v="750"/>
    <x v="77"/>
    <s v="12th"/>
    <x v="0"/>
    <x v="8"/>
    <x v="0"/>
  </r>
  <r>
    <s v="Air India Express"/>
    <n v="8"/>
    <x v="2"/>
    <s v="Air India Express customer review"/>
    <x v="751"/>
    <x v="77"/>
    <s v="12th"/>
    <x v="0"/>
    <x v="8"/>
    <x v="0"/>
  </r>
  <r>
    <s v="Air India Express"/>
    <n v="6"/>
    <x v="0"/>
    <s v="Air India Express customer review"/>
    <x v="752"/>
    <x v="77"/>
    <s v="12th"/>
    <x v="0"/>
    <x v="8"/>
    <x v="0"/>
  </r>
  <r>
    <s v="Air India Express"/>
    <n v="4"/>
    <x v="1"/>
    <s v="Air India Express customer review"/>
    <x v="753"/>
    <x v="77"/>
    <s v="12th"/>
    <x v="0"/>
    <x v="8"/>
    <x v="1"/>
  </r>
  <r>
    <s v="Air India Express"/>
    <n v="3"/>
    <x v="1"/>
    <s v="Air India Express customer review"/>
    <x v="754"/>
    <x v="77"/>
    <s v="12th"/>
    <x v="0"/>
    <x v="8"/>
    <x v="1"/>
  </r>
  <r>
    <s v="Air India Express"/>
    <n v="4"/>
    <x v="1"/>
    <s v="Air India Express customer review"/>
    <x v="755"/>
    <x v="77"/>
    <s v="12th"/>
    <x v="0"/>
    <x v="8"/>
    <x v="1"/>
  </r>
  <r>
    <s v="Air India Express"/>
    <n v="3"/>
    <x v="1"/>
    <s v="Air India Express customer review"/>
    <x v="756"/>
    <x v="77"/>
    <s v="12th"/>
    <x v="0"/>
    <x v="8"/>
    <x v="1"/>
  </r>
  <r>
    <s v="Air India Express"/>
    <n v="4"/>
    <x v="1"/>
    <s v="Air India Express customer review"/>
    <x v="757"/>
    <x v="77"/>
    <s v="12th"/>
    <x v="0"/>
    <x v="8"/>
    <x v="1"/>
  </r>
  <r>
    <s v="Go First"/>
    <n v="1"/>
    <x v="1"/>
    <s v="&quot;cancelled the flight at last moment&quot;"/>
    <x v="758"/>
    <x v="78"/>
    <s v="2nd"/>
    <x v="7"/>
    <x v="0"/>
    <x v="1"/>
  </r>
  <r>
    <s v="Go First"/>
    <n v="1"/>
    <x v="1"/>
    <s v="&quot;cancel flight at the last moment&quot;"/>
    <x v="759"/>
    <x v="78"/>
    <s v="2nd"/>
    <x v="7"/>
    <x v="0"/>
    <x v="1"/>
  </r>
  <r>
    <s v="Go First"/>
    <n v="1"/>
    <x v="1"/>
    <s v="&quot;Will not book Go-First again&quot;"/>
    <x v="760"/>
    <x v="78"/>
    <s v="2nd"/>
    <x v="7"/>
    <x v="0"/>
    <x v="1"/>
  </r>
  <r>
    <s v="Go First"/>
    <n v="1"/>
    <x v="1"/>
    <s v="&quot;flight got cancelled without any notification&quot;"/>
    <x v="485"/>
    <x v="78"/>
    <s v="2nd"/>
    <x v="7"/>
    <x v="0"/>
    <x v="1"/>
  </r>
  <r>
    <s v="Go First"/>
    <n v="1"/>
    <x v="1"/>
    <s v="&quot;there is no sense of professionalism in the staff&quot;"/>
    <x v="761"/>
    <x v="78"/>
    <s v="2nd"/>
    <x v="7"/>
    <x v="0"/>
    <x v="1"/>
  </r>
  <r>
    <s v="Go First"/>
    <n v="1"/>
    <x v="1"/>
    <s v="&quot;delayed or cancelled frequently&quot;"/>
    <x v="762"/>
    <x v="78"/>
    <s v="2nd"/>
    <x v="7"/>
    <x v="0"/>
    <x v="1"/>
  </r>
  <r>
    <s v="Go First"/>
    <n v="1"/>
    <x v="1"/>
    <s v="&quot;Never go with this flight&quot;"/>
    <x v="763"/>
    <x v="78"/>
    <s v="2nd"/>
    <x v="7"/>
    <x v="0"/>
    <x v="1"/>
  </r>
  <r>
    <s v="Go First"/>
    <n v="1"/>
    <x v="1"/>
    <s v="&quot;seat is not comfortable&quot;"/>
    <x v="764"/>
    <x v="78"/>
    <s v="2nd"/>
    <x v="7"/>
    <x v="0"/>
    <x v="1"/>
  </r>
  <r>
    <s v="Go First"/>
    <n v="8"/>
    <x v="2"/>
    <s v="&quot;donâ€™t expect to be pampered&quot;"/>
    <x v="765"/>
    <x v="78"/>
    <s v="2nd"/>
    <x v="7"/>
    <x v="0"/>
    <x v="0"/>
  </r>
  <r>
    <s v="Go First"/>
    <n v="8"/>
    <x v="2"/>
    <s v="&quot;handled the situation very well&quot;"/>
    <x v="766"/>
    <x v="78"/>
    <s v="2nd"/>
    <x v="7"/>
    <x v="0"/>
    <x v="0"/>
  </r>
  <r>
    <s v="Go First"/>
    <n v="1"/>
    <x v="1"/>
    <s v="&quot;changed their schedule frequently&quot;"/>
    <x v="767"/>
    <x v="79"/>
    <s v="21st"/>
    <x v="1"/>
    <x v="0"/>
    <x v="1"/>
  </r>
  <r>
    <s v="Go First"/>
    <n v="1"/>
    <x v="1"/>
    <s v="&quot;don't value your customers&quot;"/>
    <x v="768"/>
    <x v="79"/>
    <s v="21st"/>
    <x v="1"/>
    <x v="0"/>
    <x v="1"/>
  </r>
  <r>
    <s v="Go First"/>
    <n v="2"/>
    <x v="1"/>
    <s v="&quot;never value time for its customer&quot;"/>
    <x v="769"/>
    <x v="79"/>
    <s v="21st"/>
    <x v="1"/>
    <x v="0"/>
    <x v="1"/>
  </r>
  <r>
    <s v="Go First"/>
    <n v="1"/>
    <x v="1"/>
    <s v="&quot;was again late for 3 hours&quot;"/>
    <x v="770"/>
    <x v="79"/>
    <s v="21st"/>
    <x v="1"/>
    <x v="0"/>
    <x v="1"/>
  </r>
  <r>
    <s v="Go First"/>
    <n v="1"/>
    <x v="1"/>
    <s v="&quot;Never fly with this airline&quot;"/>
    <x v="771"/>
    <x v="79"/>
    <s v="21st"/>
    <x v="1"/>
    <x v="0"/>
    <x v="1"/>
  </r>
  <r>
    <s v="Go First"/>
    <n v="1"/>
    <x v="1"/>
    <s v="&quot;Pathetic service&quot;"/>
    <x v="772"/>
    <x v="79"/>
    <s v="21st"/>
    <x v="1"/>
    <x v="0"/>
    <x v="1"/>
  </r>
  <r>
    <s v="Go First"/>
    <n v="2"/>
    <x v="1"/>
    <s v="&quot;Book only if you're ready for reschedule&quot;"/>
    <x v="773"/>
    <x v="79"/>
    <s v="21st"/>
    <x v="1"/>
    <x v="0"/>
    <x v="1"/>
  </r>
  <r>
    <s v="Go First"/>
    <n v="3"/>
    <x v="1"/>
    <s v="&quot;Extremely horrible experience&quot;"/>
    <x v="774"/>
    <x v="79"/>
    <s v="21st"/>
    <x v="1"/>
    <x v="0"/>
    <x v="1"/>
  </r>
  <r>
    <s v="Go First"/>
    <n v="1"/>
    <x v="1"/>
    <s v="&quot;It is always delayed&quot;"/>
    <x v="775"/>
    <x v="79"/>
    <s v="21st"/>
    <x v="1"/>
    <x v="0"/>
    <x v="1"/>
  </r>
  <r>
    <s v="Go First"/>
    <n v="2"/>
    <x v="1"/>
    <s v="&quot;last airline one should opt for&quot;"/>
    <x v="776"/>
    <x v="79"/>
    <s v="21st"/>
    <x v="1"/>
    <x v="0"/>
    <x v="1"/>
  </r>
  <r>
    <s v="Go First"/>
    <n v="1"/>
    <x v="1"/>
    <s v="&quot;caused significant discomfort&quot;"/>
    <x v="777"/>
    <x v="80"/>
    <s v="12th"/>
    <x v="1"/>
    <x v="0"/>
    <x v="1"/>
  </r>
  <r>
    <s v="Go First"/>
    <n v="1"/>
    <x v="1"/>
    <s v="&quot;the worst way to travel by air&quot;"/>
    <x v="778"/>
    <x v="80"/>
    <s v="12th"/>
    <x v="1"/>
    <x v="0"/>
    <x v="1"/>
  </r>
  <r>
    <s v="Go First"/>
    <n v="1"/>
    <x v="1"/>
    <s v="&quot;never travel through Go First&quot;"/>
    <x v="779"/>
    <x v="80"/>
    <s v="12th"/>
    <x v="1"/>
    <x v="0"/>
    <x v="1"/>
  </r>
  <r>
    <s v="Go First"/>
    <n v="1"/>
    <x v="1"/>
    <s v="&quot;delayed for almost 3.5 hrs&quot;"/>
    <x v="780"/>
    <x v="80"/>
    <s v="12th"/>
    <x v="1"/>
    <x v="0"/>
    <x v="1"/>
  </r>
  <r>
    <s v="Go First"/>
    <n v="1"/>
    <x v="1"/>
    <s v="&quot;most unprofessional&quot;"/>
    <x v="781"/>
    <x v="80"/>
    <s v="12th"/>
    <x v="1"/>
    <x v="0"/>
    <x v="1"/>
  </r>
  <r>
    <s v="Go First"/>
    <n v="1"/>
    <x v="1"/>
    <s v="&quot;completely stressful situation&quot;"/>
    <x v="782"/>
    <x v="80"/>
    <s v="12th"/>
    <x v="1"/>
    <x v="0"/>
    <x v="1"/>
  </r>
  <r>
    <s v="Go First"/>
    <n v="1"/>
    <x v="1"/>
    <s v="&quot;Worst airline ever&quot;"/>
    <x v="783"/>
    <x v="80"/>
    <s v="12th"/>
    <x v="1"/>
    <x v="0"/>
    <x v="1"/>
  </r>
  <r>
    <s v="Go First"/>
    <n v="1"/>
    <x v="1"/>
    <s v="&quot;The worst airline ever&quot;"/>
    <x v="784"/>
    <x v="80"/>
    <s v="12th"/>
    <x v="1"/>
    <x v="0"/>
    <x v="1"/>
  </r>
  <r>
    <s v="Go First"/>
    <n v="1"/>
    <x v="1"/>
    <s v="&quot;the flight is preponed&quot;"/>
    <x v="785"/>
    <x v="80"/>
    <s v="12th"/>
    <x v="1"/>
    <x v="0"/>
    <x v="1"/>
  </r>
  <r>
    <s v="Go First"/>
    <n v="1"/>
    <x v="1"/>
    <s v="&quot;Very bad experience&quot;"/>
    <x v="786"/>
    <x v="80"/>
    <s v="12th"/>
    <x v="1"/>
    <x v="0"/>
    <x v="1"/>
  </r>
  <r>
    <s v="Go First"/>
    <n v="1"/>
    <x v="1"/>
    <s v="&quot;Flight was delayed 4 times&quot;"/>
    <x v="787"/>
    <x v="81"/>
    <s v="25th"/>
    <x v="10"/>
    <x v="0"/>
    <x v="1"/>
  </r>
  <r>
    <s v="Go First"/>
    <n v="1"/>
    <x v="1"/>
    <s v="&quot;rescheduled the flight 2 times&quot;"/>
    <x v="788"/>
    <x v="81"/>
    <s v="25th"/>
    <x v="10"/>
    <x v="0"/>
    <x v="1"/>
  </r>
  <r>
    <s v="Go First"/>
    <n v="1"/>
    <x v="1"/>
    <s v="&quot;I'm never booking through them again&quot;"/>
    <x v="323"/>
    <x v="81"/>
    <s v="25th"/>
    <x v="10"/>
    <x v="0"/>
    <x v="1"/>
  </r>
  <r>
    <s v="Go First"/>
    <n v="1"/>
    <x v="1"/>
    <s v="&quot;Very pathetic experience&quot;"/>
    <x v="789"/>
    <x v="81"/>
    <s v="25th"/>
    <x v="10"/>
    <x v="0"/>
    <x v="1"/>
  </r>
  <r>
    <s v="Go First"/>
    <n v="1"/>
    <x v="1"/>
    <s v="&quot;Such a painful experience!&quot;"/>
    <x v="790"/>
    <x v="81"/>
    <s v="25th"/>
    <x v="10"/>
    <x v="0"/>
    <x v="1"/>
  </r>
  <r>
    <s v="Go First"/>
    <n v="8"/>
    <x v="2"/>
    <s v="&quot;really thank the cabin crew&quot;"/>
    <x v="791"/>
    <x v="81"/>
    <s v="25th"/>
    <x v="10"/>
    <x v="0"/>
    <x v="0"/>
  </r>
  <r>
    <s v="Go First"/>
    <n v="2"/>
    <x v="1"/>
    <s v="&quot;The airline is not worth it&quot;"/>
    <x v="792"/>
    <x v="81"/>
    <s v="25th"/>
    <x v="10"/>
    <x v="0"/>
    <x v="1"/>
  </r>
  <r>
    <s v="Go First"/>
    <n v="1"/>
    <x v="1"/>
    <s v="&quot;zero value for money and negative convenience&quot;"/>
    <x v="793"/>
    <x v="81"/>
    <s v="25th"/>
    <x v="10"/>
    <x v="0"/>
    <x v="1"/>
  </r>
  <r>
    <s v="Go First"/>
    <n v="1"/>
    <x v="1"/>
    <s v="&quot;Such a poor experience&quot;"/>
    <x v="794"/>
    <x v="81"/>
    <s v="25th"/>
    <x v="10"/>
    <x v="0"/>
    <x v="1"/>
  </r>
  <r>
    <s v="Go First"/>
    <n v="1"/>
    <x v="1"/>
    <s v="&quot;Pathetic experience with this airline&quot;"/>
    <x v="795"/>
    <x v="81"/>
    <s v="25th"/>
    <x v="10"/>
    <x v="0"/>
    <x v="1"/>
  </r>
  <r>
    <s v="Go First"/>
    <n v="1"/>
    <x v="1"/>
    <s v="&quot;Service after sales is poor&quot;"/>
    <x v="796"/>
    <x v="82"/>
    <s v="19th"/>
    <x v="10"/>
    <x v="0"/>
    <x v="1"/>
  </r>
  <r>
    <s v="Go First"/>
    <n v="1"/>
    <x v="1"/>
    <s v="&quot;Worst experience&quot;"/>
    <x v="797"/>
    <x v="82"/>
    <s v="19th"/>
    <x v="10"/>
    <x v="0"/>
    <x v="1"/>
  </r>
  <r>
    <s v="Go First"/>
    <n v="3"/>
    <x v="1"/>
    <s v="&quot;Frequent cancellation&quot;"/>
    <x v="798"/>
    <x v="82"/>
    <s v="19th"/>
    <x v="10"/>
    <x v="0"/>
    <x v="1"/>
  </r>
  <r>
    <s v="Go First"/>
    <n v="1"/>
    <x v="1"/>
    <s v="&quot;cancelled few hours before the departure&quot;"/>
    <x v="799"/>
    <x v="82"/>
    <s v="19th"/>
    <x v="10"/>
    <x v="0"/>
    <x v="1"/>
  </r>
  <r>
    <s v="Go First"/>
    <n v="1"/>
    <x v="1"/>
    <s v="&quot;would never recommend&quot;"/>
    <x v="800"/>
    <x v="82"/>
    <s v="19th"/>
    <x v="10"/>
    <x v="0"/>
    <x v="1"/>
  </r>
  <r>
    <s v="Go First"/>
    <n v="1"/>
    <x v="1"/>
    <s v="&quot;treats its customers so shabbily&quot;"/>
    <x v="801"/>
    <x v="82"/>
    <s v="19th"/>
    <x v="10"/>
    <x v="0"/>
    <x v="1"/>
  </r>
  <r>
    <s v="Go First"/>
    <n v="1"/>
    <x v="1"/>
    <s v="&quot;It was horrible experience&quot;"/>
    <x v="802"/>
    <x v="82"/>
    <s v="19th"/>
    <x v="10"/>
    <x v="0"/>
    <x v="1"/>
  </r>
  <r>
    <s v="Go First"/>
    <n v="1"/>
    <x v="1"/>
    <s v="&quot;avoid the airline at all cost&quot;"/>
    <x v="803"/>
    <x v="82"/>
    <s v="19th"/>
    <x v="10"/>
    <x v="0"/>
    <x v="1"/>
  </r>
  <r>
    <s v="Go First"/>
    <n v="1"/>
    <x v="1"/>
    <s v="&quot;closes one hour prior to flight&quot;"/>
    <x v="804"/>
    <x v="82"/>
    <s v="19th"/>
    <x v="10"/>
    <x v="0"/>
    <x v="1"/>
  </r>
  <r>
    <s v="Go First"/>
    <n v="1"/>
    <x v="1"/>
    <s v="&quot;delayed without any notice&quot;"/>
    <x v="805"/>
    <x v="82"/>
    <s v="19th"/>
    <x v="10"/>
    <x v="0"/>
    <x v="1"/>
  </r>
  <r>
    <s v="Go First"/>
    <n v="1"/>
    <x v="1"/>
    <s v="&quot;Worst Service ever&quot;"/>
    <x v="806"/>
    <x v="83"/>
    <s v="11th"/>
    <x v="5"/>
    <x v="0"/>
    <x v="1"/>
  </r>
  <r>
    <s v="Go First"/>
    <n v="1"/>
    <x v="1"/>
    <s v="&quot;don't know the meaning of hospitality&quot;"/>
    <x v="807"/>
    <x v="83"/>
    <s v="11th"/>
    <x v="5"/>
    <x v="0"/>
    <x v="1"/>
  </r>
  <r>
    <s v="Go First"/>
    <n v="1"/>
    <x v="1"/>
    <s v="&quot;Horrible service&quot;!"/>
    <x v="808"/>
    <x v="83"/>
    <s v="11th"/>
    <x v="5"/>
    <x v="0"/>
    <x v="1"/>
  </r>
  <r>
    <s v="Go First"/>
    <n v="2"/>
    <x v="1"/>
    <s v="&quot;experience was really bad&quot;"/>
    <x v="809"/>
    <x v="83"/>
    <s v="11th"/>
    <x v="5"/>
    <x v="0"/>
    <x v="1"/>
  </r>
  <r>
    <s v="Go First"/>
    <n v="1"/>
    <x v="1"/>
    <s v="&quot;Worst airline in India&quot;"/>
    <x v="810"/>
    <x v="83"/>
    <s v="11th"/>
    <x v="5"/>
    <x v="0"/>
    <x v="1"/>
  </r>
  <r>
    <s v="Go First"/>
    <n v="1"/>
    <x v="1"/>
    <s v="&quot;Ridiculous excuse of an airline&quot;"/>
    <x v="811"/>
    <x v="83"/>
    <s v="11th"/>
    <x v="5"/>
    <x v="0"/>
    <x v="1"/>
  </r>
  <r>
    <s v="Go First"/>
    <n v="1"/>
    <x v="1"/>
    <s v="&quot;Such a bad flight&quot;"/>
    <x v="812"/>
    <x v="83"/>
    <s v="11th"/>
    <x v="5"/>
    <x v="0"/>
    <x v="1"/>
  </r>
  <r>
    <s v="Go First"/>
    <n v="1"/>
    <x v="1"/>
    <s v="&quot;Complete mismanagement&quot;"/>
    <x v="813"/>
    <x v="83"/>
    <s v="11th"/>
    <x v="5"/>
    <x v="0"/>
    <x v="1"/>
  </r>
  <r>
    <s v="Go First"/>
    <n v="6"/>
    <x v="0"/>
    <s v="Go First customer review"/>
    <x v="814"/>
    <x v="83"/>
    <s v="11th"/>
    <x v="5"/>
    <x v="0"/>
    <x v="1"/>
  </r>
  <r>
    <s v="Go First"/>
    <n v="1"/>
    <x v="1"/>
    <s v="&quot;Such a pathetic service&quot;"/>
    <x v="815"/>
    <x v="83"/>
    <s v="11th"/>
    <x v="5"/>
    <x v="0"/>
    <x v="1"/>
  </r>
  <r>
    <s v="Go First"/>
    <n v="1"/>
    <x v="1"/>
    <s v="&quot;charged me to carry my musical instrument&quot;"/>
    <x v="816"/>
    <x v="84"/>
    <s v="8th"/>
    <x v="4"/>
    <x v="1"/>
    <x v="1"/>
  </r>
  <r>
    <s v="Go First"/>
    <n v="1"/>
    <x v="1"/>
    <s v="&quot;Pathetic service&quot;"/>
    <x v="817"/>
    <x v="84"/>
    <s v="8th"/>
    <x v="4"/>
    <x v="1"/>
    <x v="1"/>
  </r>
  <r>
    <s v="Go First"/>
    <n v="1"/>
    <x v="1"/>
    <s v="&quot;Trust this company at your peril&quot;"/>
    <x v="818"/>
    <x v="84"/>
    <s v="8th"/>
    <x v="4"/>
    <x v="1"/>
    <x v="1"/>
  </r>
  <r>
    <s v="Go First"/>
    <n v="1"/>
    <x v="1"/>
    <s v="&quot;Most horrible airline&quot;"/>
    <x v="819"/>
    <x v="84"/>
    <s v="8th"/>
    <x v="4"/>
    <x v="1"/>
    <x v="1"/>
  </r>
  <r>
    <s v="Go First"/>
    <n v="1"/>
    <x v="1"/>
    <s v="&quot;Pathetic service&quot;"/>
    <x v="820"/>
    <x v="84"/>
    <s v="8th"/>
    <x v="4"/>
    <x v="1"/>
    <x v="1"/>
  </r>
  <r>
    <s v="Go First"/>
    <n v="1"/>
    <x v="1"/>
    <s v="&quot;Overall a pathetic experience&quot;"/>
    <x v="821"/>
    <x v="84"/>
    <s v="8th"/>
    <x v="4"/>
    <x v="1"/>
    <x v="1"/>
  </r>
  <r>
    <s v="Go First"/>
    <n v="1"/>
    <x v="1"/>
    <s v="&quot;Third class service&quot;"/>
    <x v="822"/>
    <x v="84"/>
    <s v="8th"/>
    <x v="4"/>
    <x v="1"/>
    <x v="1"/>
  </r>
  <r>
    <s v="Go First"/>
    <n v="1"/>
    <x v="1"/>
    <s v="&quot;donâ€™t care for the passengers time&quot;"/>
    <x v="823"/>
    <x v="84"/>
    <s v="8th"/>
    <x v="4"/>
    <x v="1"/>
    <x v="1"/>
  </r>
  <r>
    <s v="Go First"/>
    <n v="1"/>
    <x v="1"/>
    <s v="&quot;do not book if you value your time&quot;"/>
    <x v="824"/>
    <x v="84"/>
    <s v="8th"/>
    <x v="4"/>
    <x v="1"/>
    <x v="1"/>
  </r>
  <r>
    <s v="Go First"/>
    <n v="1"/>
    <x v="1"/>
    <s v="&quot;No professionalism&quot;"/>
    <x v="825"/>
    <x v="84"/>
    <s v="8th"/>
    <x v="4"/>
    <x v="1"/>
    <x v="1"/>
  </r>
  <r>
    <s v="Go First"/>
    <n v="1"/>
    <x v="1"/>
    <s v="&quot;Absolute shambles of an airlines&quot;"/>
    <x v="826"/>
    <x v="85"/>
    <s v="12th"/>
    <x v="6"/>
    <x v="1"/>
    <x v="1"/>
  </r>
  <r>
    <s v="Go First"/>
    <n v="1"/>
    <x v="1"/>
    <s v="&quot;change flight just one day before&quot;"/>
    <x v="827"/>
    <x v="85"/>
    <s v="12th"/>
    <x v="6"/>
    <x v="1"/>
    <x v="1"/>
  </r>
  <r>
    <s v="Go First"/>
    <n v="3"/>
    <x v="1"/>
    <s v="&quot;flight got rescheduled 7 times in 2 days&quot;"/>
    <x v="828"/>
    <x v="85"/>
    <s v="12th"/>
    <x v="6"/>
    <x v="1"/>
    <x v="1"/>
  </r>
  <r>
    <s v="Go First"/>
    <n v="1"/>
    <x v="1"/>
    <s v="&quot;Never travel by Go First&quot;"/>
    <x v="829"/>
    <x v="85"/>
    <s v="12th"/>
    <x v="6"/>
    <x v="1"/>
    <x v="1"/>
  </r>
  <r>
    <s v="Go First"/>
    <n v="1"/>
    <x v="1"/>
    <s v="&quot;airline is extremely unreliable&quot;"/>
    <x v="830"/>
    <x v="85"/>
    <s v="12th"/>
    <x v="6"/>
    <x v="1"/>
    <x v="1"/>
  </r>
  <r>
    <s v="Go First"/>
    <n v="1"/>
    <x v="1"/>
    <s v="&quot;Extremely poor airline&quot;"/>
    <x v="831"/>
    <x v="85"/>
    <s v="12th"/>
    <x v="6"/>
    <x v="1"/>
    <x v="1"/>
  </r>
  <r>
    <s v="Go First"/>
    <n v="7"/>
    <x v="0"/>
    <s v="&quot;Courteous cabin crew&quot;"/>
    <x v="12"/>
    <x v="85"/>
    <s v="12th"/>
    <x v="6"/>
    <x v="1"/>
    <x v="0"/>
  </r>
  <r>
    <s v="Go First"/>
    <n v="7"/>
    <x v="0"/>
    <s v="&quot;Decent experience&quot;"/>
    <x v="12"/>
    <x v="85"/>
    <s v="12th"/>
    <x v="6"/>
    <x v="1"/>
    <x v="0"/>
  </r>
  <r>
    <s v="Go First"/>
    <n v="1"/>
    <x v="1"/>
    <s v="&quot;beginning of a worst nightmare&quot;"/>
    <x v="832"/>
    <x v="85"/>
    <s v="12th"/>
    <x v="6"/>
    <x v="1"/>
    <x v="1"/>
  </r>
  <r>
    <s v="Go First"/>
    <n v="1"/>
    <x v="1"/>
    <s v="&quot;do not book a Go First flight&quot;"/>
    <x v="833"/>
    <x v="85"/>
    <s v="12th"/>
    <x v="6"/>
    <x v="1"/>
    <x v="1"/>
  </r>
  <r>
    <s v="Go First"/>
    <n v="7"/>
    <x v="0"/>
    <s v="&quot;nacks and beverages on paid basis&quot;"/>
    <x v="12"/>
    <x v="86"/>
    <s v="19th"/>
    <x v="0"/>
    <x v="1"/>
    <x v="0"/>
  </r>
  <r>
    <s v="Go First"/>
    <n v="1"/>
    <x v="1"/>
    <s v="&quot;They never value their customer&quot;"/>
    <x v="834"/>
    <x v="86"/>
    <s v="19th"/>
    <x v="0"/>
    <x v="1"/>
    <x v="1"/>
  </r>
  <r>
    <s v="Go First"/>
    <n v="2"/>
    <x v="1"/>
    <s v="&quot;worst experience with any flight&quot;"/>
    <x v="835"/>
    <x v="86"/>
    <s v="19th"/>
    <x v="0"/>
    <x v="1"/>
    <x v="1"/>
  </r>
  <r>
    <s v="Go First"/>
    <n v="1"/>
    <x v="1"/>
    <s v="&quot;they donâ€™t care about customers&quot;"/>
    <x v="836"/>
    <x v="86"/>
    <s v="19th"/>
    <x v="0"/>
    <x v="1"/>
    <x v="1"/>
  </r>
  <r>
    <s v="Go First"/>
    <n v="1"/>
    <x v="1"/>
    <s v="&quot;They are your worst nightmare&quot;"/>
    <x v="837"/>
    <x v="86"/>
    <s v="19th"/>
    <x v="0"/>
    <x v="1"/>
    <x v="1"/>
  </r>
  <r>
    <s v="Go First"/>
    <n v="1"/>
    <x v="1"/>
    <s v="&quot;the worst airline&quot;"/>
    <x v="838"/>
    <x v="86"/>
    <s v="19th"/>
    <x v="0"/>
    <x v="1"/>
    <x v="1"/>
  </r>
  <r>
    <s v="Go First"/>
    <n v="1"/>
    <x v="1"/>
    <s v="&quot;non-courteous, non-accommodating staff&quot;"/>
    <x v="839"/>
    <x v="86"/>
    <s v="19th"/>
    <x v="0"/>
    <x v="1"/>
    <x v="1"/>
  </r>
  <r>
    <s v="Go First"/>
    <n v="1"/>
    <x v="1"/>
    <s v="&quot;subjecting us to enormous hardships&quot;"/>
    <x v="840"/>
    <x v="86"/>
    <s v="19th"/>
    <x v="0"/>
    <x v="1"/>
    <x v="1"/>
  </r>
  <r>
    <s v="Go First"/>
    <n v="7"/>
    <x v="0"/>
    <s v="&quot;Seat pitch are just ok&quot;"/>
    <x v="12"/>
    <x v="86"/>
    <s v="19th"/>
    <x v="0"/>
    <x v="1"/>
    <x v="0"/>
  </r>
  <r>
    <s v="Go First"/>
    <n v="4"/>
    <x v="1"/>
    <s v="&quot;get ready to face some surprises&quot;"/>
    <x v="841"/>
    <x v="86"/>
    <s v="19th"/>
    <x v="0"/>
    <x v="1"/>
    <x v="1"/>
  </r>
  <r>
    <s v="Go First"/>
    <n v="1"/>
    <x v="1"/>
    <s v="&quot;They don't care for customers&quot;"/>
    <x v="842"/>
    <x v="53"/>
    <s v="15th"/>
    <x v="2"/>
    <x v="1"/>
    <x v="1"/>
  </r>
  <r>
    <s v="Go First"/>
    <n v="1"/>
    <x v="1"/>
    <s v="&quot;worst experience I had&quot;"/>
    <x v="843"/>
    <x v="53"/>
    <s v="15th"/>
    <x v="2"/>
    <x v="1"/>
    <x v="1"/>
  </r>
  <r>
    <s v="Go First"/>
    <n v="1"/>
    <x v="1"/>
    <s v="&quot;Horrible customer service&quot;"/>
    <x v="844"/>
    <x v="53"/>
    <s v="15th"/>
    <x v="2"/>
    <x v="1"/>
    <x v="1"/>
  </r>
  <r>
    <s v="Go First"/>
    <n v="1"/>
    <x v="1"/>
    <s v="&quot;I had a very bad experience&quot;"/>
    <x v="845"/>
    <x v="53"/>
    <s v="15th"/>
    <x v="2"/>
    <x v="1"/>
    <x v="1"/>
  </r>
  <r>
    <s v="Go First"/>
    <n v="1"/>
    <x v="1"/>
    <s v="&quot;No sense of responsibility&quot;"/>
    <x v="846"/>
    <x v="53"/>
    <s v="15th"/>
    <x v="2"/>
    <x v="1"/>
    <x v="1"/>
  </r>
  <r>
    <s v="Go First"/>
    <n v="1"/>
    <x v="1"/>
    <s v="&quot;Seriously poor airline&quot;"/>
    <x v="847"/>
    <x v="53"/>
    <s v="15th"/>
    <x v="2"/>
    <x v="1"/>
    <x v="1"/>
  </r>
  <r>
    <s v="Go First"/>
    <n v="1"/>
    <x v="1"/>
    <s v="&quot;Very pathetic service&quot;"/>
    <x v="848"/>
    <x v="53"/>
    <s v="15th"/>
    <x v="2"/>
    <x v="1"/>
    <x v="1"/>
  </r>
  <r>
    <s v="Go First"/>
    <n v="9"/>
    <x v="2"/>
    <s v="&quot;Okay experience for a short flight&quot;"/>
    <x v="12"/>
    <x v="53"/>
    <s v="15th"/>
    <x v="2"/>
    <x v="1"/>
    <x v="0"/>
  </r>
  <r>
    <s v="Go First"/>
    <n v="1"/>
    <x v="1"/>
    <s v="&quot;Very pathetic service&quot;"/>
    <x v="849"/>
    <x v="53"/>
    <s v="15th"/>
    <x v="2"/>
    <x v="1"/>
    <x v="1"/>
  </r>
  <r>
    <s v="Go First"/>
    <n v="2"/>
    <x v="1"/>
    <s v="&quot;Worst flying experience&quot;"/>
    <x v="850"/>
    <x v="53"/>
    <s v="15th"/>
    <x v="2"/>
    <x v="1"/>
    <x v="1"/>
  </r>
  <r>
    <s v="Go First"/>
    <n v="1"/>
    <x v="1"/>
    <s v="&quot;Worst experience ever&quot;"/>
    <x v="851"/>
    <x v="87"/>
    <s v="15th"/>
    <x v="8"/>
    <x v="1"/>
    <x v="1"/>
  </r>
  <r>
    <s v="Go First"/>
    <n v="1"/>
    <x v="1"/>
    <s v="&quot;very pathetic service&quot;"/>
    <x v="852"/>
    <x v="87"/>
    <s v="15th"/>
    <x v="8"/>
    <x v="1"/>
    <x v="1"/>
  </r>
  <r>
    <s v="Go First"/>
    <n v="1"/>
    <x v="1"/>
    <s v="&quot;never choose this airline again&quot;"/>
    <x v="853"/>
    <x v="87"/>
    <s v="15th"/>
    <x v="8"/>
    <x v="1"/>
    <x v="1"/>
  </r>
  <r>
    <s v="Go First"/>
    <n v="4"/>
    <x v="1"/>
    <s v="&quot;airline is worth avoiding&quot;"/>
    <x v="12"/>
    <x v="87"/>
    <s v="15th"/>
    <x v="8"/>
    <x v="1"/>
    <x v="1"/>
  </r>
  <r>
    <s v="Go First"/>
    <n v="1"/>
    <x v="1"/>
    <s v="&quot;denied to give boarding pass&quot;"/>
    <x v="854"/>
    <x v="87"/>
    <s v="15th"/>
    <x v="8"/>
    <x v="1"/>
    <x v="1"/>
  </r>
  <r>
    <s v="Go First"/>
    <n v="1"/>
    <x v="1"/>
    <s v="&quot;bad service from the staff&quot;"/>
    <x v="855"/>
    <x v="87"/>
    <s v="15th"/>
    <x v="8"/>
    <x v="1"/>
    <x v="1"/>
  </r>
  <r>
    <s v="Go First"/>
    <n v="7"/>
    <x v="0"/>
    <s v="&quot;Cabin crew were courteous&quot;"/>
    <x v="12"/>
    <x v="87"/>
    <s v="15th"/>
    <x v="8"/>
    <x v="1"/>
    <x v="0"/>
  </r>
  <r>
    <s v="Go First"/>
    <n v="1"/>
    <x v="1"/>
    <s v="&quot;Flight delayed by 2.5 hours&quot;"/>
    <x v="856"/>
    <x v="87"/>
    <s v="15th"/>
    <x v="8"/>
    <x v="1"/>
    <x v="1"/>
  </r>
  <r>
    <s v="Go First"/>
    <n v="1"/>
    <x v="1"/>
    <s v="&quot;really a bad experience&quot;"/>
    <x v="857"/>
    <x v="87"/>
    <s v="15th"/>
    <x v="8"/>
    <x v="1"/>
    <x v="1"/>
  </r>
  <r>
    <s v="Go First"/>
    <n v="1"/>
    <x v="1"/>
    <s v="&quot;never fly this carrier please&quot;"/>
    <x v="858"/>
    <x v="87"/>
    <s v="15th"/>
    <x v="8"/>
    <x v="1"/>
    <x v="1"/>
  </r>
  <r>
    <s v="Go First"/>
    <n v="1"/>
    <x v="1"/>
    <s v="&quot;there are no free seats available&quot;"/>
    <x v="859"/>
    <x v="58"/>
    <s v="30th"/>
    <x v="1"/>
    <x v="1"/>
    <x v="1"/>
  </r>
  <r>
    <s v="Go First"/>
    <n v="1"/>
    <x v="1"/>
    <s v="&quot;the worst airline I have ever flown&quot;"/>
    <x v="860"/>
    <x v="58"/>
    <s v="30th"/>
    <x v="1"/>
    <x v="1"/>
    <x v="1"/>
  </r>
  <r>
    <s v="Go First"/>
    <n v="1"/>
    <x v="1"/>
    <s v="&quot;I will never ever choose this flight&quot;"/>
    <x v="861"/>
    <x v="58"/>
    <s v="30th"/>
    <x v="1"/>
    <x v="1"/>
    <x v="1"/>
  </r>
  <r>
    <s v="Go First"/>
    <n v="1"/>
    <x v="1"/>
    <s v="&quot;11 hour trip instead of the original 2 hours&quot;"/>
    <x v="862"/>
    <x v="58"/>
    <s v="30th"/>
    <x v="1"/>
    <x v="1"/>
    <x v="1"/>
  </r>
  <r>
    <s v="Go First"/>
    <n v="1"/>
    <x v="1"/>
    <s v="&quot;It was the worst experience&quot;"/>
    <x v="863"/>
    <x v="58"/>
    <s v="30th"/>
    <x v="1"/>
    <x v="1"/>
    <x v="1"/>
  </r>
  <r>
    <s v="Go First"/>
    <n v="1"/>
    <x v="1"/>
    <s v="&quot;Worst airline in the world&quot;"/>
    <x v="864"/>
    <x v="58"/>
    <s v="30th"/>
    <x v="1"/>
    <x v="1"/>
    <x v="1"/>
  </r>
  <r>
    <s v="Go First"/>
    <n v="8"/>
    <x v="2"/>
    <s v="&quot;In flight service good&quot;"/>
    <x v="865"/>
    <x v="58"/>
    <s v="30th"/>
    <x v="1"/>
    <x v="1"/>
    <x v="0"/>
  </r>
  <r>
    <s v="Go First"/>
    <n v="1"/>
    <x v="1"/>
    <s v="&quot;Very poor service&quot;"/>
    <x v="866"/>
    <x v="58"/>
    <s v="30th"/>
    <x v="1"/>
    <x v="1"/>
    <x v="1"/>
  </r>
  <r>
    <s v="Go First"/>
    <n v="1"/>
    <x v="1"/>
    <s v="&quot;Customer service is pathetic&quot;"/>
    <x v="761"/>
    <x v="58"/>
    <s v="30th"/>
    <x v="1"/>
    <x v="1"/>
    <x v="1"/>
  </r>
  <r>
    <s v="Go First"/>
    <n v="1"/>
    <x v="1"/>
    <s v="&quot;Very pathetic service&quot;"/>
    <x v="867"/>
    <x v="58"/>
    <s v="30th"/>
    <x v="1"/>
    <x v="1"/>
    <x v="1"/>
  </r>
  <r>
    <s v="Go First"/>
    <n v="1"/>
    <x v="1"/>
    <s v="&quot;Just like a local bus service&quot;"/>
    <x v="868"/>
    <x v="88"/>
    <s v="7th"/>
    <x v="1"/>
    <x v="1"/>
    <x v="1"/>
  </r>
  <r>
    <s v="Go First"/>
    <n v="1"/>
    <x v="1"/>
    <s v="&quot;counter will be closed 60 minutes before&quot;"/>
    <x v="869"/>
    <x v="88"/>
    <s v="7th"/>
    <x v="1"/>
    <x v="1"/>
    <x v="1"/>
  </r>
  <r>
    <s v="Go First"/>
    <n v="1"/>
    <x v="1"/>
    <s v="&quot; had to go for another airline at the last moment&quot;"/>
    <x v="870"/>
    <x v="88"/>
    <s v="7th"/>
    <x v="1"/>
    <x v="1"/>
    <x v="1"/>
  </r>
  <r>
    <s v="Go First"/>
    <n v="1"/>
    <x v="1"/>
    <s v="&quot;Pathetic service and airline&quot;"/>
    <x v="871"/>
    <x v="88"/>
    <s v="7th"/>
    <x v="1"/>
    <x v="1"/>
    <x v="1"/>
  </r>
  <r>
    <s v="Go First"/>
    <n v="1"/>
    <x v="1"/>
    <s v="&quot;should be shut down completely"/>
    <x v="872"/>
    <x v="88"/>
    <s v="7th"/>
    <x v="1"/>
    <x v="1"/>
    <x v="1"/>
  </r>
  <r>
    <s v="Go First"/>
    <n v="1"/>
    <x v="1"/>
    <s v="Go First customer review"/>
    <x v="873"/>
    <x v="88"/>
    <s v="7th"/>
    <x v="1"/>
    <x v="1"/>
    <x v="1"/>
  </r>
  <r>
    <s v="Go First"/>
    <n v="1"/>
    <x v="1"/>
    <s v="&quot;I wanted compensation from Go First&quot;"/>
    <x v="874"/>
    <x v="88"/>
    <s v="7th"/>
    <x v="1"/>
    <x v="1"/>
    <x v="1"/>
  </r>
  <r>
    <s v="Go First"/>
    <n v="1"/>
    <x v="1"/>
    <s v="&quot;Never, never, never again&quot;"/>
    <x v="875"/>
    <x v="88"/>
    <s v="7th"/>
    <x v="1"/>
    <x v="1"/>
    <x v="1"/>
  </r>
  <r>
    <s v="Go First"/>
    <n v="1"/>
    <x v="1"/>
    <s v="&quot;avoid Go First at any cost&quot;"/>
    <x v="876"/>
    <x v="88"/>
    <s v="7th"/>
    <x v="1"/>
    <x v="1"/>
    <x v="1"/>
  </r>
  <r>
    <s v="Go First"/>
    <n v="1"/>
    <x v="1"/>
    <s v="&quot;Worst airline with highest cancellation rate&quot;"/>
    <x v="877"/>
    <x v="88"/>
    <s v="7th"/>
    <x v="1"/>
    <x v="1"/>
    <x v="1"/>
  </r>
  <r>
    <s v="Go First"/>
    <n v="1"/>
    <x v="1"/>
    <s v="&quot;cancelled our flights three times with very short notice&quot;"/>
    <x v="878"/>
    <x v="89"/>
    <s v="21st"/>
    <x v="10"/>
    <x v="1"/>
    <x v="1"/>
  </r>
  <r>
    <s v="Go First"/>
    <n v="1"/>
    <x v="1"/>
    <s v="&quot;Very bad experience&quot;"/>
    <x v="879"/>
    <x v="89"/>
    <s v="21st"/>
    <x v="10"/>
    <x v="1"/>
    <x v="1"/>
  </r>
  <r>
    <s v="Go First"/>
    <n v="1"/>
    <x v="1"/>
    <s v="&quot;internal processes needs a complete revamp&quot;"/>
    <x v="880"/>
    <x v="89"/>
    <s v="21st"/>
    <x v="10"/>
    <x v="1"/>
    <x v="1"/>
  </r>
  <r>
    <s v="Go First"/>
    <n v="1"/>
    <x v="1"/>
    <s v="&quot;unnecessarily troubling their travelers&quot;"/>
    <x v="881"/>
    <x v="89"/>
    <s v="21st"/>
    <x v="10"/>
    <x v="1"/>
    <x v="1"/>
  </r>
  <r>
    <s v="Go First"/>
    <n v="1"/>
    <x v="1"/>
    <s v="&quot;Never taking this airline ever again&quot;"/>
    <x v="882"/>
    <x v="89"/>
    <s v="21st"/>
    <x v="10"/>
    <x v="1"/>
    <x v="1"/>
  </r>
  <r>
    <s v="Go First"/>
    <n v="1"/>
    <x v="1"/>
    <s v="&quot;Definitely not recommended&quot;"/>
    <x v="883"/>
    <x v="89"/>
    <s v="21st"/>
    <x v="10"/>
    <x v="1"/>
    <x v="1"/>
  </r>
  <r>
    <s v="Go First"/>
    <n v="2"/>
    <x v="1"/>
    <s v="&quot;Pathetic customer service&quot;"/>
    <x v="884"/>
    <x v="89"/>
    <s v="21st"/>
    <x v="10"/>
    <x v="1"/>
    <x v="1"/>
  </r>
  <r>
    <s v="Go First"/>
    <n v="1"/>
    <x v="1"/>
    <s v="&quot;unprofessional and rude ground staff&quot;"/>
    <x v="885"/>
    <x v="89"/>
    <s v="21st"/>
    <x v="10"/>
    <x v="1"/>
    <x v="1"/>
  </r>
  <r>
    <s v="Go First"/>
    <n v="1"/>
    <x v="1"/>
    <s v="&quot;they changed the schedule rendering the entire journey useless&quot;"/>
    <x v="681"/>
    <x v="89"/>
    <s v="21st"/>
    <x v="10"/>
    <x v="1"/>
    <x v="1"/>
  </r>
  <r>
    <s v="Go First"/>
    <n v="7"/>
    <x v="0"/>
    <s v="&quot;Overall the flight was okay&quot;"/>
    <x v="34"/>
    <x v="89"/>
    <s v="21st"/>
    <x v="10"/>
    <x v="1"/>
    <x v="0"/>
  </r>
  <r>
    <s v="Go First"/>
    <n v="1"/>
    <x v="1"/>
    <s v="&quot;don't pay heed to customers preferences&quot;"/>
    <x v="886"/>
    <x v="90"/>
    <s v="21st"/>
    <x v="5"/>
    <x v="1"/>
    <x v="1"/>
  </r>
  <r>
    <s v="Go First"/>
    <n v="1"/>
    <x v="1"/>
    <s v="&quot;Would never use again&quot;"/>
    <x v="887"/>
    <x v="90"/>
    <s v="21st"/>
    <x v="5"/>
    <x v="1"/>
    <x v="1"/>
  </r>
  <r>
    <s v="Go First"/>
    <n v="2"/>
    <x v="1"/>
    <s v="&quot;Never book Go First flight&quot;"/>
    <x v="888"/>
    <x v="90"/>
    <s v="21st"/>
    <x v="5"/>
    <x v="1"/>
    <x v="1"/>
  </r>
  <r>
    <s v="Go First"/>
    <n v="1"/>
    <x v="1"/>
    <s v="&quot;Worst airline ever&quot;"/>
    <x v="889"/>
    <x v="90"/>
    <s v="21st"/>
    <x v="5"/>
    <x v="1"/>
    <x v="1"/>
  </r>
  <r>
    <s v="Go First"/>
    <n v="1"/>
    <x v="1"/>
    <s v="&quot;flight cancel message just 5 days before&quot;"/>
    <x v="890"/>
    <x v="90"/>
    <s v="21st"/>
    <x v="5"/>
    <x v="1"/>
    <x v="1"/>
  </r>
  <r>
    <s v="Go First"/>
    <n v="2"/>
    <x v="1"/>
    <s v="&quot;They are just fooling people&quot;"/>
    <x v="891"/>
    <x v="90"/>
    <s v="21st"/>
    <x v="5"/>
    <x v="1"/>
    <x v="1"/>
  </r>
  <r>
    <s v="Go First"/>
    <n v="1"/>
    <x v="1"/>
    <s v="&quot;Needs huge improvement in customer service&quot;"/>
    <x v="892"/>
    <x v="90"/>
    <s v="21st"/>
    <x v="5"/>
    <x v="1"/>
    <x v="1"/>
  </r>
  <r>
    <s v="Go First"/>
    <n v="2"/>
    <x v="1"/>
    <s v="&quot;Need to improve overall&quot;"/>
    <x v="893"/>
    <x v="90"/>
    <s v="21st"/>
    <x v="5"/>
    <x v="1"/>
    <x v="1"/>
  </r>
  <r>
    <s v="Go First"/>
    <n v="1"/>
    <x v="1"/>
    <s v="&quot;Horrible customer service&quot;"/>
    <x v="894"/>
    <x v="90"/>
    <s v="21st"/>
    <x v="5"/>
    <x v="1"/>
    <x v="1"/>
  </r>
  <r>
    <s v="Go First"/>
    <n v="1"/>
    <x v="1"/>
    <s v="&quot;cancelled it without giving any reason&quot;"/>
    <x v="895"/>
    <x v="90"/>
    <s v="21st"/>
    <x v="5"/>
    <x v="1"/>
    <x v="1"/>
  </r>
  <r>
    <s v="Go First"/>
    <n v="1"/>
    <x v="1"/>
    <s v="&quot;quarantine facility a nightmare&quot;"/>
    <x v="896"/>
    <x v="91"/>
    <s v="23rd"/>
    <x v="11"/>
    <x v="1"/>
    <x v="1"/>
  </r>
  <r>
    <s v="Go First"/>
    <n v="1"/>
    <x v="1"/>
    <s v="&quot;customer service gives false promises&quot;"/>
    <x v="897"/>
    <x v="91"/>
    <s v="23rd"/>
    <x v="11"/>
    <x v="1"/>
    <x v="1"/>
  </r>
  <r>
    <s v="Go First"/>
    <n v="3"/>
    <x v="1"/>
    <s v="&quot;only thing decent thing was the customer support&quot;"/>
    <x v="898"/>
    <x v="91"/>
    <s v="23rd"/>
    <x v="11"/>
    <x v="1"/>
    <x v="1"/>
  </r>
  <r>
    <s v="Go First"/>
    <n v="10"/>
    <x v="2"/>
    <s v="&quot;The crew was friendly&quot;"/>
    <x v="899"/>
    <x v="91"/>
    <s v="23rd"/>
    <x v="11"/>
    <x v="1"/>
    <x v="0"/>
  </r>
  <r>
    <s v="Go First"/>
    <n v="1"/>
    <x v="1"/>
    <s v="&quot;only paid seats are found&quot;"/>
    <x v="900"/>
    <x v="91"/>
    <s v="23rd"/>
    <x v="11"/>
    <x v="1"/>
    <x v="1"/>
  </r>
  <r>
    <s v="Go First"/>
    <n v="1"/>
    <x v="1"/>
    <s v="&quot;They are so unreliable&quot;"/>
    <x v="901"/>
    <x v="91"/>
    <s v="23rd"/>
    <x v="11"/>
    <x v="1"/>
    <x v="1"/>
  </r>
  <r>
    <s v="Go First"/>
    <n v="1"/>
    <x v="1"/>
    <s v="&quot;They donâ€™t offer any free seats&quot;"/>
    <x v="902"/>
    <x v="91"/>
    <s v="23rd"/>
    <x v="11"/>
    <x v="1"/>
    <x v="1"/>
  </r>
  <r>
    <s v="Go First"/>
    <n v="1"/>
    <x v="1"/>
    <s v="&quot;Worst experience ever&quot;"/>
    <x v="903"/>
    <x v="91"/>
    <s v="23rd"/>
    <x v="11"/>
    <x v="1"/>
    <x v="1"/>
  </r>
  <r>
    <s v="Go First"/>
    <n v="1"/>
    <x v="1"/>
    <s v="&quot;Worst customer service&quot;"/>
    <x v="904"/>
    <x v="91"/>
    <s v="23rd"/>
    <x v="11"/>
    <x v="1"/>
    <x v="1"/>
  </r>
  <r>
    <s v="Go First"/>
    <n v="1"/>
    <x v="1"/>
    <s v="&quot;4 flights got cancelled by Go First&quot;"/>
    <x v="905"/>
    <x v="91"/>
    <s v="23rd"/>
    <x v="11"/>
    <x v="1"/>
    <x v="1"/>
  </r>
  <r>
    <s v="Go First"/>
    <n v="1"/>
    <x v="1"/>
    <s v="&quot;Utterly incompetent and shady&quot;"/>
    <x v="906"/>
    <x v="92"/>
    <s v="23rd"/>
    <x v="4"/>
    <x v="2"/>
    <x v="1"/>
  </r>
  <r>
    <s v="Go First"/>
    <n v="7"/>
    <x v="0"/>
    <s v="&quot;pay extra amount for the free seats&quot;"/>
    <x v="907"/>
    <x v="92"/>
    <s v="23rd"/>
    <x v="4"/>
    <x v="2"/>
    <x v="0"/>
  </r>
  <r>
    <s v="Go First"/>
    <n v="1"/>
    <x v="1"/>
    <s v="&quot;pay extra amount for the free seats&quot;"/>
    <x v="908"/>
    <x v="92"/>
    <s v="23rd"/>
    <x v="4"/>
    <x v="2"/>
    <x v="1"/>
  </r>
  <r>
    <s v="Go First"/>
    <n v="1"/>
    <x v="1"/>
    <s v="&quot;the flight has been cancelled&quot;"/>
    <x v="909"/>
    <x v="92"/>
    <s v="23rd"/>
    <x v="4"/>
    <x v="2"/>
    <x v="1"/>
  </r>
  <r>
    <s v="Go First"/>
    <n v="1"/>
    <x v="1"/>
    <s v="&quot;extremely rude behaviour&quot;"/>
    <x v="910"/>
    <x v="92"/>
    <s v="23rd"/>
    <x v="4"/>
    <x v="2"/>
    <x v="1"/>
  </r>
  <r>
    <s v="Go First"/>
    <n v="1"/>
    <x v="1"/>
    <s v="&quot;worst domestic carriers in India&quot;"/>
    <x v="911"/>
    <x v="92"/>
    <s v="23rd"/>
    <x v="4"/>
    <x v="2"/>
    <x v="1"/>
  </r>
  <r>
    <s v="Go First"/>
    <n v="1"/>
    <x v="1"/>
    <s v="&quot;one of the worst domestic carriers&quot;"/>
    <x v="912"/>
    <x v="92"/>
    <s v="23rd"/>
    <x v="4"/>
    <x v="2"/>
    <x v="1"/>
  </r>
  <r>
    <s v="Go First"/>
    <n v="1"/>
    <x v="1"/>
    <s v="&quot;they wouldn't let us board&quot;"/>
    <x v="913"/>
    <x v="92"/>
    <s v="23rd"/>
    <x v="4"/>
    <x v="2"/>
    <x v="1"/>
  </r>
  <r>
    <s v="Go First"/>
    <n v="1"/>
    <x v="1"/>
    <s v="&quot;Third class service&quot;"/>
    <x v="914"/>
    <x v="92"/>
    <s v="23rd"/>
    <x v="4"/>
    <x v="2"/>
    <x v="1"/>
  </r>
  <r>
    <s v="Go First"/>
    <n v="1"/>
    <x v="1"/>
    <s v="&quot;never travel again with this airline&quot;"/>
    <x v="915"/>
    <x v="92"/>
    <s v="23rd"/>
    <x v="4"/>
    <x v="2"/>
    <x v="1"/>
  </r>
  <r>
    <s v="Go First"/>
    <n v="1"/>
    <x v="1"/>
    <s v="&quot;cancelled both their flights&quot;"/>
    <x v="916"/>
    <x v="93"/>
    <s v="27th"/>
    <x v="6"/>
    <x v="2"/>
    <x v="1"/>
  </r>
  <r>
    <s v="Go First"/>
    <n v="3"/>
    <x v="1"/>
    <s v="&quot;Worst experience I ever had on an airline&quot;"/>
    <x v="917"/>
    <x v="93"/>
    <s v="27th"/>
    <x v="6"/>
    <x v="2"/>
    <x v="1"/>
  </r>
  <r>
    <s v="Go First"/>
    <n v="1"/>
    <x v="1"/>
    <s v="&quot;Never book a flight with this airline&quot;"/>
    <x v="918"/>
    <x v="93"/>
    <s v="27th"/>
    <x v="6"/>
    <x v="2"/>
    <x v="1"/>
  </r>
  <r>
    <s v="Go First"/>
    <n v="1"/>
    <x v="1"/>
    <s v="&quot;the worst service I've seen so far&quot;"/>
    <x v="919"/>
    <x v="93"/>
    <s v="27th"/>
    <x v="6"/>
    <x v="2"/>
    <x v="1"/>
  </r>
  <r>
    <s v="Go First"/>
    <n v="1"/>
    <x v="1"/>
    <s v="&quot;a very bad free seat&quot;"/>
    <x v="920"/>
    <x v="93"/>
    <s v="27th"/>
    <x v="6"/>
    <x v="2"/>
    <x v="1"/>
  </r>
  <r>
    <s v="Go First"/>
    <n v="1"/>
    <x v="1"/>
    <s v="&quot;didnâ€™t let us board the flight&quot;"/>
    <x v="921"/>
    <x v="93"/>
    <s v="27th"/>
    <x v="6"/>
    <x v="2"/>
    <x v="1"/>
  </r>
  <r>
    <s v="Go First"/>
    <n v="1"/>
    <x v="1"/>
    <s v="&quot;Very pathetic experience&quot;"/>
    <x v="922"/>
    <x v="93"/>
    <s v="27th"/>
    <x v="6"/>
    <x v="2"/>
    <x v="1"/>
  </r>
  <r>
    <s v="Go First"/>
    <n v="1"/>
    <x v="1"/>
    <s v="&quot;one of the worst airlines to travel with&quot;"/>
    <x v="923"/>
    <x v="93"/>
    <s v="27th"/>
    <x v="6"/>
    <x v="2"/>
    <x v="1"/>
  </r>
  <r>
    <s v="Go First"/>
    <n v="2"/>
    <x v="1"/>
    <s v="&quot;I wonâ€™t recommend it to anybody&quot;"/>
    <x v="924"/>
    <x v="93"/>
    <s v="27th"/>
    <x v="6"/>
    <x v="2"/>
    <x v="1"/>
  </r>
  <r>
    <s v="Go First"/>
    <n v="1"/>
    <x v="1"/>
    <s v="&quot; Very worst experience&quot;"/>
    <x v="925"/>
    <x v="93"/>
    <s v="27th"/>
    <x v="6"/>
    <x v="2"/>
    <x v="1"/>
  </r>
  <r>
    <s v="IndiGo"/>
    <n v="2"/>
    <x v="1"/>
    <s v="â€œUnprofessional. Rude. Uncooperativeâ€"/>
    <x v="926"/>
    <x v="94"/>
    <s v="23rd"/>
    <x v="2"/>
    <x v="7"/>
    <x v="1"/>
  </r>
  <r>
    <s v="IndiGo"/>
    <n v="2"/>
    <x v="1"/>
    <s v="&quot;uncomfortable seats and subpar food&quot;"/>
    <x v="927"/>
    <x v="94"/>
    <s v="23rd"/>
    <x v="2"/>
    <x v="7"/>
    <x v="1"/>
  </r>
  <r>
    <s v="IndiGo"/>
    <n v="3"/>
    <x v="1"/>
    <s v="&quot;we have to wait for 12 hrs outside&quot;"/>
    <x v="928"/>
    <x v="94"/>
    <s v="23rd"/>
    <x v="2"/>
    <x v="7"/>
    <x v="1"/>
  </r>
  <r>
    <s v="IndiGo"/>
    <n v="1"/>
    <x v="1"/>
    <s v="â€œmaking everyone unpack their bagsâ€"/>
    <x v="929"/>
    <x v="94"/>
    <s v="23rd"/>
    <x v="2"/>
    <x v="7"/>
    <x v="1"/>
  </r>
  <r>
    <s v="IndiGo"/>
    <n v="2"/>
    <x v="1"/>
    <s v="&quot;ways to grab money from your customers&quot;"/>
    <x v="930"/>
    <x v="94"/>
    <s v="23rd"/>
    <x v="2"/>
    <x v="7"/>
    <x v="1"/>
  </r>
  <r>
    <s v="IndiGo"/>
    <n v="2"/>
    <x v="1"/>
    <s v="&quot;Not at all customer friendly&quot;"/>
    <x v="931"/>
    <x v="94"/>
    <s v="23rd"/>
    <x v="2"/>
    <x v="7"/>
    <x v="1"/>
  </r>
  <r>
    <s v="IndiGo"/>
    <n v="1"/>
    <x v="1"/>
    <s v="&quot;more than 45 mins for baggage to come&quot;"/>
    <x v="932"/>
    <x v="94"/>
    <s v="23rd"/>
    <x v="2"/>
    <x v="7"/>
    <x v="1"/>
  </r>
  <r>
    <s v="IndiGo"/>
    <n v="1"/>
    <x v="1"/>
    <s v="&quot;Both flights were delayed by 2 hours&quot;"/>
    <x v="933"/>
    <x v="94"/>
    <s v="23rd"/>
    <x v="2"/>
    <x v="7"/>
    <x v="1"/>
  </r>
  <r>
    <s v="IndiGo"/>
    <n v="10"/>
    <x v="2"/>
    <s v="&quot;value for money&quot;"/>
    <x v="934"/>
    <x v="94"/>
    <s v="23rd"/>
    <x v="2"/>
    <x v="7"/>
    <x v="0"/>
  </r>
  <r>
    <s v="IndiGo"/>
    <n v="5"/>
    <x v="0"/>
    <s v="&quot;unacceptable and very poor service&quot;"/>
    <x v="935"/>
    <x v="94"/>
    <s v="23rd"/>
    <x v="2"/>
    <x v="7"/>
    <x v="1"/>
  </r>
  <r>
    <s v="IndiGo"/>
    <n v="2"/>
    <x v="1"/>
    <s v="&quot;struggled due to online payment&quot;"/>
    <x v="936"/>
    <x v="95"/>
    <s v="10th"/>
    <x v="8"/>
    <x v="7"/>
    <x v="1"/>
  </r>
  <r>
    <s v="IndiGo"/>
    <n v="1"/>
    <x v="1"/>
    <s v="&quot;quite disappointing&quot;"/>
    <x v="937"/>
    <x v="95"/>
    <s v="10th"/>
    <x v="8"/>
    <x v="7"/>
    <x v="1"/>
  </r>
  <r>
    <s v="IndiGo"/>
    <n v="1"/>
    <x v="1"/>
    <s v="&quot;Ground Service of IndiGo is the worst&quot;"/>
    <x v="938"/>
    <x v="95"/>
    <s v="10th"/>
    <x v="8"/>
    <x v="7"/>
    <x v="1"/>
  </r>
  <r>
    <s v="IndiGo"/>
    <n v="2"/>
    <x v="1"/>
    <s v="&quot;Very rude people working for it&quot;"/>
    <x v="939"/>
    <x v="95"/>
    <s v="10th"/>
    <x v="8"/>
    <x v="7"/>
    <x v="1"/>
  </r>
  <r>
    <s v="IndiGo"/>
    <n v="1"/>
    <x v="1"/>
    <s v="â€œWorst Airlineâ€"/>
    <x v="940"/>
    <x v="95"/>
    <s v="10th"/>
    <x v="8"/>
    <x v="7"/>
    <x v="1"/>
  </r>
  <r>
    <s v="IndiGo"/>
    <n v="1"/>
    <x v="1"/>
    <s v="&quot;It's a very bad service&quot;"/>
    <x v="941"/>
    <x v="95"/>
    <s v="10th"/>
    <x v="8"/>
    <x v="7"/>
    <x v="1"/>
  </r>
  <r>
    <s v="IndiGo"/>
    <n v="5"/>
    <x v="0"/>
    <s v="&quot;a bad experience&quot;"/>
    <x v="942"/>
    <x v="95"/>
    <s v="10th"/>
    <x v="8"/>
    <x v="7"/>
    <x v="1"/>
  </r>
  <r>
    <s v="IndiGo"/>
    <n v="1"/>
    <x v="1"/>
    <s v="&quot;was charged 10,000 rs extra&quot;"/>
    <x v="943"/>
    <x v="95"/>
    <s v="10th"/>
    <x v="8"/>
    <x v="7"/>
    <x v="1"/>
  </r>
  <r>
    <s v="IndiGo"/>
    <n v="1"/>
    <x v="1"/>
    <s v="&quot;charged me extra for my hand luggage&quot;"/>
    <x v="944"/>
    <x v="95"/>
    <s v="10th"/>
    <x v="8"/>
    <x v="7"/>
    <x v="1"/>
  </r>
  <r>
    <s v="IndiGo"/>
    <n v="2"/>
    <x v="1"/>
    <s v="â€œStaff is inconsiderate and inhumanâ€"/>
    <x v="945"/>
    <x v="95"/>
    <s v="10th"/>
    <x v="8"/>
    <x v="7"/>
    <x v="1"/>
  </r>
  <r>
    <s v="IndiGo"/>
    <n v="1"/>
    <x v="1"/>
    <s v="&quot;gate closes 25min prior to departure&quot;"/>
    <x v="946"/>
    <x v="96"/>
    <s v="24th"/>
    <x v="7"/>
    <x v="7"/>
    <x v="1"/>
  </r>
  <r>
    <s v="IndiGo"/>
    <n v="6"/>
    <x v="0"/>
    <s v="&quot;we ended up missing the flight&quot;"/>
    <x v="947"/>
    <x v="96"/>
    <s v="24th"/>
    <x v="7"/>
    <x v="7"/>
    <x v="0"/>
  </r>
  <r>
    <s v="IndiGo"/>
    <n v="10"/>
    <x v="2"/>
    <s v="&quot;experienced very great service&quot;"/>
    <x v="948"/>
    <x v="96"/>
    <s v="24th"/>
    <x v="7"/>
    <x v="7"/>
    <x v="0"/>
  </r>
  <r>
    <s v="IndiGo"/>
    <n v="7"/>
    <x v="0"/>
    <s v="â€œpleasant cabin crewâ€"/>
    <x v="117"/>
    <x v="96"/>
    <s v="24th"/>
    <x v="7"/>
    <x v="7"/>
    <x v="0"/>
  </r>
  <r>
    <s v="IndiGo"/>
    <n v="8"/>
    <x v="2"/>
    <s v="&quot;a comfortable enough flight&quot;"/>
    <x v="949"/>
    <x v="96"/>
    <s v="24th"/>
    <x v="7"/>
    <x v="7"/>
    <x v="0"/>
  </r>
  <r>
    <s v="IndiGo"/>
    <n v="8"/>
    <x v="2"/>
    <s v="&quot;Overall quite happy&quot;"/>
    <x v="950"/>
    <x v="96"/>
    <s v="24th"/>
    <x v="7"/>
    <x v="7"/>
    <x v="0"/>
  </r>
  <r>
    <s v="IndiGo"/>
    <n v="10"/>
    <x v="2"/>
    <s v="&quot;his fantastic hospitality&quot;"/>
    <x v="951"/>
    <x v="96"/>
    <s v="24th"/>
    <x v="7"/>
    <x v="7"/>
    <x v="0"/>
  </r>
  <r>
    <s v="IndiGo"/>
    <n v="1"/>
    <x v="1"/>
    <s v="&quot;I was three minutes late&quot;"/>
    <x v="952"/>
    <x v="96"/>
    <s v="24th"/>
    <x v="7"/>
    <x v="7"/>
    <x v="1"/>
  </r>
  <r>
    <s v="IndiGo"/>
    <n v="3"/>
    <x v="1"/>
    <s v="â€œabsolutely rips people offâ€"/>
    <x v="953"/>
    <x v="96"/>
    <s v="24th"/>
    <x v="7"/>
    <x v="7"/>
    <x v="1"/>
  </r>
  <r>
    <s v="IndiGo"/>
    <n v="2"/>
    <x v="1"/>
    <s v="&quot;irresponsible behaviour&quot;"/>
    <x v="954"/>
    <x v="96"/>
    <s v="24th"/>
    <x v="7"/>
    <x v="7"/>
    <x v="1"/>
  </r>
  <r>
    <s v="IndiGo"/>
    <n v="1"/>
    <x v="1"/>
    <s v="&quot;menu was extremely restricted&quot;"/>
    <x v="955"/>
    <x v="97"/>
    <s v="5th"/>
    <x v="10"/>
    <x v="7"/>
    <x v="1"/>
  </r>
  <r>
    <s v="IndiGo"/>
    <n v="1"/>
    <x v="1"/>
    <s v="â€œTheir cheap fare is not worth itâ€"/>
    <x v="956"/>
    <x v="97"/>
    <s v="5th"/>
    <x v="10"/>
    <x v="7"/>
    <x v="1"/>
  </r>
  <r>
    <s v="IndiGo"/>
    <n v="1"/>
    <x v="1"/>
    <s v="&quot;pushed me to take a refund&quot;"/>
    <x v="957"/>
    <x v="97"/>
    <s v="5th"/>
    <x v="10"/>
    <x v="7"/>
    <x v="1"/>
  </r>
  <r>
    <s v="IndiGo"/>
    <n v="2"/>
    <x v="1"/>
    <s v="â€œCrew very nervous and chaoticâ€"/>
    <x v="958"/>
    <x v="97"/>
    <s v="5th"/>
    <x v="10"/>
    <x v="7"/>
    <x v="1"/>
  </r>
  <r>
    <s v="IndiGo"/>
    <n v="2"/>
    <x v="1"/>
    <s v="&quot;particular flight was terrible&quot;"/>
    <x v="959"/>
    <x v="97"/>
    <s v="5th"/>
    <x v="10"/>
    <x v="7"/>
    <x v="0"/>
  </r>
  <r>
    <s v="IndiGo"/>
    <n v="2"/>
    <x v="1"/>
    <s v="â€œOne of worst flight operatorsâ€"/>
    <x v="960"/>
    <x v="97"/>
    <s v="5th"/>
    <x v="10"/>
    <x v="7"/>
    <x v="1"/>
  </r>
  <r>
    <s v="IndiGo"/>
    <n v="3"/>
    <x v="1"/>
    <s v="&quot;website and mobile app is bad&quot;"/>
    <x v="961"/>
    <x v="97"/>
    <s v="5th"/>
    <x v="10"/>
    <x v="7"/>
    <x v="1"/>
  </r>
  <r>
    <s v="IndiGo"/>
    <n v="8"/>
    <x v="2"/>
    <s v="&quot;a good experience&quot;"/>
    <x v="962"/>
    <x v="97"/>
    <s v="5th"/>
    <x v="10"/>
    <x v="7"/>
    <x v="0"/>
  </r>
  <r>
    <s v="IndiGo"/>
    <n v="10"/>
    <x v="2"/>
    <s v="&quot;Excellent experience overall&quot;"/>
    <x v="963"/>
    <x v="97"/>
    <s v="5th"/>
    <x v="10"/>
    <x v="7"/>
    <x v="0"/>
  </r>
  <r>
    <s v="IndiGo"/>
    <n v="1"/>
    <x v="1"/>
    <s v="â€œThey do not careâ€"/>
    <x v="964"/>
    <x v="97"/>
    <s v="5th"/>
    <x v="10"/>
    <x v="7"/>
    <x v="1"/>
  </r>
  <r>
    <s v="IndiGo"/>
    <n v="1"/>
    <x v="1"/>
    <s v="IndiGo customer review"/>
    <x v="965"/>
    <x v="98"/>
    <s v="17th"/>
    <x v="11"/>
    <x v="7"/>
    <x v="1"/>
  </r>
  <r>
    <s v="IndiGo"/>
    <n v="1"/>
    <x v="1"/>
    <s v="â€œhave 0 standards to fly Internationalâ€"/>
    <x v="966"/>
    <x v="98"/>
    <s v="17th"/>
    <x v="11"/>
    <x v="7"/>
    <x v="1"/>
  </r>
  <r>
    <s v="IndiGo"/>
    <n v="1"/>
    <x v="1"/>
    <s v="â€œa very stressful experienceâ€"/>
    <x v="967"/>
    <x v="98"/>
    <s v="17th"/>
    <x v="11"/>
    <x v="7"/>
    <x v="1"/>
  </r>
  <r>
    <s v="IndiGo"/>
    <n v="1"/>
    <x v="1"/>
    <s v="â€œNot worth the hassleâ€"/>
    <x v="968"/>
    <x v="98"/>
    <s v="17th"/>
    <x v="11"/>
    <x v="7"/>
    <x v="1"/>
  </r>
  <r>
    <s v="IndiGo"/>
    <n v="4"/>
    <x v="1"/>
    <s v="â€œNew crew is really patheticâ€"/>
    <x v="969"/>
    <x v="98"/>
    <s v="17th"/>
    <x v="11"/>
    <x v="7"/>
    <x v="1"/>
  </r>
  <r>
    <s v="IndiGo"/>
    <n v="1"/>
    <x v="1"/>
    <s v="&quot;this was my worst experience&quot;"/>
    <x v="970"/>
    <x v="98"/>
    <s v="17th"/>
    <x v="11"/>
    <x v="7"/>
    <x v="1"/>
  </r>
  <r>
    <s v="IndiGo"/>
    <n v="4"/>
    <x v="1"/>
    <s v="&quot;Flight was delayed by 45 minutes&quot;"/>
    <x v="971"/>
    <x v="98"/>
    <s v="17th"/>
    <x v="11"/>
    <x v="7"/>
    <x v="1"/>
  </r>
  <r>
    <s v="IndiGo"/>
    <n v="1"/>
    <x v="1"/>
    <s v="&quot;asking for money to give a sandwich&quot;"/>
    <x v="972"/>
    <x v="98"/>
    <s v="17th"/>
    <x v="11"/>
    <x v="7"/>
    <x v="1"/>
  </r>
  <r>
    <s v="IndiGo"/>
    <n v="1"/>
    <x v="1"/>
    <s v="â€œHorrible inflight and customer serviceâ€"/>
    <x v="973"/>
    <x v="98"/>
    <s v="17th"/>
    <x v="11"/>
    <x v="7"/>
    <x v="1"/>
  </r>
  <r>
    <s v="IndiGo"/>
    <n v="1"/>
    <x v="1"/>
    <s v="â€œit is due to their faultâ€"/>
    <x v="974"/>
    <x v="98"/>
    <s v="17th"/>
    <x v="11"/>
    <x v="7"/>
    <x v="1"/>
  </r>
  <r>
    <s v="IndiGo"/>
    <n v="5"/>
    <x v="0"/>
    <s v="&quot;did not change my 12D exit row&quot;"/>
    <x v="975"/>
    <x v="99"/>
    <s v="30th"/>
    <x v="6"/>
    <x v="0"/>
    <x v="1"/>
  </r>
  <r>
    <s v="IndiGo"/>
    <n v="1"/>
    <x v="1"/>
    <s v="&quot;left me with a sense of dissatisfaction&quot;"/>
    <x v="976"/>
    <x v="99"/>
    <s v="30th"/>
    <x v="6"/>
    <x v="0"/>
    <x v="1"/>
  </r>
  <r>
    <s v="IndiGo"/>
    <n v="2"/>
    <x v="1"/>
    <s v="&quot;flight is delayed for 2 hrs&quot;"/>
    <x v="977"/>
    <x v="99"/>
    <s v="30th"/>
    <x v="6"/>
    <x v="0"/>
    <x v="1"/>
  </r>
  <r>
    <s v="IndiGo"/>
    <n v="8"/>
    <x v="2"/>
    <s v="&quot;par with the international carriers&quot;"/>
    <x v="978"/>
    <x v="99"/>
    <s v="30th"/>
    <x v="6"/>
    <x v="0"/>
    <x v="0"/>
  </r>
  <r>
    <s v="IndiGo"/>
    <n v="2"/>
    <x v="1"/>
    <s v="â€œseats were tattered and stainedâ€"/>
    <x v="979"/>
    <x v="99"/>
    <s v="30th"/>
    <x v="6"/>
    <x v="0"/>
    <x v="0"/>
  </r>
  <r>
    <s v="IndiGo"/>
    <n v="6"/>
    <x v="0"/>
    <s v="&quot;Overall a no-fuss experience&quot;"/>
    <x v="580"/>
    <x v="99"/>
    <s v="30th"/>
    <x v="6"/>
    <x v="0"/>
    <x v="1"/>
  </r>
  <r>
    <s v="IndiGo"/>
    <n v="2"/>
    <x v="1"/>
    <s v="&quot;Very bad experience&quot;"/>
    <x v="980"/>
    <x v="99"/>
    <s v="30th"/>
    <x v="6"/>
    <x v="0"/>
    <x v="1"/>
  </r>
  <r>
    <s v="IndiGo"/>
    <n v="1"/>
    <x v="1"/>
    <s v="&quot;not able to take my cabin baggage&quot;"/>
    <x v="981"/>
    <x v="99"/>
    <s v="30th"/>
    <x v="6"/>
    <x v="0"/>
    <x v="1"/>
  </r>
  <r>
    <s v="IndiGo"/>
    <n v="1"/>
    <x v="1"/>
    <s v="&quot;staff is so rude&quot;"/>
    <x v="982"/>
    <x v="99"/>
    <s v="30th"/>
    <x v="6"/>
    <x v="0"/>
    <x v="1"/>
  </r>
  <r>
    <s v="IndiGo"/>
    <n v="3"/>
    <x v="1"/>
    <s v="&quot;frequent reschedules and cancellations&quot;"/>
    <x v="983"/>
    <x v="99"/>
    <s v="30th"/>
    <x v="6"/>
    <x v="0"/>
    <x v="1"/>
  </r>
  <r>
    <s v="IndiGo"/>
    <n v="8"/>
    <x v="2"/>
    <s v="&quot;courteous crew, value for money&quot;"/>
    <x v="12"/>
    <x v="27"/>
    <s v="9th"/>
    <x v="0"/>
    <x v="0"/>
    <x v="0"/>
  </r>
  <r>
    <s v="IndiGo"/>
    <n v="1"/>
    <x v="1"/>
    <s v="&quot;Very disappointing&quot;"/>
    <x v="984"/>
    <x v="27"/>
    <s v="9th"/>
    <x v="0"/>
    <x v="0"/>
    <x v="1"/>
  </r>
  <r>
    <s v="IndiGo"/>
    <n v="1"/>
    <x v="1"/>
    <s v="&quot;did not serve corporate meal to me&quot;"/>
    <x v="985"/>
    <x v="27"/>
    <s v="9th"/>
    <x v="0"/>
    <x v="0"/>
    <x v="1"/>
  </r>
  <r>
    <s v="IndiGo"/>
    <n v="8"/>
    <x v="2"/>
    <s v="&quot;dealt the issue with professionalism&quot;"/>
    <x v="986"/>
    <x v="27"/>
    <s v="9th"/>
    <x v="0"/>
    <x v="0"/>
    <x v="0"/>
  </r>
  <r>
    <s v="IndiGo"/>
    <n v="10"/>
    <x v="2"/>
    <s v="&quot;motivated and talented cabin crew&quot;"/>
    <x v="987"/>
    <x v="27"/>
    <s v="9th"/>
    <x v="0"/>
    <x v="0"/>
    <x v="0"/>
  </r>
  <r>
    <s v="IndiGo"/>
    <n v="9"/>
    <x v="2"/>
    <s v="&quot;keen interest to resolve the matter&quot;"/>
    <x v="988"/>
    <x v="27"/>
    <s v="9th"/>
    <x v="0"/>
    <x v="0"/>
    <x v="0"/>
  </r>
  <r>
    <s v="IndiGo"/>
    <n v="5"/>
    <x v="0"/>
    <s v="&quot;no one was bothered to serve&quot;"/>
    <x v="989"/>
    <x v="27"/>
    <s v="9th"/>
    <x v="0"/>
    <x v="0"/>
    <x v="1"/>
  </r>
  <r>
    <s v="IndiGo"/>
    <n v="2"/>
    <x v="1"/>
    <s v="&quot;boarding experience unpleasant&quot;"/>
    <x v="990"/>
    <x v="27"/>
    <s v="9th"/>
    <x v="0"/>
    <x v="0"/>
    <x v="1"/>
  </r>
  <r>
    <s v="IndiGo"/>
    <n v="5"/>
    <x v="0"/>
    <s v="&quot;Seats and service were sub-par&quot;"/>
    <x v="991"/>
    <x v="27"/>
    <s v="9th"/>
    <x v="0"/>
    <x v="0"/>
    <x v="1"/>
  </r>
  <r>
    <s v="IndiGo"/>
    <n v="1"/>
    <x v="1"/>
    <s v="&quot;charged 7000 extra luggage charge&quot;"/>
    <x v="992"/>
    <x v="27"/>
    <s v="9th"/>
    <x v="0"/>
    <x v="0"/>
    <x v="1"/>
  </r>
  <r>
    <s v="IndiGo"/>
    <n v="2"/>
    <x v="1"/>
    <s v="&quot;lack of professionalism&quot;"/>
    <x v="993"/>
    <x v="100"/>
    <s v="18th"/>
    <x v="8"/>
    <x v="0"/>
    <x v="1"/>
  </r>
  <r>
    <s v="IndiGo"/>
    <n v="10"/>
    <x v="2"/>
    <s v="&quot;The service was excellent&quot;"/>
    <x v="994"/>
    <x v="100"/>
    <s v="18th"/>
    <x v="8"/>
    <x v="0"/>
    <x v="0"/>
  </r>
  <r>
    <s v="IndiGo"/>
    <n v="1"/>
    <x v="1"/>
    <s v="&quot;incredibly disappointed by the appalling service&quot;"/>
    <x v="995"/>
    <x v="100"/>
    <s v="18th"/>
    <x v="8"/>
    <x v="0"/>
    <x v="1"/>
  </r>
  <r>
    <s v="IndiGo"/>
    <n v="1"/>
    <x v="1"/>
    <s v="&quot;manually tagged bags were missing&quot;"/>
    <x v="996"/>
    <x v="100"/>
    <s v="18th"/>
    <x v="8"/>
    <x v="0"/>
    <x v="1"/>
  </r>
  <r>
    <s v="IndiGo"/>
    <n v="2"/>
    <x v="1"/>
    <s v="&quot;crew looks poorly trained&quot;"/>
    <x v="997"/>
    <x v="100"/>
    <s v="18th"/>
    <x v="8"/>
    <x v="0"/>
    <x v="1"/>
  </r>
  <r>
    <s v="IndiGo"/>
    <n v="1"/>
    <x v="1"/>
    <s v="&quot;give up my cabin bag at boarding&quot;"/>
    <x v="998"/>
    <x v="100"/>
    <s v="18th"/>
    <x v="8"/>
    <x v="0"/>
    <x v="1"/>
  </r>
  <r>
    <s v="IndiGo"/>
    <n v="2"/>
    <x v="1"/>
    <s v="&quot;my baggage was not there&quot;"/>
    <x v="999"/>
    <x v="100"/>
    <s v="18th"/>
    <x v="8"/>
    <x v="0"/>
    <x v="1"/>
  </r>
  <r>
    <s v="IndiGo"/>
    <n v="4"/>
    <x v="1"/>
    <s v="&quot;very bad customer service&quot;"/>
    <x v="1000"/>
    <x v="100"/>
    <s v="18th"/>
    <x v="8"/>
    <x v="0"/>
    <x v="1"/>
  </r>
  <r>
    <s v="IndiGo"/>
    <n v="8"/>
    <x v="2"/>
    <s v="&quot;crew were very kind and generous&quot;"/>
    <x v="1001"/>
    <x v="100"/>
    <s v="18th"/>
    <x v="8"/>
    <x v="0"/>
    <x v="0"/>
  </r>
  <r>
    <s v="IndiGo"/>
    <n v="10"/>
    <x v="2"/>
    <s v="&quot;Hats off to her presence of mind&quot;"/>
    <x v="1002"/>
    <x v="100"/>
    <s v="18th"/>
    <x v="8"/>
    <x v="0"/>
    <x v="0"/>
  </r>
  <r>
    <s v="IndiGo"/>
    <n v="2"/>
    <x v="1"/>
    <s v="&quot;cannot provide me wheelchair&quot;"/>
    <x v="1003"/>
    <x v="101"/>
    <s v="8th"/>
    <x v="9"/>
    <x v="0"/>
    <x v="1"/>
  </r>
  <r>
    <s v="IndiGo"/>
    <n v="3"/>
    <x v="1"/>
    <s v="&quot;airline used to be good&quot;"/>
    <x v="1004"/>
    <x v="101"/>
    <s v="8th"/>
    <x v="9"/>
    <x v="0"/>
    <x v="1"/>
  </r>
  <r>
    <s v="IndiGo"/>
    <n v="1"/>
    <x v="1"/>
    <s v="&quot;had the most frustrating experience&quot;"/>
    <x v="1005"/>
    <x v="101"/>
    <s v="8th"/>
    <x v="9"/>
    <x v="0"/>
    <x v="1"/>
  </r>
  <r>
    <s v="IndiGo"/>
    <n v="1"/>
    <x v="1"/>
    <s v="&quot;closed the gate 5 minutes before our arrival&quot;"/>
    <x v="1006"/>
    <x v="101"/>
    <s v="8th"/>
    <x v="9"/>
    <x v="0"/>
    <x v="1"/>
  </r>
  <r>
    <s v="IndiGo"/>
    <n v="8"/>
    <x v="2"/>
    <s v="&quot;comparatively better than others&quot;"/>
    <x v="1007"/>
    <x v="101"/>
    <s v="8th"/>
    <x v="9"/>
    <x v="0"/>
    <x v="0"/>
  </r>
  <r>
    <s v="IndiGo"/>
    <n v="1"/>
    <x v="1"/>
    <s v="&quot;like a road way bus&quot;"/>
    <x v="1008"/>
    <x v="101"/>
    <s v="8th"/>
    <x v="9"/>
    <x v="0"/>
    <x v="1"/>
  </r>
  <r>
    <s v="IndiGo"/>
    <n v="1"/>
    <x v="1"/>
    <s v="&quot;I missed my flight&quot;"/>
    <x v="1009"/>
    <x v="101"/>
    <s v="8th"/>
    <x v="9"/>
    <x v="0"/>
    <x v="1"/>
  </r>
  <r>
    <s v="IndiGo"/>
    <n v="1"/>
    <x v="1"/>
    <s v="&quot;no comfortable seating&quot;"/>
    <x v="1010"/>
    <x v="101"/>
    <s v="8th"/>
    <x v="9"/>
    <x v="0"/>
    <x v="1"/>
  </r>
  <r>
    <s v="IndiGo"/>
    <n v="3"/>
    <x v="1"/>
    <s v="&quot;wheelchair assistance was in waiting list&quot;"/>
    <x v="1011"/>
    <x v="101"/>
    <s v="8th"/>
    <x v="9"/>
    <x v="0"/>
    <x v="1"/>
  </r>
  <r>
    <s v="IndiGo"/>
    <n v="4"/>
    <x v="1"/>
    <s v="&quot;Very frustrated&quot;"/>
    <x v="1012"/>
    <x v="101"/>
    <s v="8th"/>
    <x v="9"/>
    <x v="0"/>
    <x v="1"/>
  </r>
  <r>
    <s v="IndiGo"/>
    <n v="5"/>
    <x v="0"/>
    <s v="&quot;probably Indiaâ€™s best low cost airline&quot;"/>
    <x v="1013"/>
    <x v="102"/>
    <s v="24th"/>
    <x v="1"/>
    <x v="0"/>
    <x v="0"/>
  </r>
  <r>
    <s v="IndiGo"/>
    <n v="1"/>
    <x v="1"/>
    <s v="&quot;nothing but broken bottles&quot;"/>
    <x v="1014"/>
    <x v="102"/>
    <s v="24th"/>
    <x v="1"/>
    <x v="0"/>
    <x v="1"/>
  </r>
  <r>
    <s v="IndiGo"/>
    <n v="1"/>
    <x v="1"/>
    <s v="&quot;will never fly with them&quot;"/>
    <x v="1015"/>
    <x v="102"/>
    <s v="24th"/>
    <x v="1"/>
    <x v="0"/>
    <x v="1"/>
  </r>
  <r>
    <s v="IndiGo"/>
    <n v="1"/>
    <x v="1"/>
    <s v="&quot;three days to confirm a booking&quot;"/>
    <x v="1016"/>
    <x v="102"/>
    <s v="24th"/>
    <x v="1"/>
    <x v="0"/>
    <x v="1"/>
  </r>
  <r>
    <s v="IndiGo"/>
    <n v="10"/>
    <x v="2"/>
    <s v="&quot;I should thank Indigo Airlines&quot;"/>
    <x v="1017"/>
    <x v="102"/>
    <s v="24th"/>
    <x v="1"/>
    <x v="0"/>
    <x v="0"/>
  </r>
  <r>
    <s v="IndiGo"/>
    <n v="1"/>
    <x v="1"/>
    <s v="&quot;worst and horrible experience&quot;"/>
    <x v="1018"/>
    <x v="102"/>
    <s v="24th"/>
    <x v="1"/>
    <x v="0"/>
    <x v="1"/>
  </r>
  <r>
    <s v="IndiGo"/>
    <n v="9"/>
    <x v="2"/>
    <s v="&quot;impressed by the service&quot;"/>
    <x v="1019"/>
    <x v="102"/>
    <s v="24th"/>
    <x v="1"/>
    <x v="0"/>
    <x v="0"/>
  </r>
  <r>
    <s v="IndiGo"/>
    <n v="1"/>
    <x v="1"/>
    <s v="&quot;food and drinks are payable&quot;"/>
    <x v="1020"/>
    <x v="102"/>
    <s v="24th"/>
    <x v="1"/>
    <x v="0"/>
    <x v="1"/>
  </r>
  <r>
    <s v="IndiGo"/>
    <n v="5"/>
    <x v="0"/>
    <s v="&quot;poor ground staff experience at Delhi&quot;"/>
    <x v="1021"/>
    <x v="102"/>
    <s v="24th"/>
    <x v="1"/>
    <x v="0"/>
    <x v="1"/>
  </r>
  <r>
    <s v="IndiGo"/>
    <n v="10"/>
    <x v="2"/>
    <s v="&quot;extremely helpful ground staff&quot;"/>
    <x v="1022"/>
    <x v="102"/>
    <s v="24th"/>
    <x v="1"/>
    <x v="0"/>
    <x v="0"/>
  </r>
  <r>
    <s v="IndiGo"/>
    <n v="10"/>
    <x v="2"/>
    <s v="&quot;Very good airline&quot;"/>
    <x v="1023"/>
    <x v="103"/>
    <s v="20th"/>
    <x v="5"/>
    <x v="0"/>
    <x v="0"/>
  </r>
  <r>
    <s v="IndiGo"/>
    <n v="1"/>
    <x v="1"/>
    <s v="&quot;extremely disappointed with Indigo&quot;"/>
    <x v="1024"/>
    <x v="103"/>
    <s v="20th"/>
    <x v="5"/>
    <x v="0"/>
    <x v="1"/>
  </r>
  <r>
    <s v="IndiGo"/>
    <n v="2"/>
    <x v="1"/>
    <s v="&quot;charges extra for its seat selection&quot;"/>
    <x v="1025"/>
    <x v="103"/>
    <s v="20th"/>
    <x v="5"/>
    <x v="0"/>
    <x v="1"/>
  </r>
  <r>
    <s v="IndiGo"/>
    <n v="2"/>
    <x v="1"/>
    <s v="&quot;worst customer service&quot;"/>
    <x v="1026"/>
    <x v="103"/>
    <s v="20th"/>
    <x v="5"/>
    <x v="0"/>
    <x v="1"/>
  </r>
  <r>
    <s v="IndiGo"/>
    <n v="3"/>
    <x v="1"/>
    <s v="&quot;The whole service is below par&quot;"/>
    <x v="1027"/>
    <x v="103"/>
    <s v="20th"/>
    <x v="5"/>
    <x v="0"/>
    <x v="1"/>
  </r>
  <r>
    <s v="IndiGo"/>
    <n v="3"/>
    <x v="1"/>
    <s v="&quot;interactions with passenger can best be classified as rude&quot;"/>
    <x v="855"/>
    <x v="103"/>
    <s v="20th"/>
    <x v="5"/>
    <x v="0"/>
    <x v="1"/>
  </r>
  <r>
    <s v="IndiGo"/>
    <n v="10"/>
    <x v="2"/>
    <s v="&quot;Awesome hospitality&quot;"/>
    <x v="1028"/>
    <x v="103"/>
    <s v="20th"/>
    <x v="5"/>
    <x v="0"/>
    <x v="0"/>
  </r>
  <r>
    <s v="IndiGo"/>
    <n v="4"/>
    <x v="1"/>
    <s v="&quot;seats were so uncomfortable&quot;"/>
    <x v="1029"/>
    <x v="103"/>
    <s v="20th"/>
    <x v="5"/>
    <x v="0"/>
    <x v="1"/>
  </r>
  <r>
    <s v="IndiGo"/>
    <n v="7"/>
    <x v="0"/>
    <s v="&quot;best LCC in India&quot;"/>
    <x v="12"/>
    <x v="103"/>
    <s v="20th"/>
    <x v="5"/>
    <x v="0"/>
    <x v="0"/>
  </r>
  <r>
    <s v="IndiGo"/>
    <n v="8"/>
    <x v="2"/>
    <s v="&quot;smooth and efficient trip&quot;"/>
    <x v="1030"/>
    <x v="103"/>
    <s v="20th"/>
    <x v="5"/>
    <x v="0"/>
    <x v="0"/>
  </r>
  <r>
    <s v="IndiGo"/>
    <n v="8"/>
    <x v="2"/>
    <s v="&quot;Another good experience&quot;"/>
    <x v="12"/>
    <x v="104"/>
    <s v="19th"/>
    <x v="11"/>
    <x v="0"/>
    <x v="0"/>
  </r>
  <r>
    <s v="IndiGo"/>
    <n v="8"/>
    <x v="2"/>
    <s v="&quot;extremely helpful and guided us&quot;"/>
    <x v="1031"/>
    <x v="104"/>
    <s v="19th"/>
    <x v="11"/>
    <x v="0"/>
    <x v="0"/>
  </r>
  <r>
    <s v="IndiGo"/>
    <n v="1"/>
    <x v="1"/>
    <s v="&quot;Best to avoid if at all possible&quot;"/>
    <x v="1032"/>
    <x v="104"/>
    <s v="19th"/>
    <x v="11"/>
    <x v="0"/>
    <x v="1"/>
  </r>
  <r>
    <s v="IndiGo"/>
    <n v="1"/>
    <x v="1"/>
    <s v="&quot;rude and unsupportive staff&quot;"/>
    <x v="1033"/>
    <x v="104"/>
    <s v="19th"/>
    <x v="11"/>
    <x v="0"/>
    <x v="1"/>
  </r>
  <r>
    <s v="IndiGo"/>
    <n v="3"/>
    <x v="1"/>
    <s v="&quot;Indigo is not an airline fit for international travel&quot;"/>
    <x v="1034"/>
    <x v="104"/>
    <s v="19th"/>
    <x v="11"/>
    <x v="0"/>
    <x v="1"/>
  </r>
  <r>
    <s v="IndiGo"/>
    <n v="1"/>
    <x v="1"/>
    <s v="&quot;amateurish personnel and never on time&quot;"/>
    <x v="1035"/>
    <x v="104"/>
    <s v="19th"/>
    <x v="11"/>
    <x v="0"/>
    <x v="1"/>
  </r>
  <r>
    <s v="IndiGo"/>
    <n v="1"/>
    <x v="1"/>
    <s v="&quot;Customer service was rude&quot;"/>
    <x v="1036"/>
    <x v="104"/>
    <s v="19th"/>
    <x v="11"/>
    <x v="0"/>
    <x v="1"/>
  </r>
  <r>
    <s v="IndiGo"/>
    <n v="4"/>
    <x v="1"/>
    <s v="&quot;no complimentary service&quot;"/>
    <x v="1037"/>
    <x v="104"/>
    <s v="19th"/>
    <x v="11"/>
    <x v="0"/>
    <x v="1"/>
  </r>
  <r>
    <s v="IndiGo"/>
    <n v="7"/>
    <x v="0"/>
    <s v="&quot;Aircraft was clean and fresh&quot;"/>
    <x v="12"/>
    <x v="104"/>
    <s v="19th"/>
    <x v="11"/>
    <x v="0"/>
    <x v="0"/>
  </r>
  <r>
    <s v="IndiGo"/>
    <n v="5"/>
    <x v="0"/>
    <s v="&quot;boarding and departure were on time&quot;"/>
    <x v="1038"/>
    <x v="104"/>
    <s v="19th"/>
    <x v="11"/>
    <x v="0"/>
    <x v="1"/>
  </r>
  <r>
    <s v="IndiGo"/>
    <n v="3"/>
    <x v="1"/>
    <s v="&quot;they are unable to trace the bag&quot;"/>
    <x v="1039"/>
    <x v="49"/>
    <s v="11th"/>
    <x v="4"/>
    <x v="1"/>
    <x v="1"/>
  </r>
  <r>
    <s v="IndiGo"/>
    <n v="1"/>
    <x v="1"/>
    <s v="&quot;No initiative or drive from any staff&quot;"/>
    <x v="1040"/>
    <x v="49"/>
    <s v="11th"/>
    <x v="4"/>
    <x v="1"/>
    <x v="1"/>
  </r>
  <r>
    <s v="IndiGo"/>
    <n v="1"/>
    <x v="1"/>
    <s v="&quot;they did not let me check in&quot;"/>
    <x v="1041"/>
    <x v="49"/>
    <s v="11th"/>
    <x v="4"/>
    <x v="1"/>
    <x v="1"/>
  </r>
  <r>
    <s v="IndiGo"/>
    <n v="8"/>
    <x v="2"/>
    <s v="&quot;clean cabin with smiling cabin crew&quot;"/>
    <x v="12"/>
    <x v="49"/>
    <s v="11th"/>
    <x v="4"/>
    <x v="1"/>
    <x v="0"/>
  </r>
  <r>
    <s v="IndiGo"/>
    <n v="8"/>
    <x v="2"/>
    <s v="&quot;staff were courteous&quot;"/>
    <x v="12"/>
    <x v="49"/>
    <s v="11th"/>
    <x v="4"/>
    <x v="1"/>
    <x v="0"/>
  </r>
  <r>
    <s v="IndiGo"/>
    <n v="1"/>
    <x v="1"/>
    <s v="&quot;baggage allowance is 15kg checked-in&quot;"/>
    <x v="1042"/>
    <x v="49"/>
    <s v="11th"/>
    <x v="4"/>
    <x v="1"/>
    <x v="1"/>
  </r>
  <r>
    <s v="IndiGo"/>
    <n v="1"/>
    <x v="1"/>
    <s v="&quot;airline had misplaced my luggage&quot;"/>
    <x v="1043"/>
    <x v="49"/>
    <s v="11th"/>
    <x v="4"/>
    <x v="1"/>
    <x v="0"/>
  </r>
  <r>
    <s v="IndiGo"/>
    <n v="10"/>
    <x v="2"/>
    <s v="&quot;air hostesses were very polite and accommodating&quot;"/>
    <x v="1044"/>
    <x v="49"/>
    <s v="11th"/>
    <x v="4"/>
    <x v="1"/>
    <x v="0"/>
  </r>
  <r>
    <s v="IndiGo"/>
    <n v="10"/>
    <x v="2"/>
    <s v="&quot;I had an outstanding experience with this airline&quot;"/>
    <x v="1045"/>
    <x v="49"/>
    <s v="11th"/>
    <x v="4"/>
    <x v="1"/>
    <x v="0"/>
  </r>
  <r>
    <s v="IndiGo"/>
    <n v="1"/>
    <x v="1"/>
    <s v="&quot;management should be truly be ashamed&quot;"/>
    <x v="1046"/>
    <x v="49"/>
    <s v="11th"/>
    <x v="4"/>
    <x v="1"/>
    <x v="1"/>
  </r>
  <r>
    <s v="IndiGo"/>
    <n v="3"/>
    <x v="1"/>
    <s v="&quot;scattered from seat no 15 to 31&quot;"/>
    <x v="1047"/>
    <x v="105"/>
    <s v="30th"/>
    <x v="0"/>
    <x v="1"/>
    <x v="1"/>
  </r>
  <r>
    <s v="IndiGo"/>
    <n v="1"/>
    <x v="1"/>
    <s v="&quot;never be flying with them again&quot;"/>
    <x v="1048"/>
    <x v="105"/>
    <s v="30th"/>
    <x v="0"/>
    <x v="1"/>
    <x v="1"/>
  </r>
  <r>
    <s v="IndiGo"/>
    <n v="1"/>
    <x v="1"/>
    <s v="&quot;pre booked meals given priority&quot;"/>
    <x v="1049"/>
    <x v="105"/>
    <s v="30th"/>
    <x v="0"/>
    <x v="1"/>
    <x v="1"/>
  </r>
  <r>
    <s v="IndiGo"/>
    <n v="1"/>
    <x v="1"/>
    <s v="&quot;If the cancellation is by Indigo why do I bear such cancellation charges?&quot;"/>
    <x v="1050"/>
    <x v="105"/>
    <s v="30th"/>
    <x v="0"/>
    <x v="1"/>
    <x v="1"/>
  </r>
  <r>
    <s v="IndiGo"/>
    <n v="1"/>
    <x v="1"/>
    <s v="&quot;avoid this airline in the future&quot;"/>
    <x v="1051"/>
    <x v="105"/>
    <s v="30th"/>
    <x v="0"/>
    <x v="1"/>
    <x v="1"/>
  </r>
  <r>
    <s v="IndiGo"/>
    <n v="1"/>
    <x v="1"/>
    <s v="&quot;delayed by half an hour or more in horrible heat&quot;"/>
    <x v="1052"/>
    <x v="105"/>
    <s v="30th"/>
    <x v="0"/>
    <x v="1"/>
    <x v="1"/>
  </r>
  <r>
    <s v="IndiGo"/>
    <n v="1"/>
    <x v="1"/>
    <s v="&quot;huge crowds at the check in counters&quot;"/>
    <x v="1053"/>
    <x v="105"/>
    <s v="30th"/>
    <x v="0"/>
    <x v="1"/>
    <x v="1"/>
  </r>
  <r>
    <s v="IndiGo"/>
    <n v="3"/>
    <x v="1"/>
    <s v="&quot;don't expect them to be friendly&quot;"/>
    <x v="1054"/>
    <x v="105"/>
    <s v="30th"/>
    <x v="0"/>
    <x v="1"/>
    <x v="1"/>
  </r>
  <r>
    <s v="IndiGo"/>
    <n v="1"/>
    <x v="1"/>
    <s v="&quot;a horrible experience&quot;"/>
    <x v="1055"/>
    <x v="105"/>
    <s v="30th"/>
    <x v="0"/>
    <x v="1"/>
    <x v="1"/>
  </r>
  <r>
    <s v="IndiGo"/>
    <n v="1"/>
    <x v="1"/>
    <s v="&quot;Flight delayed around 1.5 hrs&quot;"/>
    <x v="238"/>
    <x v="105"/>
    <s v="30th"/>
    <x v="0"/>
    <x v="1"/>
    <x v="1"/>
  </r>
  <r>
    <s v="IndiGo"/>
    <n v="1"/>
    <x v="1"/>
    <s v="&quot;careless with sensitive luggage&quot;"/>
    <x v="1056"/>
    <x v="106"/>
    <s v="19th"/>
    <x v="2"/>
    <x v="1"/>
    <x v="1"/>
  </r>
  <r>
    <s v="IndiGo"/>
    <n v="1"/>
    <x v="1"/>
    <s v="&quot;I asked for nearby seats&quot;"/>
    <x v="1057"/>
    <x v="106"/>
    <s v="19th"/>
    <x v="2"/>
    <x v="1"/>
    <x v="1"/>
  </r>
  <r>
    <s v="IndiGo"/>
    <n v="7"/>
    <x v="0"/>
    <s v="&quot;seats are just okay&quot;"/>
    <x v="12"/>
    <x v="106"/>
    <s v="19th"/>
    <x v="2"/>
    <x v="1"/>
    <x v="0"/>
  </r>
  <r>
    <s v="IndiGo"/>
    <n v="1"/>
    <x v="1"/>
    <s v="&quot;they needed to check my credit card&quot;"/>
    <x v="1058"/>
    <x v="106"/>
    <s v="19th"/>
    <x v="2"/>
    <x v="1"/>
    <x v="1"/>
  </r>
  <r>
    <s v="IndiGo"/>
    <n v="8"/>
    <x v="2"/>
    <s v="&quot;good experience with Indigo&quot;"/>
    <x v="12"/>
    <x v="106"/>
    <s v="19th"/>
    <x v="2"/>
    <x v="1"/>
    <x v="0"/>
  </r>
  <r>
    <s v="IndiGo"/>
    <n v="10"/>
    <x v="2"/>
    <s v="&quot;I want to thank the team&quot;"/>
    <x v="1059"/>
    <x v="106"/>
    <s v="19th"/>
    <x v="2"/>
    <x v="1"/>
    <x v="0"/>
  </r>
  <r>
    <s v="IndiGo"/>
    <n v="5"/>
    <x v="0"/>
    <s v="&quot;they changed my seat&quot;"/>
    <x v="1060"/>
    <x v="106"/>
    <s v="19th"/>
    <x v="2"/>
    <x v="1"/>
    <x v="1"/>
  </r>
  <r>
    <s v="IndiGo"/>
    <n v="3"/>
    <x v="1"/>
    <s v="&quot;gate baggage was missing at Delhi airport&quot;"/>
    <x v="1061"/>
    <x v="106"/>
    <s v="19th"/>
    <x v="2"/>
    <x v="1"/>
    <x v="1"/>
  </r>
  <r>
    <s v="IndiGo"/>
    <n v="1"/>
    <x v="1"/>
    <s v="&quot;minimum everything&quot;"/>
    <x v="1062"/>
    <x v="106"/>
    <s v="19th"/>
    <x v="2"/>
    <x v="1"/>
    <x v="1"/>
  </r>
  <r>
    <s v="IndiGo"/>
    <n v="7"/>
    <x v="0"/>
    <s v="&quot;Average experience this time&quot;"/>
    <x v="12"/>
    <x v="106"/>
    <s v="19th"/>
    <x v="2"/>
    <x v="1"/>
    <x v="0"/>
  </r>
  <r>
    <s v="IndiGo"/>
    <n v="7"/>
    <x v="0"/>
    <s v="&quot;Cabin was clean and fresh&quot;"/>
    <x v="12"/>
    <x v="107"/>
    <s v="16th"/>
    <x v="9"/>
    <x v="1"/>
    <x v="0"/>
  </r>
  <r>
    <s v="IndiGo"/>
    <n v="8"/>
    <x v="2"/>
    <s v="&quot;overall good experience&quot;"/>
    <x v="12"/>
    <x v="107"/>
    <s v="16th"/>
    <x v="9"/>
    <x v="1"/>
    <x v="0"/>
  </r>
  <r>
    <s v="IndiGo"/>
    <n v="1"/>
    <x v="1"/>
    <s v="IndiGo customer review"/>
    <x v="1063"/>
    <x v="107"/>
    <s v="16th"/>
    <x v="9"/>
    <x v="1"/>
    <x v="1"/>
  </r>
  <r>
    <s v="IndiGo"/>
    <n v="9"/>
    <x v="2"/>
    <s v="&quot;Clean spotless cabin&quot;"/>
    <x v="1064"/>
    <x v="107"/>
    <s v="16th"/>
    <x v="9"/>
    <x v="1"/>
    <x v="0"/>
  </r>
  <r>
    <s v="IndiGo"/>
    <n v="8"/>
    <x v="2"/>
    <s v="&quot;the crew were able to discharge their duties well&quot;"/>
    <x v="252"/>
    <x v="107"/>
    <s v="16th"/>
    <x v="9"/>
    <x v="1"/>
    <x v="0"/>
  </r>
  <r>
    <s v="IndiGo"/>
    <n v="1"/>
    <x v="1"/>
    <s v="&quot;I had to wait for almost 10 hours&quot;"/>
    <x v="1065"/>
    <x v="107"/>
    <s v="16th"/>
    <x v="9"/>
    <x v="1"/>
    <x v="1"/>
  </r>
  <r>
    <s v="IndiGo"/>
    <n v="1"/>
    <x v="1"/>
    <s v="&quot;no screen, no charging points&quot;"/>
    <x v="1066"/>
    <x v="107"/>
    <s v="16th"/>
    <x v="9"/>
    <x v="1"/>
    <x v="1"/>
  </r>
  <r>
    <s v="IndiGo"/>
    <n v="2"/>
    <x v="1"/>
    <s v="&quot;baggage was overweight 4 kgs and charging 2100rs&quot;"/>
    <x v="1067"/>
    <x v="107"/>
    <s v="16th"/>
    <x v="9"/>
    <x v="1"/>
    <x v="1"/>
  </r>
  <r>
    <s v="IndiGo"/>
    <n v="10"/>
    <x v="2"/>
    <s v="&quot;she was really very helpful&quot;"/>
    <x v="1068"/>
    <x v="107"/>
    <s v="16th"/>
    <x v="9"/>
    <x v="1"/>
    <x v="0"/>
  </r>
  <r>
    <s v="IndiGo"/>
    <n v="4"/>
    <x v="1"/>
    <s v="&quot;Uncalled for rescheduling and delay&quot;"/>
    <x v="1069"/>
    <x v="107"/>
    <s v="16th"/>
    <x v="9"/>
    <x v="1"/>
    <x v="0"/>
  </r>
  <r>
    <s v="IndiGo"/>
    <n v="5"/>
    <x v="0"/>
    <s v="&quot;no guarantee that we will be seated together&quot;"/>
    <x v="1070"/>
    <x v="108"/>
    <s v="15th"/>
    <x v="7"/>
    <x v="1"/>
    <x v="1"/>
  </r>
  <r>
    <s v="IndiGo"/>
    <n v="9"/>
    <x v="2"/>
    <s v="&quot;Great customer service&quot;"/>
    <x v="1071"/>
    <x v="108"/>
    <s v="15th"/>
    <x v="7"/>
    <x v="1"/>
    <x v="0"/>
  </r>
  <r>
    <s v="IndiGo"/>
    <n v="2"/>
    <x v="1"/>
    <s v="&quot;delayed by almost four hours&quot;"/>
    <x v="1072"/>
    <x v="108"/>
    <s v="15th"/>
    <x v="7"/>
    <x v="1"/>
    <x v="1"/>
  </r>
  <r>
    <s v="IndiGo"/>
    <n v="8"/>
    <x v="2"/>
    <s v="&quot;Good budget airline&quot;"/>
    <x v="12"/>
    <x v="108"/>
    <s v="15th"/>
    <x v="7"/>
    <x v="1"/>
    <x v="0"/>
  </r>
  <r>
    <s v="IndiGo"/>
    <n v="2"/>
    <x v="1"/>
    <s v="&quot;made to pay Rs.200 for not web checkin&quot;"/>
    <x v="1073"/>
    <x v="108"/>
    <s v="15th"/>
    <x v="7"/>
    <x v="1"/>
    <x v="1"/>
  </r>
  <r>
    <s v="IndiGo"/>
    <n v="8"/>
    <x v="2"/>
    <s v="&quot;how good and tolerant the flight crew were&quot;"/>
    <x v="1074"/>
    <x v="108"/>
    <s v="15th"/>
    <x v="7"/>
    <x v="1"/>
    <x v="0"/>
  </r>
  <r>
    <s v="IndiGo"/>
    <n v="10"/>
    <x v="2"/>
    <s v="&quot;very professional and polite&quot;"/>
    <x v="1075"/>
    <x v="108"/>
    <s v="15th"/>
    <x v="7"/>
    <x v="1"/>
    <x v="0"/>
  </r>
  <r>
    <s v="IndiGo"/>
    <n v="8"/>
    <x v="2"/>
    <s v="&quot;recent experience was a fantabulous one&quot;"/>
    <x v="869"/>
    <x v="108"/>
    <s v="15th"/>
    <x v="7"/>
    <x v="1"/>
    <x v="0"/>
  </r>
  <r>
    <s v="IndiGo"/>
    <n v="1"/>
    <x v="1"/>
    <s v="&quot;last time I will fly with Indigo&quot;"/>
    <x v="1076"/>
    <x v="108"/>
    <s v="15th"/>
    <x v="7"/>
    <x v="1"/>
    <x v="1"/>
  </r>
  <r>
    <s v="IndiGo"/>
    <n v="1"/>
    <x v="1"/>
    <s v="&quot;all seats shown as occupied&quot;"/>
    <x v="1077"/>
    <x v="108"/>
    <s v="15th"/>
    <x v="7"/>
    <x v="1"/>
    <x v="1"/>
  </r>
  <r>
    <s v="IndiGo"/>
    <n v="4"/>
    <x v="1"/>
    <s v="&quot;don't expect any support&quot;"/>
    <x v="1078"/>
    <x v="109"/>
    <s v="27th"/>
    <x v="5"/>
    <x v="1"/>
    <x v="1"/>
  </r>
  <r>
    <s v="IndiGo"/>
    <n v="4"/>
    <x v="1"/>
    <s v="&quot;This is unorganised!&quot;"/>
    <x v="1079"/>
    <x v="109"/>
    <s v="27th"/>
    <x v="5"/>
    <x v="1"/>
    <x v="1"/>
  </r>
  <r>
    <s v="IndiGo"/>
    <n v="9"/>
    <x v="2"/>
    <s v="&quot;Overall an uneventful flight&quot;"/>
    <x v="1080"/>
    <x v="109"/>
    <s v="27th"/>
    <x v="5"/>
    <x v="1"/>
    <x v="0"/>
  </r>
  <r>
    <s v="IndiGo"/>
    <n v="1"/>
    <x v="1"/>
    <s v="&quot;Really cheap strategy&quot;"/>
    <x v="1081"/>
    <x v="109"/>
    <s v="27th"/>
    <x v="5"/>
    <x v="1"/>
    <x v="1"/>
  </r>
  <r>
    <s v="IndiGo"/>
    <n v="5"/>
    <x v="0"/>
    <s v="&quot;it's a good time to start checking the weight and size of cabin baggage&quot;"/>
    <x v="252"/>
    <x v="109"/>
    <s v="27th"/>
    <x v="5"/>
    <x v="1"/>
    <x v="0"/>
  </r>
  <r>
    <s v="IndiGo"/>
    <n v="9"/>
    <x v="2"/>
    <s v="&quot;could not have asked for anything better&quot;"/>
    <x v="1082"/>
    <x v="109"/>
    <s v="27th"/>
    <x v="5"/>
    <x v="1"/>
    <x v="0"/>
  </r>
  <r>
    <s v="IndiGo"/>
    <n v="2"/>
    <x v="1"/>
    <s v="&quot;we are very disappointed with the airline&quot;"/>
    <x v="1083"/>
    <x v="109"/>
    <s v="27th"/>
    <x v="5"/>
    <x v="1"/>
    <x v="1"/>
  </r>
  <r>
    <s v="IndiGo"/>
    <n v="2"/>
    <x v="1"/>
    <s v="&quot;flight had no meal supplies&quot;"/>
    <x v="1084"/>
    <x v="109"/>
    <s v="27th"/>
    <x v="5"/>
    <x v="1"/>
    <x v="1"/>
  </r>
  <r>
    <s v="IndiGo"/>
    <n v="10"/>
    <x v="2"/>
    <s v="&quot;Keep up the good work&quot;"/>
    <x v="1085"/>
    <x v="109"/>
    <s v="27th"/>
    <x v="5"/>
    <x v="1"/>
    <x v="0"/>
  </r>
  <r>
    <s v="IndiGo"/>
    <n v="9"/>
    <x v="2"/>
    <s v="&quot;Indigo must be proud both of you&quot;"/>
    <x v="1086"/>
    <x v="109"/>
    <s v="27th"/>
    <x v="5"/>
    <x v="1"/>
    <x v="0"/>
  </r>
  <r>
    <s v="IndiGo"/>
    <n v="1"/>
    <x v="1"/>
    <s v="&quot;substandard quality of service&quot;"/>
    <x v="1087"/>
    <x v="110"/>
    <s v="10th"/>
    <x v="2"/>
    <x v="2"/>
    <x v="1"/>
  </r>
  <r>
    <s v="IndiGo"/>
    <n v="10"/>
    <x v="2"/>
    <s v="&quot;the seat selection was free&quot;"/>
    <x v="1088"/>
    <x v="110"/>
    <s v="10th"/>
    <x v="2"/>
    <x v="2"/>
    <x v="0"/>
  </r>
  <r>
    <s v="IndiGo"/>
    <n v="10"/>
    <x v="2"/>
    <s v="&quot;one of the top LCCs in Asia&quot;"/>
    <x v="1089"/>
    <x v="110"/>
    <s v="10th"/>
    <x v="2"/>
    <x v="2"/>
    <x v="0"/>
  </r>
  <r>
    <s v="IndiGo"/>
    <n v="2"/>
    <x v="1"/>
    <s v="&quot;counters had been closed at 7:30&quot;"/>
    <x v="1090"/>
    <x v="110"/>
    <s v="10th"/>
    <x v="2"/>
    <x v="2"/>
    <x v="1"/>
  </r>
  <r>
    <s v="IndiGo"/>
    <n v="10"/>
    <x v="2"/>
    <s v="&quot;the seat selection was free&quot;"/>
    <x v="1088"/>
    <x v="110"/>
    <s v="10th"/>
    <x v="2"/>
    <x v="2"/>
    <x v="0"/>
  </r>
  <r>
    <s v="IndiGo"/>
    <n v="10"/>
    <x v="2"/>
    <s v="&quot;Thank you IndiGo&quot;"/>
    <x v="1091"/>
    <x v="110"/>
    <s v="10th"/>
    <x v="2"/>
    <x v="2"/>
    <x v="0"/>
  </r>
  <r>
    <s v="IndiGo"/>
    <n v="1"/>
    <x v="1"/>
    <s v="&quot;obscene cancellation/change fees&quot;"/>
    <x v="1092"/>
    <x v="110"/>
    <s v="10th"/>
    <x v="2"/>
    <x v="2"/>
    <x v="1"/>
  </r>
  <r>
    <s v="IndiGo"/>
    <n v="1"/>
    <x v="1"/>
    <s v="&quot;They should inform earlier&quot;"/>
    <x v="1093"/>
    <x v="110"/>
    <s v="10th"/>
    <x v="2"/>
    <x v="2"/>
    <x v="1"/>
  </r>
  <r>
    <s v="IndiGo"/>
    <n v="8"/>
    <x v="2"/>
    <s v="&quot;provided with a covid-19 safety kit&quot;"/>
    <x v="1094"/>
    <x v="110"/>
    <s v="10th"/>
    <x v="2"/>
    <x v="2"/>
    <x v="0"/>
  </r>
  <r>
    <s v="IndiGo"/>
    <n v="2"/>
    <x v="1"/>
    <s v="&quot;Extremely bad experience&quot;"/>
    <x v="1095"/>
    <x v="110"/>
    <s v="10th"/>
    <x v="2"/>
    <x v="2"/>
    <x v="1"/>
  </r>
  <r>
    <s v="IndiGo"/>
    <n v="10"/>
    <x v="2"/>
    <s v="&quot;passengers were given safety kits&quot;"/>
    <x v="587"/>
    <x v="111"/>
    <s v="17th"/>
    <x v="10"/>
    <x v="2"/>
    <x v="0"/>
  </r>
  <r>
    <s v="IndiGo"/>
    <n v="10"/>
    <x v="2"/>
    <s v="&quot;I had a great experience flying IndiGo&quot;"/>
    <x v="238"/>
    <x v="111"/>
    <s v="17th"/>
    <x v="10"/>
    <x v="2"/>
    <x v="0"/>
  </r>
  <r>
    <s v="IndiGo"/>
    <n v="5"/>
    <x v="0"/>
    <s v="&quot;Cabin crew were nice, helpful&quot;"/>
    <x v="1096"/>
    <x v="111"/>
    <s v="17th"/>
    <x v="10"/>
    <x v="2"/>
    <x v="0"/>
  </r>
  <r>
    <s v="IndiGo"/>
    <n v="9"/>
    <x v="2"/>
    <s v="&quot;boarding started ahead of time&quot;"/>
    <x v="1097"/>
    <x v="111"/>
    <s v="17th"/>
    <x v="10"/>
    <x v="2"/>
    <x v="0"/>
  </r>
  <r>
    <s v="IndiGo"/>
    <n v="2"/>
    <x v="1"/>
    <s v="&quot;Such inexperienced and unprofessional airline staff&quot;"/>
    <x v="323"/>
    <x v="111"/>
    <s v="17th"/>
    <x v="10"/>
    <x v="2"/>
    <x v="1"/>
  </r>
  <r>
    <s v="IndiGo"/>
    <n v="1"/>
    <x v="1"/>
    <s v="&quot;wait for 12hrs to reach in Dubai&quot;"/>
    <x v="1098"/>
    <x v="111"/>
    <s v="17th"/>
    <x v="10"/>
    <x v="2"/>
    <x v="1"/>
  </r>
  <r>
    <s v="IndiGo"/>
    <n v="1"/>
    <x v="1"/>
    <s v="&quot;3 days and managed to locate my bag&quot;"/>
    <x v="1099"/>
    <x v="111"/>
    <s v="17th"/>
    <x v="10"/>
    <x v="2"/>
    <x v="1"/>
  </r>
  <r>
    <s v="IndiGo"/>
    <n v="9"/>
    <x v="2"/>
    <s v="&quot;IndiGo does the job very well&quot;"/>
    <x v="1100"/>
    <x v="111"/>
    <s v="17th"/>
    <x v="10"/>
    <x v="2"/>
    <x v="0"/>
  </r>
  <r>
    <s v="IndiGo"/>
    <n v="1"/>
    <x v="1"/>
    <s v="&quot;Extremely dissatisfied with the Customer Service Relations team&quot;"/>
    <x v="1101"/>
    <x v="111"/>
    <s v="17th"/>
    <x v="10"/>
    <x v="2"/>
    <x v="1"/>
  </r>
  <r>
    <s v="IndiGo"/>
    <n v="10"/>
    <x v="2"/>
    <s v="&quot;Very good experience&quot;"/>
    <x v="1102"/>
    <x v="111"/>
    <s v="17th"/>
    <x v="10"/>
    <x v="2"/>
    <x v="0"/>
  </r>
  <r>
    <s v="IndiGo"/>
    <n v="10"/>
    <x v="2"/>
    <s v="&quot;extremely satisfied with Indigo's service&quot;"/>
    <x v="1103"/>
    <x v="112"/>
    <s v="9th"/>
    <x v="6"/>
    <x v="3"/>
    <x v="0"/>
  </r>
  <r>
    <s v="IndiGo"/>
    <n v="9"/>
    <x v="2"/>
    <s v="&quot;their dedication and willingness&quot;"/>
    <x v="1104"/>
    <x v="112"/>
    <s v="9th"/>
    <x v="6"/>
    <x v="3"/>
    <x v="0"/>
  </r>
  <r>
    <s v="IndiGo"/>
    <n v="10"/>
    <x v="2"/>
    <s v="&quot;crew enforced the safety regulations well&quot;"/>
    <x v="1105"/>
    <x v="112"/>
    <s v="9th"/>
    <x v="6"/>
    <x v="3"/>
    <x v="0"/>
  </r>
  <r>
    <s v="IndiGo"/>
    <n v="10"/>
    <x v="2"/>
    <s v="&quot;this was an excellent airline&quot;"/>
    <x v="1106"/>
    <x v="112"/>
    <s v="9th"/>
    <x v="6"/>
    <x v="3"/>
    <x v="0"/>
  </r>
  <r>
    <s v="IndiGo"/>
    <n v="1"/>
    <x v="1"/>
    <s v="&quot;very poor service&quot;"/>
    <x v="1107"/>
    <x v="112"/>
    <s v="9th"/>
    <x v="6"/>
    <x v="3"/>
    <x v="1"/>
  </r>
  <r>
    <s v="IndiGo"/>
    <n v="10"/>
    <x v="2"/>
    <s v="&quot;thank you for a safe flight&quot;"/>
    <x v="1108"/>
    <x v="112"/>
    <s v="9th"/>
    <x v="6"/>
    <x v="3"/>
    <x v="0"/>
  </r>
  <r>
    <s v="IndiGo"/>
    <n v="9"/>
    <x v="2"/>
    <s v="&quot;staff were alert and attentive&quot;"/>
    <x v="1109"/>
    <x v="112"/>
    <s v="9th"/>
    <x v="6"/>
    <x v="3"/>
    <x v="0"/>
  </r>
  <r>
    <s v="IndiGo"/>
    <n v="9"/>
    <x v="2"/>
    <s v="&quot;are excellent on all levels&quot;"/>
    <x v="1110"/>
    <x v="112"/>
    <s v="9th"/>
    <x v="6"/>
    <x v="3"/>
    <x v="0"/>
  </r>
  <r>
    <s v="IndiGo"/>
    <n v="9"/>
    <x v="2"/>
    <s v="&quot;value for money airline&quot;"/>
    <x v="1111"/>
    <x v="112"/>
    <s v="9th"/>
    <x v="6"/>
    <x v="3"/>
    <x v="0"/>
  </r>
  <r>
    <s v="IndiGo"/>
    <n v="10"/>
    <x v="2"/>
    <s v="&quot;a very pleasant experience&quot;"/>
    <x v="1112"/>
    <x v="112"/>
    <s v="9th"/>
    <x v="6"/>
    <x v="3"/>
    <x v="0"/>
  </r>
  <r>
    <s v="IndiGo"/>
    <n v="9"/>
    <x v="2"/>
    <s v="&quot;service was good&quot;"/>
    <x v="1113"/>
    <x v="113"/>
    <s v="5th"/>
    <x v="10"/>
    <x v="3"/>
    <x v="0"/>
  </r>
  <r>
    <s v="IndiGo"/>
    <n v="2"/>
    <x v="1"/>
    <s v="&quot;No in-flight entertainment&quot;"/>
    <x v="1114"/>
    <x v="113"/>
    <s v="5th"/>
    <x v="10"/>
    <x v="3"/>
    <x v="1"/>
  </r>
  <r>
    <s v="IndiGo"/>
    <n v="5"/>
    <x v="0"/>
    <s v="&quot;The leg space was too small&quot;"/>
    <x v="1115"/>
    <x v="113"/>
    <s v="5th"/>
    <x v="10"/>
    <x v="3"/>
    <x v="1"/>
  </r>
  <r>
    <s v="IndiGo"/>
    <n v="1"/>
    <x v="1"/>
    <s v="&quot;trolley with broken handle&quot;"/>
    <x v="1116"/>
    <x v="113"/>
    <s v="5th"/>
    <x v="10"/>
    <x v="3"/>
    <x v="1"/>
  </r>
  <r>
    <s v="IndiGo"/>
    <n v="1"/>
    <x v="1"/>
    <s v="&quot;website was not working for me&quot;"/>
    <x v="1117"/>
    <x v="113"/>
    <s v="5th"/>
    <x v="10"/>
    <x v="3"/>
    <x v="1"/>
  </r>
  <r>
    <s v="IndiGo"/>
    <n v="1"/>
    <x v="1"/>
    <s v="&quot;Donâ€™t fly with IndiGo&quot;"/>
    <x v="1118"/>
    <x v="113"/>
    <s v="5th"/>
    <x v="10"/>
    <x v="3"/>
    <x v="1"/>
  </r>
  <r>
    <s v="IndiGo"/>
    <n v="10"/>
    <x v="2"/>
    <s v="&quot;an amazing experience&quot;"/>
    <x v="1119"/>
    <x v="113"/>
    <s v="5th"/>
    <x v="10"/>
    <x v="3"/>
    <x v="0"/>
  </r>
  <r>
    <s v="IndiGo"/>
    <n v="1"/>
    <x v="1"/>
    <s v="&quot;allocated seats in four different rows&quot;"/>
    <x v="1120"/>
    <x v="113"/>
    <s v="5th"/>
    <x v="10"/>
    <x v="3"/>
    <x v="1"/>
  </r>
  <r>
    <s v="IndiGo"/>
    <n v="7"/>
    <x v="0"/>
    <s v="&quot;content with their services&quot;"/>
    <x v="1121"/>
    <x v="113"/>
    <s v="5th"/>
    <x v="10"/>
    <x v="3"/>
    <x v="0"/>
  </r>
  <r>
    <s v="IndiGo"/>
    <n v="9"/>
    <x v="2"/>
    <s v="&quot;by and large a flawless flight&quot;"/>
    <x v="1122"/>
    <x v="113"/>
    <s v="5th"/>
    <x v="10"/>
    <x v="3"/>
    <x v="0"/>
  </r>
  <r>
    <s v="IndiGo"/>
    <n v="1"/>
    <x v="1"/>
    <s v="&quot;flight was delayed&quot;"/>
    <x v="1123"/>
    <x v="114"/>
    <s v="13th"/>
    <x v="4"/>
    <x v="4"/>
    <x v="1"/>
  </r>
  <r>
    <s v="IndiGo"/>
    <n v="10"/>
    <x v="2"/>
    <s v="&quot;record our sincere appreciation&quot;"/>
    <x v="1124"/>
    <x v="114"/>
    <s v="13th"/>
    <x v="4"/>
    <x v="4"/>
    <x v="0"/>
  </r>
  <r>
    <s v="IndiGo"/>
    <n v="1"/>
    <x v="1"/>
    <s v="&quot;do not be fooled&quot;"/>
    <x v="1125"/>
    <x v="114"/>
    <s v="13th"/>
    <x v="4"/>
    <x v="4"/>
    <x v="1"/>
  </r>
  <r>
    <s v="IndiGo"/>
    <n v="10"/>
    <x v="2"/>
    <s v="&quot;staff is very helpful&quot;"/>
    <x v="1126"/>
    <x v="114"/>
    <s v="13th"/>
    <x v="4"/>
    <x v="4"/>
    <x v="0"/>
  </r>
  <r>
    <s v="IndiGo"/>
    <n v="9"/>
    <x v="2"/>
    <s v="&quot;thanks to IndiGo manager&quot;"/>
    <x v="1127"/>
    <x v="114"/>
    <s v="13th"/>
    <x v="4"/>
    <x v="4"/>
    <x v="0"/>
  </r>
  <r>
    <s v="IndiGo"/>
    <n v="8"/>
    <x v="2"/>
    <s v="&quot;this is a nice way to fly within India&quot;"/>
    <x v="1128"/>
    <x v="114"/>
    <s v="13th"/>
    <x v="4"/>
    <x v="4"/>
    <x v="0"/>
  </r>
  <r>
    <s v="IndiGo"/>
    <n v="8"/>
    <x v="2"/>
    <s v="&quot;my favorite budget airline&quot;"/>
    <x v="1129"/>
    <x v="114"/>
    <s v="13th"/>
    <x v="4"/>
    <x v="4"/>
    <x v="0"/>
  </r>
  <r>
    <s v="IndiGo"/>
    <n v="2"/>
    <x v="1"/>
    <s v="&quot;check-in was fairly nonchalant&quot;"/>
    <x v="1130"/>
    <x v="114"/>
    <s v="13th"/>
    <x v="4"/>
    <x v="4"/>
    <x v="1"/>
  </r>
  <r>
    <s v="IndiGo"/>
    <n v="10"/>
    <x v="2"/>
    <s v="&quot;Happy with the service provided&quot;"/>
    <x v="1131"/>
    <x v="114"/>
    <s v="13th"/>
    <x v="4"/>
    <x v="4"/>
    <x v="0"/>
  </r>
  <r>
    <s v="IndiGo"/>
    <n v="1"/>
    <x v="1"/>
    <s v="&quot;advise avoiding Indigo&quot;"/>
    <x v="1132"/>
    <x v="114"/>
    <s v="13th"/>
    <x v="4"/>
    <x v="4"/>
    <x v="1"/>
  </r>
  <r>
    <s v="IndiGo"/>
    <n v="2"/>
    <x v="1"/>
    <s v="&quot;delayed us more than an hour&quot;"/>
    <x v="1133"/>
    <x v="115"/>
    <s v="13th"/>
    <x v="6"/>
    <x v="4"/>
    <x v="1"/>
  </r>
  <r>
    <s v="IndiGo"/>
    <n v="8"/>
    <x v="2"/>
    <s v="&quot;flight without any hassle&quot;"/>
    <x v="1134"/>
    <x v="115"/>
    <s v="13th"/>
    <x v="6"/>
    <x v="4"/>
    <x v="0"/>
  </r>
  <r>
    <s v="IndiGo"/>
    <n v="5"/>
    <x v="0"/>
    <s v="&quot;missed the flight by 5-10 min&quot;"/>
    <x v="1135"/>
    <x v="115"/>
    <s v="13th"/>
    <x v="6"/>
    <x v="4"/>
    <x v="1"/>
  </r>
  <r>
    <s v="IndiGo"/>
    <n v="3"/>
    <x v="1"/>
    <s v="&quot;flight experience was good&quot;"/>
    <x v="1136"/>
    <x v="115"/>
    <s v="13th"/>
    <x v="6"/>
    <x v="4"/>
    <x v="1"/>
  </r>
  <r>
    <s v="IndiGo"/>
    <n v="1"/>
    <x v="1"/>
    <s v="&quot;you have to reach at 0405&quot;"/>
    <x v="1137"/>
    <x v="115"/>
    <s v="13th"/>
    <x v="6"/>
    <x v="4"/>
    <x v="1"/>
  </r>
  <r>
    <s v="IndiGo"/>
    <n v="9"/>
    <x v="2"/>
    <s v="&quot;Seating quality is poor&quot;"/>
    <x v="1138"/>
    <x v="115"/>
    <s v="13th"/>
    <x v="6"/>
    <x v="4"/>
    <x v="0"/>
  </r>
  <r>
    <s v="IndiGo"/>
    <n v="9"/>
    <x v="2"/>
    <s v="&quot;this was a positive experience&quot;"/>
    <x v="1139"/>
    <x v="115"/>
    <s v="13th"/>
    <x v="6"/>
    <x v="4"/>
    <x v="0"/>
  </r>
  <r>
    <s v="IndiGo"/>
    <n v="9"/>
    <x v="2"/>
    <s v="&quot;great job with excellent service&quot;"/>
    <x v="1140"/>
    <x v="115"/>
    <s v="13th"/>
    <x v="6"/>
    <x v="4"/>
    <x v="0"/>
  </r>
  <r>
    <s v="IndiGo"/>
    <n v="8"/>
    <x v="2"/>
    <s v="&quot;Indigo is my first choice&quot;"/>
    <x v="1141"/>
    <x v="115"/>
    <s v="13th"/>
    <x v="6"/>
    <x v="4"/>
    <x v="0"/>
  </r>
  <r>
    <s v="IndiGo"/>
    <n v="9"/>
    <x v="2"/>
    <s v="&quot;Simply marvelous&quot;"/>
    <x v="1142"/>
    <x v="115"/>
    <s v="13th"/>
    <x v="6"/>
    <x v="4"/>
    <x v="0"/>
  </r>
  <r>
    <s v="IndiGo"/>
    <n v="10"/>
    <x v="2"/>
    <s v="&quot;helped me to find my wallet&quot;"/>
    <x v="1143"/>
    <x v="116"/>
    <s v="17th"/>
    <x v="2"/>
    <x v="4"/>
    <x v="0"/>
  </r>
  <r>
    <s v="IndiGo"/>
    <n v="10"/>
    <x v="2"/>
    <s v="&quot;It's the crew that makes the airline&quot;"/>
    <x v="1144"/>
    <x v="116"/>
    <s v="17th"/>
    <x v="2"/>
    <x v="4"/>
    <x v="0"/>
  </r>
  <r>
    <s v="IndiGo"/>
    <n v="7"/>
    <x v="0"/>
    <s v="&quot;very much overwhelmed with her genuine concern&quot;"/>
    <x v="1145"/>
    <x v="116"/>
    <s v="17th"/>
    <x v="2"/>
    <x v="4"/>
    <x v="1"/>
  </r>
  <r>
    <s v="IndiGo"/>
    <n v="9"/>
    <x v="2"/>
    <s v="&quot;I truly like the ambience&quot;"/>
    <x v="1146"/>
    <x v="116"/>
    <s v="17th"/>
    <x v="2"/>
    <x v="4"/>
    <x v="0"/>
  </r>
  <r>
    <s v="IndiGo"/>
    <n v="2"/>
    <x v="1"/>
    <s v="&quot;staff is very poor&quot;"/>
    <x v="1147"/>
    <x v="116"/>
    <s v="17th"/>
    <x v="2"/>
    <x v="4"/>
    <x v="0"/>
  </r>
  <r>
    <s v="IndiGo"/>
    <n v="8"/>
    <x v="2"/>
    <s v="&quot;They give a five star service&quot;"/>
    <x v="1148"/>
    <x v="116"/>
    <s v="17th"/>
    <x v="2"/>
    <x v="4"/>
    <x v="0"/>
  </r>
  <r>
    <s v="IndiGo"/>
    <n v="6"/>
    <x v="0"/>
    <s v="&quot;a nice flight&quot;"/>
    <x v="712"/>
    <x v="116"/>
    <s v="17th"/>
    <x v="2"/>
    <x v="4"/>
    <x v="1"/>
  </r>
  <r>
    <s v="IndiGo"/>
    <n v="10"/>
    <x v="2"/>
    <s v="&quot;customer-centric service&quot;"/>
    <x v="1149"/>
    <x v="116"/>
    <s v="17th"/>
    <x v="2"/>
    <x v="4"/>
    <x v="0"/>
  </r>
  <r>
    <s v="IndiGo"/>
    <n v="5"/>
    <x v="0"/>
    <s v="&quot;the service is good&quot;"/>
    <x v="1150"/>
    <x v="116"/>
    <s v="17th"/>
    <x v="2"/>
    <x v="4"/>
    <x v="0"/>
  </r>
  <r>
    <s v="IndiGo"/>
    <n v="9"/>
    <x v="2"/>
    <s v="&quot;Very good inflight service&quot;"/>
    <x v="1151"/>
    <x v="116"/>
    <s v="17th"/>
    <x v="2"/>
    <x v="4"/>
    <x v="0"/>
  </r>
  <r>
    <s v="IndiGo"/>
    <n v="10"/>
    <x v="2"/>
    <s v="&quot;the service was excellent&quot;"/>
    <x v="1152"/>
    <x v="117"/>
    <s v="21st"/>
    <x v="9"/>
    <x v="4"/>
    <x v="0"/>
  </r>
  <r>
    <s v="IndiGo"/>
    <n v="1"/>
    <x v="1"/>
    <s v="&quot;restriction on carry-on weight&quot;"/>
    <x v="1153"/>
    <x v="117"/>
    <s v="21st"/>
    <x v="9"/>
    <x v="4"/>
    <x v="1"/>
  </r>
  <r>
    <s v="IndiGo"/>
    <n v="1"/>
    <x v="1"/>
    <s v="&quot;a disastrous experience&quot;"/>
    <x v="1154"/>
    <x v="117"/>
    <s v="21st"/>
    <x v="9"/>
    <x v="4"/>
    <x v="1"/>
  </r>
  <r>
    <s v="IndiGo"/>
    <n v="4"/>
    <x v="1"/>
    <s v="&quot;tell us our flight has been split in 2&quot;"/>
    <x v="1155"/>
    <x v="117"/>
    <s v="21st"/>
    <x v="9"/>
    <x v="4"/>
    <x v="1"/>
  </r>
  <r>
    <s v="IndiGo"/>
    <n v="4"/>
    <x v="1"/>
    <s v="&quot;High On-time performance at the cost of hygiene&quot;"/>
    <x v="1156"/>
    <x v="117"/>
    <s v="21st"/>
    <x v="9"/>
    <x v="4"/>
    <x v="1"/>
  </r>
  <r>
    <s v="IndiGo"/>
    <n v="3"/>
    <x v="1"/>
    <s v="&quot;delayed by almost 2 hours&quot;"/>
    <x v="1157"/>
    <x v="117"/>
    <s v="21st"/>
    <x v="9"/>
    <x v="4"/>
    <x v="1"/>
  </r>
  <r>
    <s v="IndiGo"/>
    <n v="10"/>
    <x v="2"/>
    <s v="&quot;cabin crew was very polite&quot;"/>
    <x v="1158"/>
    <x v="117"/>
    <s v="21st"/>
    <x v="9"/>
    <x v="4"/>
    <x v="0"/>
  </r>
  <r>
    <s v="IndiGo"/>
    <n v="1"/>
    <x v="1"/>
    <s v="&quot;one of the luggage was lost&quot;"/>
    <x v="1159"/>
    <x v="117"/>
    <s v="21st"/>
    <x v="9"/>
    <x v="4"/>
    <x v="1"/>
  </r>
  <r>
    <s v="IndiGo"/>
    <n v="10"/>
    <x v="2"/>
    <s v="&quot;cabin crew with genuine smile&quot;"/>
    <x v="587"/>
    <x v="117"/>
    <s v="21st"/>
    <x v="9"/>
    <x v="4"/>
    <x v="0"/>
  </r>
  <r>
    <s v="IndiGo"/>
    <n v="2"/>
    <x v="1"/>
    <s v="&quot;already running late for flight&quot;"/>
    <x v="1160"/>
    <x v="117"/>
    <s v="21st"/>
    <x v="9"/>
    <x v="4"/>
    <x v="1"/>
  </r>
  <r>
    <s v="IndiGo"/>
    <n v="9"/>
    <x v="2"/>
    <s v="&quot;really helpful and welcoming.&quot;"/>
    <x v="1161"/>
    <x v="118"/>
    <s v="31st"/>
    <x v="7"/>
    <x v="4"/>
    <x v="0"/>
  </r>
  <r>
    <s v="IndiGo"/>
    <n v="10"/>
    <x v="2"/>
    <s v="&quot;how helpful they were&quot;"/>
    <x v="1162"/>
    <x v="118"/>
    <s v="31st"/>
    <x v="7"/>
    <x v="4"/>
    <x v="0"/>
  </r>
  <r>
    <s v="IndiGo"/>
    <n v="2"/>
    <x v="1"/>
    <s v="&quot;no options for hot meals&quot;"/>
    <x v="1163"/>
    <x v="118"/>
    <s v="31st"/>
    <x v="7"/>
    <x v="4"/>
    <x v="1"/>
  </r>
  <r>
    <s v="IndiGo"/>
    <n v="1"/>
    <x v="1"/>
    <s v="&quot;didn't have a printout of boarding pass&quot;"/>
    <x v="1164"/>
    <x v="118"/>
    <s v="31st"/>
    <x v="7"/>
    <x v="4"/>
    <x v="1"/>
  </r>
  <r>
    <s v="IndiGo"/>
    <n v="6"/>
    <x v="0"/>
    <s v="&quot;got what was expected&quot;"/>
    <x v="1165"/>
    <x v="118"/>
    <s v="31st"/>
    <x v="7"/>
    <x v="4"/>
    <x v="1"/>
  </r>
  <r>
    <s v="IndiGo"/>
    <n v="5"/>
    <x v="0"/>
    <s v="&quot;a box of cashew nuts&quot;"/>
    <x v="1166"/>
    <x v="118"/>
    <s v="31st"/>
    <x v="7"/>
    <x v="4"/>
    <x v="1"/>
  </r>
  <r>
    <s v="IndiGo"/>
    <n v="6"/>
    <x v="0"/>
    <s v="&quot;Crew is very nice&quot;"/>
    <x v="1167"/>
    <x v="118"/>
    <s v="31st"/>
    <x v="7"/>
    <x v="4"/>
    <x v="1"/>
  </r>
  <r>
    <s v="IndiGo"/>
    <n v="1"/>
    <x v="1"/>
    <s v="&quot;lovely experience until today&quot;"/>
    <x v="1168"/>
    <x v="118"/>
    <s v="31st"/>
    <x v="7"/>
    <x v="4"/>
    <x v="1"/>
  </r>
  <r>
    <s v="IndiGo"/>
    <n v="1"/>
    <x v="1"/>
    <s v="&quot;Very unprofessional&quot;"/>
    <x v="1169"/>
    <x v="118"/>
    <s v="31st"/>
    <x v="7"/>
    <x v="4"/>
    <x v="1"/>
  </r>
  <r>
    <s v="IndiGo"/>
    <n v="9"/>
    <x v="2"/>
    <s v="&quot;staff were all really helpful&quot;"/>
    <x v="1170"/>
    <x v="118"/>
    <s v="31st"/>
    <x v="7"/>
    <x v="4"/>
    <x v="0"/>
  </r>
  <r>
    <s v="IndiGo"/>
    <n v="3"/>
    <x v="1"/>
    <s v="&quot;I felt uncomfortable&quot;"/>
    <x v="1171"/>
    <x v="119"/>
    <s v="18th"/>
    <x v="1"/>
    <x v="4"/>
    <x v="1"/>
  </r>
  <r>
    <s v="IndiGo"/>
    <n v="10"/>
    <x v="2"/>
    <s v="&quot;Worth this price&quot;"/>
    <x v="1172"/>
    <x v="119"/>
    <s v="18th"/>
    <x v="1"/>
    <x v="4"/>
    <x v="0"/>
  </r>
  <r>
    <s v="IndiGo"/>
    <n v="9"/>
    <x v="2"/>
    <s v="&quot;very pleasant and helpful&quot;"/>
    <x v="1173"/>
    <x v="119"/>
    <s v="18th"/>
    <x v="1"/>
    <x v="4"/>
    <x v="0"/>
  </r>
  <r>
    <s v="IndiGo"/>
    <n v="1"/>
    <x v="1"/>
    <s v="&quot;rescheduled my flight 3 times&quot;"/>
    <x v="1174"/>
    <x v="119"/>
    <s v="18th"/>
    <x v="1"/>
    <x v="4"/>
    <x v="1"/>
  </r>
  <r>
    <s v="IndiGo"/>
    <n v="10"/>
    <x v="2"/>
    <s v="&quot;very pleasant flight experience&quot;"/>
    <x v="1175"/>
    <x v="119"/>
    <s v="18th"/>
    <x v="1"/>
    <x v="4"/>
    <x v="0"/>
  </r>
  <r>
    <s v="IndiGo"/>
    <n v="3"/>
    <x v="1"/>
    <s v="&quot;the timings were good&quot;"/>
    <x v="1176"/>
    <x v="119"/>
    <s v="18th"/>
    <x v="1"/>
    <x v="4"/>
    <x v="1"/>
  </r>
  <r>
    <s v="IndiGo"/>
    <n v="10"/>
    <x v="2"/>
    <s v="&quot;staff were smiling&quot;"/>
    <x v="1177"/>
    <x v="119"/>
    <s v="18th"/>
    <x v="1"/>
    <x v="4"/>
    <x v="0"/>
  </r>
  <r>
    <s v="IndiGo"/>
    <n v="10"/>
    <x v="2"/>
    <s v="&quot;very thankful for the assistance we received&quot;"/>
    <x v="1178"/>
    <x v="119"/>
    <s v="18th"/>
    <x v="1"/>
    <x v="4"/>
    <x v="0"/>
  </r>
  <r>
    <s v="IndiGo"/>
    <n v="3"/>
    <x v="1"/>
    <s v="&quot;was delayed 25 minutes&quot;"/>
    <x v="1179"/>
    <x v="119"/>
    <s v="18th"/>
    <x v="1"/>
    <x v="4"/>
    <x v="1"/>
  </r>
  <r>
    <s v="IndiGo"/>
    <n v="1"/>
    <x v="1"/>
    <s v="&quot;Flight was delayed 4 times&quot;"/>
    <x v="1180"/>
    <x v="119"/>
    <s v="18th"/>
    <x v="1"/>
    <x v="4"/>
    <x v="1"/>
  </r>
  <r>
    <s v="IndiGo"/>
    <n v="2"/>
    <x v="1"/>
    <s v="&quot;should learn to respect passengers&quot;"/>
    <x v="1181"/>
    <x v="120"/>
    <s v="12th"/>
    <x v="5"/>
    <x v="4"/>
    <x v="1"/>
  </r>
  <r>
    <s v="IndiGo"/>
    <n v="1"/>
    <x v="1"/>
    <s v="&quot;our terminal had changed&quot;"/>
    <x v="1182"/>
    <x v="120"/>
    <s v="12th"/>
    <x v="5"/>
    <x v="4"/>
    <x v="1"/>
  </r>
  <r>
    <s v="IndiGo"/>
    <n v="7"/>
    <x v="0"/>
    <s v="&quot;thank you to all the team&quot;"/>
    <x v="1183"/>
    <x v="120"/>
    <s v="12th"/>
    <x v="5"/>
    <x v="4"/>
    <x v="0"/>
  </r>
  <r>
    <s v="IndiGo"/>
    <n v="1"/>
    <x v="1"/>
    <s v="&quot;need more checkin agents&quot;"/>
    <x v="1184"/>
    <x v="120"/>
    <s v="12th"/>
    <x v="5"/>
    <x v="4"/>
    <x v="1"/>
  </r>
  <r>
    <s v="IndiGo"/>
    <n v="1"/>
    <x v="1"/>
    <s v="&quot;I was not entertained&quot;"/>
    <x v="1185"/>
    <x v="120"/>
    <s v="12th"/>
    <x v="5"/>
    <x v="4"/>
    <x v="1"/>
  </r>
  <r>
    <s v="IndiGo"/>
    <n v="1"/>
    <x v="1"/>
    <s v="&quot;given wrong information by staff&quot;"/>
    <x v="1186"/>
    <x v="120"/>
    <s v="12th"/>
    <x v="5"/>
    <x v="4"/>
    <x v="1"/>
  </r>
  <r>
    <s v="IndiGo"/>
    <n v="6"/>
    <x v="0"/>
    <s v="&quot;I appreciate the timings&quot;"/>
    <x v="1187"/>
    <x v="120"/>
    <s v="12th"/>
    <x v="5"/>
    <x v="4"/>
    <x v="0"/>
  </r>
  <r>
    <s v="IndiGo"/>
    <n v="1"/>
    <x v="1"/>
    <s v="&quot;Catastrophic reservation system&quot;"/>
    <x v="1188"/>
    <x v="120"/>
    <s v="12th"/>
    <x v="5"/>
    <x v="4"/>
    <x v="1"/>
  </r>
  <r>
    <s v="IndiGo"/>
    <n v="1"/>
    <x v="1"/>
    <s v="&quot;missed the Kannur flight&quot;"/>
    <x v="1189"/>
    <x v="120"/>
    <s v="12th"/>
    <x v="5"/>
    <x v="4"/>
    <x v="1"/>
  </r>
  <r>
    <s v="IndiGo"/>
    <n v="1"/>
    <x v="1"/>
    <s v="IndiGo customer review"/>
    <x v="1190"/>
    <x v="120"/>
    <s v="12th"/>
    <x v="5"/>
    <x v="4"/>
    <x v="1"/>
  </r>
  <r>
    <s v="IndiGo"/>
    <n v="1"/>
    <x v="1"/>
    <s v="&quot;Bad time management&quot;"/>
    <x v="1191"/>
    <x v="121"/>
    <s v="21st"/>
    <x v="4"/>
    <x v="5"/>
    <x v="1"/>
  </r>
  <r>
    <s v="IndiGo"/>
    <n v="1"/>
    <x v="1"/>
    <s v="&quot;flight was not on time&quot;"/>
    <x v="1192"/>
    <x v="121"/>
    <s v="21st"/>
    <x v="4"/>
    <x v="5"/>
    <x v="1"/>
  </r>
  <r>
    <s v="IndiGo"/>
    <n v="3"/>
    <x v="1"/>
    <s v="&quot;Extremely unprofessional service&quot;"/>
    <x v="1193"/>
    <x v="121"/>
    <s v="21st"/>
    <x v="4"/>
    <x v="5"/>
    <x v="1"/>
  </r>
  <r>
    <s v="IndiGo"/>
    <n v="2"/>
    <x v="1"/>
    <s v="&quot;charged for an extra baggage&quot;"/>
    <x v="1194"/>
    <x v="121"/>
    <s v="21st"/>
    <x v="4"/>
    <x v="5"/>
    <x v="1"/>
  </r>
  <r>
    <s v="IndiGo"/>
    <n v="3"/>
    <x v="1"/>
    <s v="&quot;only left with sandwiches&quot;"/>
    <x v="1195"/>
    <x v="121"/>
    <s v="21st"/>
    <x v="4"/>
    <x v="5"/>
    <x v="1"/>
  </r>
  <r>
    <s v="IndiGo"/>
    <n v="1"/>
    <x v="1"/>
    <s v="&quot;52 mins to receive the luggage&quot;"/>
    <x v="1196"/>
    <x v="121"/>
    <s v="21st"/>
    <x v="4"/>
    <x v="5"/>
    <x v="1"/>
  </r>
  <r>
    <s v="IndiGo"/>
    <n v="8"/>
    <x v="2"/>
    <s v="&quot;crew were super friendly&quot;"/>
    <x v="1197"/>
    <x v="121"/>
    <s v="21st"/>
    <x v="4"/>
    <x v="5"/>
    <x v="0"/>
  </r>
  <r>
    <s v="IndiGo"/>
    <n v="1"/>
    <x v="1"/>
    <s v="&quot;flight was rescheduled&quot;"/>
    <x v="1198"/>
    <x v="121"/>
    <s v="21st"/>
    <x v="4"/>
    <x v="5"/>
    <x v="1"/>
  </r>
  <r>
    <s v="IndiGo"/>
    <n v="4"/>
    <x v="1"/>
    <s v="&quot;they should at least compensate&quot;"/>
    <x v="1199"/>
    <x v="121"/>
    <s v="21st"/>
    <x v="4"/>
    <x v="5"/>
    <x v="1"/>
  </r>
  <r>
    <s v="IndiGo"/>
    <n v="1"/>
    <x v="1"/>
    <s v="&quot;inflexible airline and understaffed&quot;"/>
    <x v="1200"/>
    <x v="121"/>
    <s v="21st"/>
    <x v="4"/>
    <x v="5"/>
    <x v="1"/>
  </r>
  <r>
    <s v="IndiGo"/>
    <n v="1"/>
    <x v="1"/>
    <s v="&quot;measuring the handbags&quot;"/>
    <x v="1201"/>
    <x v="122"/>
    <s v="4th"/>
    <x v="0"/>
    <x v="5"/>
    <x v="1"/>
  </r>
  <r>
    <s v="IndiGo"/>
    <n v="7"/>
    <x v="0"/>
    <s v="&quot;3 mins late for boarding&quot;"/>
    <x v="1202"/>
    <x v="122"/>
    <s v="4th"/>
    <x v="0"/>
    <x v="5"/>
    <x v="1"/>
  </r>
  <r>
    <s v="IndiGo"/>
    <n v="5"/>
    <x v="0"/>
    <s v="&quot;nothing turned up in Chennai&quot;"/>
    <x v="1203"/>
    <x v="122"/>
    <s v="4th"/>
    <x v="0"/>
    <x v="5"/>
    <x v="0"/>
  </r>
  <r>
    <s v="IndiGo"/>
    <n v="8"/>
    <x v="2"/>
    <s v="&quot;professional and caring&quot;"/>
    <x v="1204"/>
    <x v="122"/>
    <s v="4th"/>
    <x v="0"/>
    <x v="5"/>
    <x v="0"/>
  </r>
  <r>
    <s v="IndiGo"/>
    <n v="1"/>
    <x v="1"/>
    <s v="&quot;wouldnâ€™t recommend&quot;"/>
    <x v="1205"/>
    <x v="122"/>
    <s v="4th"/>
    <x v="0"/>
    <x v="5"/>
    <x v="1"/>
  </r>
  <r>
    <s v="IndiGo"/>
    <n v="7"/>
    <x v="0"/>
    <s v="&quot;experience was good&quot;"/>
    <x v="1206"/>
    <x v="122"/>
    <s v="4th"/>
    <x v="0"/>
    <x v="5"/>
    <x v="0"/>
  </r>
  <r>
    <s v="IndiGo"/>
    <n v="9"/>
    <x v="2"/>
    <s v="&quot;Totally recommend it&quot;"/>
    <x v="1207"/>
    <x v="122"/>
    <s v="4th"/>
    <x v="0"/>
    <x v="5"/>
    <x v="0"/>
  </r>
  <r>
    <s v="IndiGo"/>
    <n v="1"/>
    <x v="1"/>
    <s v="&quot;paying for the excess baggage&quot;"/>
    <x v="1208"/>
    <x v="122"/>
    <s v="4th"/>
    <x v="0"/>
    <x v="5"/>
    <x v="1"/>
  </r>
  <r>
    <s v="IndiGo"/>
    <n v="10"/>
    <x v="2"/>
    <s v="&quot;Indigo is such a great airline&quot;"/>
    <x v="1209"/>
    <x v="122"/>
    <s v="4th"/>
    <x v="0"/>
    <x v="5"/>
    <x v="0"/>
  </r>
  <r>
    <s v="IndiGo"/>
    <n v="8"/>
    <x v="2"/>
    <s v="&quot;We enjoyed our trip&quot;"/>
    <x v="1210"/>
    <x v="122"/>
    <s v="4th"/>
    <x v="0"/>
    <x v="5"/>
    <x v="0"/>
  </r>
  <r>
    <s v="IndiGo"/>
    <n v="8"/>
    <x v="2"/>
    <s v="&quot;Good service and price&quot;"/>
    <x v="1211"/>
    <x v="123"/>
    <s v="28th"/>
    <x v="3"/>
    <x v="5"/>
    <x v="0"/>
  </r>
  <r>
    <s v="IndiGo"/>
    <n v="9"/>
    <x v="2"/>
    <s v="&quot;full marks for their service&quot;"/>
    <x v="1212"/>
    <x v="123"/>
    <s v="28th"/>
    <x v="3"/>
    <x v="5"/>
    <x v="0"/>
  </r>
  <r>
    <s v="IndiGo"/>
    <n v="1"/>
    <x v="1"/>
    <s v="&quot;disorganized and inefficient&quot;"/>
    <x v="1213"/>
    <x v="123"/>
    <s v="28th"/>
    <x v="3"/>
    <x v="5"/>
    <x v="1"/>
  </r>
  <r>
    <s v="IndiGo"/>
    <n v="1"/>
    <x v="1"/>
    <s v="&quot;an excess baggage of 5kg&quot;"/>
    <x v="1214"/>
    <x v="123"/>
    <s v="28th"/>
    <x v="3"/>
    <x v="5"/>
    <x v="1"/>
  </r>
  <r>
    <s v="IndiGo"/>
    <n v="9"/>
    <x v="2"/>
    <s v="&quot;a value for money indeed&quot;"/>
    <x v="1212"/>
    <x v="123"/>
    <s v="28th"/>
    <x v="3"/>
    <x v="5"/>
    <x v="0"/>
  </r>
  <r>
    <s v="IndiGo"/>
    <n v="10"/>
    <x v="2"/>
    <s v="&quot;happy with this sweet gestue&quot;"/>
    <x v="1215"/>
    <x v="123"/>
    <s v="28th"/>
    <x v="3"/>
    <x v="5"/>
    <x v="0"/>
  </r>
  <r>
    <s v="IndiGo"/>
    <n v="10"/>
    <x v="2"/>
    <s v="&quot;such caring staff&quot;"/>
    <x v="1216"/>
    <x v="123"/>
    <s v="28th"/>
    <x v="3"/>
    <x v="5"/>
    <x v="1"/>
  </r>
  <r>
    <s v="IndiGo"/>
    <n v="10"/>
    <x v="2"/>
    <s v="&quot;such a caring staff.&quot;"/>
    <x v="1217"/>
    <x v="123"/>
    <s v="28th"/>
    <x v="3"/>
    <x v="5"/>
    <x v="1"/>
  </r>
  <r>
    <s v="IndiGo"/>
    <n v="10"/>
    <x v="2"/>
    <s v="&quot;she was excellent&quot;"/>
    <x v="1218"/>
    <x v="123"/>
    <s v="28th"/>
    <x v="3"/>
    <x v="5"/>
    <x v="0"/>
  </r>
  <r>
    <s v="IndiGo"/>
    <n v="1"/>
    <x v="1"/>
    <s v="&quot;Please improve your service&quot;"/>
    <x v="1219"/>
    <x v="123"/>
    <s v="28th"/>
    <x v="3"/>
    <x v="5"/>
    <x v="1"/>
  </r>
  <r>
    <s v="IndiGo"/>
    <n v="2"/>
    <x v="1"/>
    <s v="&quot;Lack of flexibility&quot;"/>
    <x v="1220"/>
    <x v="124"/>
    <s v="27th"/>
    <x v="1"/>
    <x v="5"/>
    <x v="1"/>
  </r>
  <r>
    <s v="IndiGo"/>
    <n v="2"/>
    <x v="1"/>
    <s v="&quot;delayed by more than 5 hours&quot;"/>
    <x v="1221"/>
    <x v="124"/>
    <s v="27th"/>
    <x v="1"/>
    <x v="5"/>
    <x v="1"/>
  </r>
  <r>
    <s v="IndiGo"/>
    <n v="2"/>
    <x v="1"/>
    <s v="&quot;poor quality of ground staff&quot;"/>
    <x v="1222"/>
    <x v="124"/>
    <s v="27th"/>
    <x v="1"/>
    <x v="5"/>
    <x v="1"/>
  </r>
  <r>
    <s v="IndiGo"/>
    <n v="2"/>
    <x v="1"/>
    <s v="&quot;missed my Delhi - Dubai flight&quot;"/>
    <x v="1223"/>
    <x v="124"/>
    <s v="27th"/>
    <x v="1"/>
    <x v="5"/>
    <x v="1"/>
  </r>
  <r>
    <s v="IndiGo"/>
    <n v="1"/>
    <x v="1"/>
    <s v="&quot;the flight I booked was cancelled&quot;"/>
    <x v="1224"/>
    <x v="124"/>
    <s v="27th"/>
    <x v="1"/>
    <x v="5"/>
    <x v="1"/>
  </r>
  <r>
    <s v="IndiGo"/>
    <n v="10"/>
    <x v="2"/>
    <s v="&quot;sincere thanks and appreciation&quot;"/>
    <x v="1225"/>
    <x v="124"/>
    <s v="27th"/>
    <x v="1"/>
    <x v="5"/>
    <x v="0"/>
  </r>
  <r>
    <s v="IndiGo"/>
    <n v="8"/>
    <x v="2"/>
    <s v="&quot;good customer service&quot;"/>
    <x v="1226"/>
    <x v="124"/>
    <s v="27th"/>
    <x v="1"/>
    <x v="5"/>
    <x v="0"/>
  </r>
  <r>
    <s v="IndiGo"/>
    <n v="10"/>
    <x v="2"/>
    <s v="&quot;service and concern is exemplary&quot;"/>
    <x v="1144"/>
    <x v="124"/>
    <s v="27th"/>
    <x v="1"/>
    <x v="5"/>
    <x v="0"/>
  </r>
  <r>
    <s v="IndiGo"/>
    <n v="10"/>
    <x v="2"/>
    <s v="&quot;pleased with this airline&quot;"/>
    <x v="1227"/>
    <x v="124"/>
    <s v="27th"/>
    <x v="1"/>
    <x v="5"/>
    <x v="0"/>
  </r>
  <r>
    <s v="IndiGo"/>
    <n v="9"/>
    <x v="2"/>
    <s v="&quot;As always exemplary cabin service&quot;"/>
    <x v="1228"/>
    <x v="124"/>
    <s v="27th"/>
    <x v="1"/>
    <x v="5"/>
    <x v="0"/>
  </r>
  <r>
    <s v="IndiGo"/>
    <n v="9"/>
    <x v="2"/>
    <s v="&quot;very professional cabin crew&quot;"/>
    <x v="1229"/>
    <x v="125"/>
    <s v="26th"/>
    <x v="5"/>
    <x v="5"/>
    <x v="0"/>
  </r>
  <r>
    <s v="IndiGo"/>
    <n v="6"/>
    <x v="0"/>
    <s v="&quot;seats were a bit tight&quot;"/>
    <x v="1230"/>
    <x v="125"/>
    <s v="26th"/>
    <x v="5"/>
    <x v="5"/>
    <x v="0"/>
  </r>
  <r>
    <s v="IndiGo"/>
    <n v="6"/>
    <x v="0"/>
    <s v="&quot;the flight was delayed&quot;"/>
    <x v="1231"/>
    <x v="125"/>
    <s v="26th"/>
    <x v="5"/>
    <x v="5"/>
    <x v="1"/>
  </r>
  <r>
    <s v="IndiGo"/>
    <n v="8"/>
    <x v="2"/>
    <s v="&quot;Crew service: Pretty good&quot;"/>
    <x v="1232"/>
    <x v="125"/>
    <s v="26th"/>
    <x v="5"/>
    <x v="5"/>
    <x v="0"/>
  </r>
  <r>
    <s v="IndiGo"/>
    <n v="5"/>
    <x v="0"/>
    <s v="&quot;quite careless these days&quot;"/>
    <x v="1233"/>
    <x v="125"/>
    <s v="26th"/>
    <x v="5"/>
    <x v="5"/>
    <x v="0"/>
  </r>
  <r>
    <s v="IndiGo"/>
    <n v="3"/>
    <x v="1"/>
    <s v="&quot;waiting for some imaginary flight&quot;"/>
    <x v="1234"/>
    <x v="125"/>
    <s v="26th"/>
    <x v="5"/>
    <x v="5"/>
    <x v="1"/>
  </r>
  <r>
    <s v="IndiGo"/>
    <n v="5"/>
    <x v="0"/>
    <s v="&quot;respects passengers valuable time&quot;"/>
    <x v="1235"/>
    <x v="125"/>
    <s v="26th"/>
    <x v="5"/>
    <x v="5"/>
    <x v="1"/>
  </r>
  <r>
    <s v="IndiGo"/>
    <n v="1"/>
    <x v="1"/>
    <s v="&quot;cheating elderly people&quot;"/>
    <x v="1236"/>
    <x v="125"/>
    <s v="26th"/>
    <x v="5"/>
    <x v="5"/>
    <x v="1"/>
  </r>
  <r>
    <s v="IndiGo"/>
    <n v="2"/>
    <x v="1"/>
    <s v="&quot;flight service is not good&quot;"/>
    <x v="1237"/>
    <x v="125"/>
    <s v="26th"/>
    <x v="5"/>
    <x v="5"/>
    <x v="0"/>
  </r>
  <r>
    <s v="IndiGo"/>
    <n v="1"/>
    <x v="1"/>
    <s v="&quot;final flight I will book with IndiGo&quot;"/>
    <x v="1238"/>
    <x v="125"/>
    <s v="26th"/>
    <x v="5"/>
    <x v="5"/>
    <x v="1"/>
  </r>
  <r>
    <s v="IndiGo"/>
    <n v="9"/>
    <x v="2"/>
    <s v="&quot;an impeccable flight&quot;"/>
    <x v="1228"/>
    <x v="126"/>
    <s v="20th"/>
    <x v="6"/>
    <x v="6"/>
    <x v="0"/>
  </r>
  <r>
    <s v="IndiGo"/>
    <n v="1"/>
    <x v="1"/>
    <s v="&quot;as a worst experience&quot;"/>
    <x v="1239"/>
    <x v="126"/>
    <s v="20th"/>
    <x v="6"/>
    <x v="6"/>
    <x v="1"/>
  </r>
  <r>
    <s v="IndiGo"/>
    <n v="10"/>
    <x v="2"/>
    <s v="&quot;provided me as much help&quot;"/>
    <x v="1240"/>
    <x v="126"/>
    <s v="20th"/>
    <x v="6"/>
    <x v="6"/>
    <x v="0"/>
  </r>
  <r>
    <s v="IndiGo"/>
    <n v="1"/>
    <x v="1"/>
    <s v="&quot;needless 5 more hours&quot;"/>
    <x v="1241"/>
    <x v="126"/>
    <s v="20th"/>
    <x v="6"/>
    <x v="6"/>
    <x v="1"/>
  </r>
  <r>
    <s v="IndiGo"/>
    <n v="5"/>
    <x v="0"/>
    <s v="&quot;seats were pretty cramped&quot;"/>
    <x v="1242"/>
    <x v="126"/>
    <s v="20th"/>
    <x v="6"/>
    <x v="6"/>
    <x v="1"/>
  </r>
  <r>
    <s v="IndiGo"/>
    <n v="10"/>
    <x v="2"/>
    <s v="&quot;friendly and professional&quot;"/>
    <x v="1243"/>
    <x v="126"/>
    <s v="20th"/>
    <x v="6"/>
    <x v="6"/>
    <x v="0"/>
  </r>
  <r>
    <s v="IndiGo"/>
    <n v="9"/>
    <x v="2"/>
    <s v="&quot;offered genuine hospitality&quot;"/>
    <x v="1145"/>
    <x v="126"/>
    <s v="20th"/>
    <x v="6"/>
    <x v="6"/>
    <x v="0"/>
  </r>
  <r>
    <s v="IndiGo"/>
    <n v="6"/>
    <x v="0"/>
    <s v="&quot;Seats narrow with not much legroom&quot;"/>
    <x v="1244"/>
    <x v="126"/>
    <s v="20th"/>
    <x v="6"/>
    <x v="6"/>
    <x v="1"/>
  </r>
  <r>
    <s v="IndiGo"/>
    <n v="1"/>
    <x v="1"/>
    <s v="&quot;an extremely annoying experience&quot;"/>
    <x v="1245"/>
    <x v="126"/>
    <s v="20th"/>
    <x v="6"/>
    <x v="6"/>
    <x v="1"/>
  </r>
  <r>
    <s v="IndiGo"/>
    <n v="9"/>
    <x v="2"/>
    <s v="&quot;would definitely recommend&quot;"/>
    <x v="1246"/>
    <x v="126"/>
    <s v="20th"/>
    <x v="6"/>
    <x v="6"/>
    <x v="0"/>
  </r>
  <r>
    <s v="IndiGo"/>
    <n v="3"/>
    <x v="1"/>
    <s v="&quot;late night flights late&quot;"/>
    <x v="1247"/>
    <x v="127"/>
    <s v="12th"/>
    <x v="8"/>
    <x v="6"/>
    <x v="1"/>
  </r>
  <r>
    <s v="IndiGo"/>
    <n v="9"/>
    <x v="2"/>
    <s v="&quot;amazes me with their service&quot;"/>
    <x v="1248"/>
    <x v="127"/>
    <s v="12th"/>
    <x v="8"/>
    <x v="6"/>
    <x v="0"/>
  </r>
  <r>
    <s v="IndiGo"/>
    <n v="3"/>
    <x v="1"/>
    <s v="&quot;No through check-in&quot;"/>
    <x v="1249"/>
    <x v="127"/>
    <s v="12th"/>
    <x v="8"/>
    <x v="6"/>
    <x v="1"/>
  </r>
  <r>
    <s v="IndiGo"/>
    <n v="9"/>
    <x v="2"/>
    <s v="&quot;no Arrival Cards onboard&quot;"/>
    <x v="1228"/>
    <x v="127"/>
    <s v="12th"/>
    <x v="8"/>
    <x v="6"/>
    <x v="0"/>
  </r>
  <r>
    <s v="IndiGo"/>
    <n v="1"/>
    <x v="1"/>
    <s v="&quot;delayed by 2.30 hours&quot;"/>
    <x v="1250"/>
    <x v="127"/>
    <s v="12th"/>
    <x v="8"/>
    <x v="6"/>
    <x v="1"/>
  </r>
  <r>
    <s v="IndiGo"/>
    <n v="9"/>
    <x v="2"/>
    <s v="&quot;best domestic airline in India&quot;"/>
    <x v="1251"/>
    <x v="127"/>
    <s v="12th"/>
    <x v="8"/>
    <x v="6"/>
    <x v="0"/>
  </r>
  <r>
    <s v="IndiGo"/>
    <n v="9"/>
    <x v="2"/>
    <s v="&quot;it was a comfortable flight&quot;"/>
    <x v="1252"/>
    <x v="127"/>
    <s v="12th"/>
    <x v="8"/>
    <x v="6"/>
    <x v="0"/>
  </r>
  <r>
    <s v="IndiGo"/>
    <n v="5"/>
    <x v="0"/>
    <s v="&quot;the flight crew were good&quot;"/>
    <x v="1253"/>
    <x v="127"/>
    <s v="12th"/>
    <x v="8"/>
    <x v="6"/>
    <x v="1"/>
  </r>
  <r>
    <s v="IndiGo"/>
    <n v="4"/>
    <x v="1"/>
    <s v="&quot;comfort might be a difficulty&quot;"/>
    <x v="1254"/>
    <x v="127"/>
    <s v="12th"/>
    <x v="8"/>
    <x v="6"/>
    <x v="1"/>
  </r>
  <r>
    <s v="IndiGo"/>
    <n v="8"/>
    <x v="2"/>
    <s v="&quot;departure and arrival was on time&quot;"/>
    <x v="1255"/>
    <x v="127"/>
    <s v="12th"/>
    <x v="8"/>
    <x v="6"/>
    <x v="1"/>
  </r>
  <r>
    <s v="IndiGo"/>
    <n v="10"/>
    <x v="2"/>
    <s v="&quot;recommend this airline&quot;"/>
    <x v="1256"/>
    <x v="128"/>
    <s v="17th"/>
    <x v="5"/>
    <x v="6"/>
    <x v="0"/>
  </r>
  <r>
    <s v="IndiGo"/>
    <n v="10"/>
    <x v="2"/>
    <s v="&quot;cabin seemed neat and clean&quot;"/>
    <x v="1257"/>
    <x v="128"/>
    <s v="17th"/>
    <x v="5"/>
    <x v="6"/>
    <x v="0"/>
  </r>
  <r>
    <s v="IndiGo"/>
    <n v="2"/>
    <x v="1"/>
    <s v="&quot;not value for money&quot;"/>
    <x v="1258"/>
    <x v="128"/>
    <s v="17th"/>
    <x v="5"/>
    <x v="6"/>
    <x v="1"/>
  </r>
  <r>
    <s v="IndiGo"/>
    <n v="2"/>
    <x v="1"/>
    <s v="&quot;they divide our family&quot;"/>
    <x v="1259"/>
    <x v="128"/>
    <s v="17th"/>
    <x v="5"/>
    <x v="6"/>
    <x v="1"/>
  </r>
  <r>
    <s v="IndiGo"/>
    <n v="9"/>
    <x v="2"/>
    <s v="&quot;good on-time airline&quot;"/>
    <x v="1260"/>
    <x v="128"/>
    <s v="17th"/>
    <x v="5"/>
    <x v="6"/>
    <x v="0"/>
  </r>
  <r>
    <s v="IndiGo"/>
    <n v="1"/>
    <x v="1"/>
    <s v="&quot;handling of baggage was horrible&quot;"/>
    <x v="1261"/>
    <x v="128"/>
    <s v="17th"/>
    <x v="5"/>
    <x v="6"/>
    <x v="1"/>
  </r>
  <r>
    <s v="IndiGo"/>
    <n v="8"/>
    <x v="2"/>
    <s v="&quot;on time and comfortable&quot;"/>
    <x v="1262"/>
    <x v="128"/>
    <s v="17th"/>
    <x v="5"/>
    <x v="6"/>
    <x v="0"/>
  </r>
  <r>
    <s v="IndiGo"/>
    <n v="1"/>
    <x v="1"/>
    <s v="&quot;only as a last option&quot;"/>
    <x v="1263"/>
    <x v="128"/>
    <s v="17th"/>
    <x v="5"/>
    <x v="6"/>
    <x v="1"/>
  </r>
  <r>
    <s v="IndiGo"/>
    <n v="9"/>
    <x v="2"/>
    <s v="&quot;did not have Thai immigration forms&quot;"/>
    <x v="1228"/>
    <x v="128"/>
    <s v="17th"/>
    <x v="5"/>
    <x v="6"/>
    <x v="0"/>
  </r>
  <r>
    <s v="IndiGo"/>
    <n v="9"/>
    <x v="2"/>
    <s v="&quot;a loyal traveller with IndiGo&quot;"/>
    <x v="1264"/>
    <x v="128"/>
    <s v="17th"/>
    <x v="5"/>
    <x v="6"/>
    <x v="0"/>
  </r>
  <r>
    <s v="IndiGo"/>
    <n v="8"/>
    <x v="2"/>
    <s v="&quot;inflight service impeccable&quot;"/>
    <x v="1228"/>
    <x v="129"/>
    <s v="17th"/>
    <x v="6"/>
    <x v="9"/>
    <x v="0"/>
  </r>
  <r>
    <s v="IndiGo"/>
    <n v="5"/>
    <x v="0"/>
    <s v="&quot;staff truly inexperienced&quot;"/>
    <x v="1265"/>
    <x v="129"/>
    <s v="17th"/>
    <x v="6"/>
    <x v="9"/>
    <x v="0"/>
  </r>
  <r>
    <s v="IndiGo"/>
    <n v="5"/>
    <x v="0"/>
    <s v="&quot;disappointing and sad experience&quot;"/>
    <x v="1266"/>
    <x v="129"/>
    <s v="17th"/>
    <x v="6"/>
    <x v="9"/>
    <x v="1"/>
  </r>
  <r>
    <s v="IndiGo"/>
    <n v="6"/>
    <x v="0"/>
    <s v="&quot;personal favourite for short flights&quot;"/>
    <x v="1267"/>
    <x v="129"/>
    <s v="17th"/>
    <x v="6"/>
    <x v="9"/>
    <x v="0"/>
  </r>
  <r>
    <s v="IndiGo"/>
    <n v="9"/>
    <x v="2"/>
    <s v="&quot;staff was nice and helpful&quot;"/>
    <x v="1268"/>
    <x v="129"/>
    <s v="17th"/>
    <x v="6"/>
    <x v="9"/>
    <x v="0"/>
  </r>
  <r>
    <s v="IndiGo"/>
    <n v="10"/>
    <x v="2"/>
    <s v="&quot;a great flight experience&quot;"/>
    <x v="1269"/>
    <x v="129"/>
    <s v="17th"/>
    <x v="6"/>
    <x v="9"/>
    <x v="0"/>
  </r>
  <r>
    <s v="IndiGo"/>
    <n v="10"/>
    <x v="2"/>
    <s v="&quot;overall flight was very enjoyable&quot;"/>
    <x v="1270"/>
    <x v="129"/>
    <s v="17th"/>
    <x v="6"/>
    <x v="9"/>
    <x v="0"/>
  </r>
  <r>
    <s v="IndiGo"/>
    <n v="10"/>
    <x v="2"/>
    <s v="&quot;overall experience is awesome&quot;"/>
    <x v="1271"/>
    <x v="129"/>
    <s v="17th"/>
    <x v="6"/>
    <x v="9"/>
    <x v="0"/>
  </r>
  <r>
    <s v="IndiGo"/>
    <n v="10"/>
    <x v="2"/>
    <s v="&quot;flight experience was fantastic &quot;"/>
    <x v="1272"/>
    <x v="129"/>
    <s v="17th"/>
    <x v="6"/>
    <x v="9"/>
    <x v="0"/>
  </r>
  <r>
    <s v="IndiGo"/>
    <n v="10"/>
    <x v="2"/>
    <s v="&quot;best domestic airline of India&quot;"/>
    <x v="1273"/>
    <x v="129"/>
    <s v="17th"/>
    <x v="6"/>
    <x v="9"/>
    <x v="0"/>
  </r>
  <r>
    <s v="IndiGo"/>
    <n v="10"/>
    <x v="2"/>
    <s v="&quot;crew have a very welcoming nature&quot;"/>
    <x v="1274"/>
    <x v="130"/>
    <s v="30th"/>
    <x v="9"/>
    <x v="9"/>
    <x v="0"/>
  </r>
  <r>
    <s v="IndiGo"/>
    <n v="8"/>
    <x v="2"/>
    <s v="&quot;punctual and crews very attentive&quot;"/>
    <x v="1275"/>
    <x v="130"/>
    <s v="30th"/>
    <x v="9"/>
    <x v="9"/>
    <x v="0"/>
  </r>
  <r>
    <s v="IndiGo"/>
    <n v="10"/>
    <x v="2"/>
    <s v="&quot;a pleasure flying with IndiGo&quot;"/>
    <x v="1276"/>
    <x v="130"/>
    <s v="30th"/>
    <x v="9"/>
    <x v="9"/>
    <x v="0"/>
  </r>
  <r>
    <s v="IndiGo"/>
    <n v="1"/>
    <x v="1"/>
    <s v="&quot;worst experience so far&quot;"/>
    <x v="1277"/>
    <x v="130"/>
    <s v="30th"/>
    <x v="9"/>
    <x v="9"/>
    <x v="1"/>
  </r>
  <r>
    <s v="IndiGo"/>
    <n v="4"/>
    <x v="1"/>
    <s v="&quot;seats not that comfortable&quot;"/>
    <x v="1278"/>
    <x v="130"/>
    <s v="30th"/>
    <x v="9"/>
    <x v="9"/>
    <x v="1"/>
  </r>
  <r>
    <s v="IndiGo"/>
    <n v="9"/>
    <x v="2"/>
    <s v="&quot;flight experience always been good&quot;"/>
    <x v="1279"/>
    <x v="130"/>
    <s v="30th"/>
    <x v="9"/>
    <x v="9"/>
    <x v="0"/>
  </r>
  <r>
    <s v="IndiGo"/>
    <n v="10"/>
    <x v="2"/>
    <s v="&quot;flight experience  was good&quot;"/>
    <x v="1280"/>
    <x v="130"/>
    <s v="30th"/>
    <x v="9"/>
    <x v="9"/>
    <x v="0"/>
  </r>
  <r>
    <s v="IndiGo"/>
    <n v="5"/>
    <x v="0"/>
    <s v="&quot;ambience was pleasant&quot;"/>
    <x v="1281"/>
    <x v="130"/>
    <s v="30th"/>
    <x v="9"/>
    <x v="9"/>
    <x v="0"/>
  </r>
  <r>
    <s v="IndiGo"/>
    <n v="10"/>
    <x v="2"/>
    <s v="&quot;a flawless flight&quot;"/>
    <x v="1228"/>
    <x v="130"/>
    <s v="30th"/>
    <x v="9"/>
    <x v="9"/>
    <x v="0"/>
  </r>
  <r>
    <s v="IndiGo"/>
    <n v="8"/>
    <x v="2"/>
    <s v="&quot;well-trained and helpful&quot;"/>
    <x v="1282"/>
    <x v="130"/>
    <s v="30th"/>
    <x v="9"/>
    <x v="9"/>
    <x v="0"/>
  </r>
  <r>
    <s v="IndiGo"/>
    <n v="2"/>
    <x v="1"/>
    <s v="&quot;yet another bad experience&quot;"/>
    <x v="1283"/>
    <x v="131"/>
    <s v="26th"/>
    <x v="11"/>
    <x v="9"/>
    <x v="1"/>
  </r>
  <r>
    <s v="IndiGo"/>
    <n v="8"/>
    <x v="2"/>
    <s v="&quot;punctual and comfortable&quot;"/>
    <x v="1284"/>
    <x v="131"/>
    <s v="26th"/>
    <x v="11"/>
    <x v="9"/>
    <x v="0"/>
  </r>
  <r>
    <s v="IndiGo"/>
    <n v="10"/>
    <x v="2"/>
    <s v="&quot;was very impressed&quot;"/>
    <x v="1285"/>
    <x v="131"/>
    <s v="26th"/>
    <x v="11"/>
    <x v="9"/>
    <x v="0"/>
  </r>
  <r>
    <s v="IndiGo"/>
    <n v="3"/>
    <x v="1"/>
    <s v="&quot;I missed my flight&quot;"/>
    <x v="1286"/>
    <x v="131"/>
    <s v="26th"/>
    <x v="11"/>
    <x v="9"/>
    <x v="1"/>
  </r>
  <r>
    <s v="IndiGo"/>
    <n v="10"/>
    <x v="2"/>
    <s v="&quot;would fly them again&quot;"/>
    <x v="1287"/>
    <x v="131"/>
    <s v="26th"/>
    <x v="11"/>
    <x v="9"/>
    <x v="0"/>
  </r>
  <r>
    <s v="IndiGo"/>
    <n v="6"/>
    <x v="0"/>
    <s v="&quot;all flights on time&quot;"/>
    <x v="1288"/>
    <x v="131"/>
    <s v="26th"/>
    <x v="11"/>
    <x v="9"/>
    <x v="0"/>
  </r>
  <r>
    <s v="IndiGo"/>
    <n v="5"/>
    <x v="0"/>
    <s v="&quot;long admired Indigo&quot;"/>
    <x v="580"/>
    <x v="131"/>
    <s v="26th"/>
    <x v="11"/>
    <x v="9"/>
    <x v="1"/>
  </r>
  <r>
    <s v="IndiGo"/>
    <n v="8"/>
    <x v="2"/>
    <s v="&quot;recommend IndiGo&quot;"/>
    <x v="1289"/>
    <x v="131"/>
    <s v="26th"/>
    <x v="11"/>
    <x v="9"/>
    <x v="0"/>
  </r>
  <r>
    <s v="IndiGo"/>
    <n v="8"/>
    <x v="2"/>
    <s v="&quot;service and aircraft up to the mark&quot;"/>
    <x v="1290"/>
    <x v="131"/>
    <s v="26th"/>
    <x v="11"/>
    <x v="9"/>
    <x v="0"/>
  </r>
  <r>
    <s v="IndiGo"/>
    <n v="10"/>
    <x v="2"/>
    <s v="&quot;another flawless flight&quot;"/>
    <x v="1228"/>
    <x v="131"/>
    <s v="26th"/>
    <x v="11"/>
    <x v="9"/>
    <x v="0"/>
  </r>
  <r>
    <s v="IndiGo"/>
    <n v="9"/>
    <x v="2"/>
    <s v="&quot;staff are very kind&quot;"/>
    <x v="1291"/>
    <x v="132"/>
    <s v="28th"/>
    <x v="6"/>
    <x v="10"/>
    <x v="0"/>
  </r>
  <r>
    <s v="IndiGo"/>
    <n v="10"/>
    <x v="2"/>
    <s v="&quot;so comfortable and smooth&quot;"/>
    <x v="1292"/>
    <x v="132"/>
    <s v="28th"/>
    <x v="6"/>
    <x v="10"/>
    <x v="0"/>
  </r>
  <r>
    <s v="IndiGo"/>
    <n v="10"/>
    <x v="2"/>
    <s v="&quot;a superb experience&quot;"/>
    <x v="1228"/>
    <x v="132"/>
    <s v="28th"/>
    <x v="6"/>
    <x v="10"/>
    <x v="0"/>
  </r>
  <r>
    <s v="IndiGo"/>
    <n v="9"/>
    <x v="2"/>
    <s v="&quot;well functioning LCC&quot;"/>
    <x v="1293"/>
    <x v="132"/>
    <s v="28th"/>
    <x v="6"/>
    <x v="10"/>
    <x v="0"/>
  </r>
  <r>
    <s v="IndiGo"/>
    <n v="9"/>
    <x v="2"/>
    <s v="&quot;food was absolutely delicious&quot;"/>
    <x v="1294"/>
    <x v="132"/>
    <s v="28th"/>
    <x v="6"/>
    <x v="10"/>
    <x v="0"/>
  </r>
  <r>
    <s v="IndiGo"/>
    <n v="9"/>
    <x v="2"/>
    <s v="&quot;IndiGo does a very good job&quot;"/>
    <x v="1295"/>
    <x v="132"/>
    <s v="28th"/>
    <x v="6"/>
    <x v="10"/>
    <x v="0"/>
  </r>
  <r>
    <s v="IndiGo"/>
    <n v="8"/>
    <x v="2"/>
    <s v="&quot;comfortable and very clean&quot;"/>
    <x v="1296"/>
    <x v="132"/>
    <s v="28th"/>
    <x v="6"/>
    <x v="10"/>
    <x v="0"/>
  </r>
  <r>
    <s v="IndiGo"/>
    <n v="3"/>
    <x v="1"/>
    <s v="&quot;poor ground service&quot;"/>
    <x v="1297"/>
    <x v="132"/>
    <s v="28th"/>
    <x v="6"/>
    <x v="10"/>
    <x v="1"/>
  </r>
  <r>
    <s v="IndiGo"/>
    <n v="6"/>
    <x v="0"/>
    <s v="&quot;a reasonably good airline&quot;"/>
    <x v="1298"/>
    <x v="132"/>
    <s v="28th"/>
    <x v="6"/>
    <x v="10"/>
    <x v="0"/>
  </r>
  <r>
    <s v="IndiGo"/>
    <n v="10"/>
    <x v="2"/>
    <s v="&quot;IndiGo staff were very friendly&quot;"/>
    <x v="1299"/>
    <x v="132"/>
    <s v="28th"/>
    <x v="6"/>
    <x v="10"/>
    <x v="0"/>
  </r>
  <r>
    <s v="IndiGo"/>
    <n v="8"/>
    <x v="2"/>
    <s v="IndiGo customer review"/>
    <x v="85"/>
    <x v="133"/>
    <s v="3rd"/>
    <x v="2"/>
    <x v="10"/>
    <x v="0"/>
  </r>
  <r>
    <s v="IndiGo"/>
    <n v="10"/>
    <x v="2"/>
    <s v="IndiGo customer review"/>
    <x v="1300"/>
    <x v="133"/>
    <s v="3rd"/>
    <x v="2"/>
    <x v="10"/>
    <x v="0"/>
  </r>
  <r>
    <s v="IndiGo"/>
    <n v="9"/>
    <x v="2"/>
    <s v="IndiGo customer review"/>
    <x v="744"/>
    <x v="133"/>
    <s v="3rd"/>
    <x v="2"/>
    <x v="10"/>
    <x v="0"/>
  </r>
  <r>
    <s v="IndiGo"/>
    <n v="5"/>
    <x v="0"/>
    <s v="IndiGo customer review"/>
    <x v="1301"/>
    <x v="133"/>
    <s v="3rd"/>
    <x v="2"/>
    <x v="10"/>
    <x v="0"/>
  </r>
  <r>
    <s v="IndiGo"/>
    <n v="8"/>
    <x v="2"/>
    <s v="IndiGo customer review"/>
    <x v="1302"/>
    <x v="133"/>
    <s v="3rd"/>
    <x v="2"/>
    <x v="10"/>
    <x v="0"/>
  </r>
  <r>
    <s v="IndiGo"/>
    <n v="5"/>
    <x v="0"/>
    <s v="IndiGo customer review"/>
    <x v="1303"/>
    <x v="133"/>
    <s v="3rd"/>
    <x v="2"/>
    <x v="10"/>
    <x v="1"/>
  </r>
  <r>
    <s v="IndiGo"/>
    <m/>
    <x v="1"/>
    <s v="IndiGo customer review"/>
    <x v="1304"/>
    <x v="133"/>
    <s v="3rd"/>
    <x v="2"/>
    <x v="10"/>
    <x v="1"/>
  </r>
  <r>
    <s v="IndiGo"/>
    <n v="3"/>
    <x v="1"/>
    <s v="IndiGo customer review"/>
    <x v="1305"/>
    <x v="133"/>
    <s v="3rd"/>
    <x v="2"/>
    <x v="10"/>
    <x v="1"/>
  </r>
  <r>
    <s v="IndiGo"/>
    <n v="5"/>
    <x v="0"/>
    <s v="IndiGo customer review"/>
    <x v="1306"/>
    <x v="133"/>
    <s v="3rd"/>
    <x v="2"/>
    <x v="10"/>
    <x v="1"/>
  </r>
  <r>
    <s v="IndiGo"/>
    <n v="6"/>
    <x v="0"/>
    <s v="IndiGo customer review"/>
    <x v="1307"/>
    <x v="133"/>
    <s v="3rd"/>
    <x v="2"/>
    <x v="10"/>
    <x v="0"/>
  </r>
  <r>
    <s v="IndiGo"/>
    <n v="10"/>
    <x v="2"/>
    <s v="IndiGo customer review"/>
    <x v="1308"/>
    <x v="134"/>
    <s v="10th"/>
    <x v="1"/>
    <x v="10"/>
    <x v="0"/>
  </r>
  <r>
    <s v="IndiGo"/>
    <n v="10"/>
    <x v="2"/>
    <s v="IndiGo customer review"/>
    <x v="1309"/>
    <x v="134"/>
    <s v="10th"/>
    <x v="1"/>
    <x v="10"/>
    <x v="0"/>
  </r>
  <r>
    <s v="IndiGo"/>
    <n v="10"/>
    <x v="2"/>
    <s v="IndiGo customer review"/>
    <x v="1310"/>
    <x v="134"/>
    <s v="10th"/>
    <x v="1"/>
    <x v="10"/>
    <x v="0"/>
  </r>
  <r>
    <s v="IndiGo"/>
    <n v="2"/>
    <x v="1"/>
    <s v="IndiGo customer review"/>
    <x v="1311"/>
    <x v="134"/>
    <s v="10th"/>
    <x v="1"/>
    <x v="10"/>
    <x v="1"/>
  </r>
  <r>
    <s v="IndiGo"/>
    <n v="10"/>
    <x v="2"/>
    <s v="IndiGo customer review"/>
    <x v="1312"/>
    <x v="134"/>
    <s v="10th"/>
    <x v="1"/>
    <x v="10"/>
    <x v="0"/>
  </r>
  <r>
    <s v="IndiGo"/>
    <n v="9"/>
    <x v="2"/>
    <s v="IndiGo customer review"/>
    <x v="1313"/>
    <x v="134"/>
    <s v="10th"/>
    <x v="1"/>
    <x v="10"/>
    <x v="0"/>
  </r>
  <r>
    <s v="IndiGo"/>
    <n v="8"/>
    <x v="2"/>
    <s v="IndiGo customer review"/>
    <x v="1314"/>
    <x v="134"/>
    <s v="10th"/>
    <x v="1"/>
    <x v="10"/>
    <x v="0"/>
  </r>
  <r>
    <s v="IndiGo"/>
    <n v="9"/>
    <x v="2"/>
    <s v="IndiGo customer review"/>
    <x v="1315"/>
    <x v="134"/>
    <s v="10th"/>
    <x v="1"/>
    <x v="10"/>
    <x v="0"/>
  </r>
  <r>
    <s v="IndiGo"/>
    <n v="9"/>
    <x v="2"/>
    <s v="IndiGo customer review"/>
    <x v="1316"/>
    <x v="134"/>
    <s v="10th"/>
    <x v="1"/>
    <x v="10"/>
    <x v="0"/>
  </r>
  <r>
    <s v="IndiGo"/>
    <n v="9"/>
    <x v="2"/>
    <s v="IndiGo customer review"/>
    <x v="1317"/>
    <x v="134"/>
    <s v="10th"/>
    <x v="1"/>
    <x v="10"/>
    <x v="0"/>
  </r>
  <r>
    <s v="IndiGo"/>
    <n v="10"/>
    <x v="2"/>
    <s v="IndiGo customer review"/>
    <x v="1318"/>
    <x v="135"/>
    <s v="1st"/>
    <x v="4"/>
    <x v="8"/>
    <x v="0"/>
  </r>
  <r>
    <s v="IndiGo"/>
    <n v="8"/>
    <x v="2"/>
    <s v="IndiGo customer review"/>
    <x v="1319"/>
    <x v="135"/>
    <s v="1st"/>
    <x v="4"/>
    <x v="8"/>
    <x v="0"/>
  </r>
  <r>
    <s v="IndiGo"/>
    <n v="9"/>
    <x v="2"/>
    <s v="IndiGo customer review"/>
    <x v="1320"/>
    <x v="135"/>
    <s v="1st"/>
    <x v="4"/>
    <x v="8"/>
    <x v="0"/>
  </r>
  <r>
    <s v="IndiGo"/>
    <n v="4"/>
    <x v="1"/>
    <s v="IndiGo customer review"/>
    <x v="1321"/>
    <x v="135"/>
    <s v="1st"/>
    <x v="4"/>
    <x v="8"/>
    <x v="1"/>
  </r>
  <r>
    <s v="IndiGo"/>
    <n v="10"/>
    <x v="2"/>
    <s v="IndiGo customer review"/>
    <x v="1322"/>
    <x v="135"/>
    <s v="1st"/>
    <x v="4"/>
    <x v="8"/>
    <x v="0"/>
  </r>
  <r>
    <s v="IndiGo"/>
    <n v="1"/>
    <x v="1"/>
    <s v="IndiGo customer review"/>
    <x v="1323"/>
    <x v="135"/>
    <s v="1st"/>
    <x v="4"/>
    <x v="8"/>
    <x v="1"/>
  </r>
  <r>
    <s v="IndiGo"/>
    <n v="10"/>
    <x v="2"/>
    <s v="IndiGo customer review"/>
    <x v="1324"/>
    <x v="135"/>
    <s v="1st"/>
    <x v="4"/>
    <x v="8"/>
    <x v="0"/>
  </r>
  <r>
    <s v="IndiGo"/>
    <n v="10"/>
    <x v="2"/>
    <s v="IndiGo customer review"/>
    <x v="1325"/>
    <x v="135"/>
    <s v="1st"/>
    <x v="4"/>
    <x v="8"/>
    <x v="0"/>
  </r>
  <r>
    <s v="IndiGo"/>
    <n v="8"/>
    <x v="2"/>
    <s v="IndiGo customer review"/>
    <x v="1326"/>
    <x v="135"/>
    <s v="1st"/>
    <x v="4"/>
    <x v="8"/>
    <x v="0"/>
  </r>
  <r>
    <s v="IndiGo"/>
    <n v="9"/>
    <x v="2"/>
    <s v="IndiGo customer review"/>
    <x v="1327"/>
    <x v="135"/>
    <s v="1st"/>
    <x v="4"/>
    <x v="8"/>
    <x v="0"/>
  </r>
  <r>
    <s v="IndiGo"/>
    <n v="8"/>
    <x v="2"/>
    <s v="IndiGo customer review"/>
    <x v="1328"/>
    <x v="136"/>
    <s v="22nd"/>
    <x v="9"/>
    <x v="8"/>
    <x v="0"/>
  </r>
  <r>
    <s v="IndiGo"/>
    <n v="9"/>
    <x v="2"/>
    <s v="IndiGo customer review"/>
    <x v="1329"/>
    <x v="136"/>
    <s v="22nd"/>
    <x v="9"/>
    <x v="8"/>
    <x v="0"/>
  </r>
  <r>
    <s v="IndiGo"/>
    <n v="10"/>
    <x v="2"/>
    <s v="IndiGo customer review"/>
    <x v="1330"/>
    <x v="136"/>
    <s v="22nd"/>
    <x v="9"/>
    <x v="8"/>
    <x v="0"/>
  </r>
  <r>
    <s v="IndiGo"/>
    <n v="10"/>
    <x v="2"/>
    <s v="IndiGo customer review"/>
    <x v="1331"/>
    <x v="136"/>
    <s v="22nd"/>
    <x v="9"/>
    <x v="8"/>
    <x v="0"/>
  </r>
  <r>
    <s v="IndiGo"/>
    <m/>
    <x v="1"/>
    <s v="IndiGo customer review"/>
    <x v="1332"/>
    <x v="136"/>
    <s v="22nd"/>
    <x v="9"/>
    <x v="8"/>
    <x v="1"/>
  </r>
  <r>
    <s v="IndiGo"/>
    <n v="8"/>
    <x v="2"/>
    <s v="IndiGo customer review"/>
    <x v="1333"/>
    <x v="136"/>
    <s v="22nd"/>
    <x v="9"/>
    <x v="8"/>
    <x v="0"/>
  </r>
  <r>
    <s v="IndiGo"/>
    <n v="10"/>
    <x v="2"/>
    <s v="IndiGo customer review"/>
    <x v="1334"/>
    <x v="136"/>
    <s v="22nd"/>
    <x v="9"/>
    <x v="8"/>
    <x v="0"/>
  </r>
  <r>
    <s v="IndiGo"/>
    <n v="1"/>
    <x v="1"/>
    <s v="IndiGo customer review"/>
    <x v="1335"/>
    <x v="136"/>
    <s v="22nd"/>
    <x v="9"/>
    <x v="8"/>
    <x v="1"/>
  </r>
  <r>
    <s v="IndiGo"/>
    <n v="3"/>
    <x v="1"/>
    <s v="IndiGo customer review"/>
    <x v="1336"/>
    <x v="136"/>
    <s v="22nd"/>
    <x v="9"/>
    <x v="8"/>
    <x v="1"/>
  </r>
  <r>
    <s v="IndiGo"/>
    <n v="10"/>
    <x v="2"/>
    <s v="IndiGo customer review"/>
    <x v="1337"/>
    <x v="136"/>
    <s v="22nd"/>
    <x v="9"/>
    <x v="8"/>
    <x v="0"/>
  </r>
  <r>
    <s v="IndiGo"/>
    <n v="8"/>
    <x v="2"/>
    <s v="IndiGo customer review"/>
    <x v="1338"/>
    <x v="137"/>
    <s v="13th"/>
    <x v="11"/>
    <x v="8"/>
    <x v="0"/>
  </r>
  <r>
    <s v="IndiGo"/>
    <n v="3"/>
    <x v="1"/>
    <s v="IndiGo customer review"/>
    <x v="1339"/>
    <x v="137"/>
    <s v="13th"/>
    <x v="11"/>
    <x v="8"/>
    <x v="1"/>
  </r>
  <r>
    <s v="IndiGo"/>
    <n v="9"/>
    <x v="2"/>
    <s v="IndiGo customer review"/>
    <x v="1316"/>
    <x v="137"/>
    <s v="13th"/>
    <x v="11"/>
    <x v="8"/>
    <x v="0"/>
  </r>
  <r>
    <s v="IndiGo"/>
    <n v="9"/>
    <x v="2"/>
    <s v="IndiGo customer review"/>
    <x v="1340"/>
    <x v="137"/>
    <s v="13th"/>
    <x v="11"/>
    <x v="8"/>
    <x v="0"/>
  </r>
  <r>
    <s v="IndiGo"/>
    <n v="5"/>
    <x v="0"/>
    <s v="IndiGo customer review"/>
    <x v="1341"/>
    <x v="137"/>
    <s v="13th"/>
    <x v="11"/>
    <x v="8"/>
    <x v="1"/>
  </r>
  <r>
    <s v="IndiGo"/>
    <n v="8"/>
    <x v="2"/>
    <s v="IndiGo customer review"/>
    <x v="1342"/>
    <x v="137"/>
    <s v="13th"/>
    <x v="11"/>
    <x v="8"/>
    <x v="0"/>
  </r>
  <r>
    <s v="IndiGo"/>
    <n v="10"/>
    <x v="2"/>
    <s v="IndiGo customer review"/>
    <x v="1343"/>
    <x v="137"/>
    <s v="13th"/>
    <x v="11"/>
    <x v="8"/>
    <x v="0"/>
  </r>
  <r>
    <s v="IndiGo"/>
    <n v="10"/>
    <x v="2"/>
    <s v="IndiGo customer review"/>
    <x v="1344"/>
    <x v="137"/>
    <s v="13th"/>
    <x v="11"/>
    <x v="8"/>
    <x v="0"/>
  </r>
  <r>
    <s v="IndiGo"/>
    <n v="9"/>
    <x v="2"/>
    <s v="IndiGo customer review"/>
    <x v="1345"/>
    <x v="137"/>
    <s v="13th"/>
    <x v="11"/>
    <x v="8"/>
    <x v="0"/>
  </r>
  <r>
    <s v="IndiGo"/>
    <n v="10"/>
    <x v="2"/>
    <s v="IndiGo customer review"/>
    <x v="1330"/>
    <x v="137"/>
    <s v="13th"/>
    <x v="11"/>
    <x v="8"/>
    <x v="0"/>
  </r>
  <r>
    <s v="IndiGo"/>
    <n v="8"/>
    <x v="2"/>
    <s v="IndiGo customer review"/>
    <x v="1346"/>
    <x v="138"/>
    <s v="7th"/>
    <x v="0"/>
    <x v="11"/>
    <x v="0"/>
  </r>
  <r>
    <s v="IndiGo"/>
    <n v="8"/>
    <x v="2"/>
    <s v="IndiGo customer review"/>
    <x v="1347"/>
    <x v="138"/>
    <s v="7th"/>
    <x v="0"/>
    <x v="11"/>
    <x v="0"/>
  </r>
  <r>
    <s v="IndiGo"/>
    <n v="7"/>
    <x v="0"/>
    <s v="IndiGo customer review"/>
    <x v="1348"/>
    <x v="138"/>
    <s v="7th"/>
    <x v="0"/>
    <x v="11"/>
    <x v="0"/>
  </r>
  <r>
    <s v="IndiGo"/>
    <n v="10"/>
    <x v="2"/>
    <s v="IndiGo customer review"/>
    <x v="1349"/>
    <x v="138"/>
    <s v="7th"/>
    <x v="0"/>
    <x v="11"/>
    <x v="0"/>
  </r>
  <r>
    <s v="IndiGo"/>
    <n v="10"/>
    <x v="2"/>
    <s v="IndiGo customer review"/>
    <x v="1350"/>
    <x v="138"/>
    <s v="7th"/>
    <x v="0"/>
    <x v="11"/>
    <x v="0"/>
  </r>
  <r>
    <s v="IndiGo"/>
    <n v="10"/>
    <x v="2"/>
    <s v="IndiGo customer review"/>
    <x v="1351"/>
    <x v="138"/>
    <s v="7th"/>
    <x v="0"/>
    <x v="11"/>
    <x v="0"/>
  </r>
  <r>
    <s v="IndiGo"/>
    <n v="10"/>
    <x v="2"/>
    <s v="IndiGo customer review"/>
    <x v="1352"/>
    <x v="138"/>
    <s v="7th"/>
    <x v="0"/>
    <x v="11"/>
    <x v="0"/>
  </r>
  <r>
    <s v="IndiGo"/>
    <n v="9"/>
    <x v="2"/>
    <s v="IndiGo customer review"/>
    <x v="85"/>
    <x v="138"/>
    <s v="7th"/>
    <x v="0"/>
    <x v="11"/>
    <x v="0"/>
  </r>
  <r>
    <s v="IndiGo"/>
    <n v="9"/>
    <x v="2"/>
    <s v="IndiGo customer review"/>
    <x v="1353"/>
    <x v="138"/>
    <s v="7th"/>
    <x v="0"/>
    <x v="11"/>
    <x v="0"/>
  </r>
  <r>
    <s v="IndiGo"/>
    <m/>
    <x v="1"/>
    <s v="IndiGo customer review"/>
    <x v="1354"/>
    <x v="138"/>
    <s v="7th"/>
    <x v="0"/>
    <x v="11"/>
    <x v="1"/>
  </r>
  <r>
    <s v="IndiGo"/>
    <n v="8"/>
    <x v="2"/>
    <s v="IndiGo customer review"/>
    <x v="1355"/>
    <x v="139"/>
    <s v="23rd"/>
    <x v="7"/>
    <x v="11"/>
    <x v="0"/>
  </r>
  <r>
    <s v="IndiGo"/>
    <n v="9"/>
    <x v="2"/>
    <s v="IndiGo customer review"/>
    <x v="1317"/>
    <x v="139"/>
    <s v="23rd"/>
    <x v="7"/>
    <x v="11"/>
    <x v="0"/>
  </r>
  <r>
    <s v="IndiGo"/>
    <n v="10"/>
    <x v="2"/>
    <s v="IndiGo customer review"/>
    <x v="1350"/>
    <x v="139"/>
    <s v="23rd"/>
    <x v="7"/>
    <x v="11"/>
    <x v="0"/>
  </r>
  <r>
    <s v="IndiGo"/>
    <n v="9"/>
    <x v="2"/>
    <s v="IndiGo customer review"/>
    <x v="1356"/>
    <x v="139"/>
    <s v="23rd"/>
    <x v="7"/>
    <x v="11"/>
    <x v="0"/>
  </r>
  <r>
    <s v="IndiGo"/>
    <n v="8"/>
    <x v="2"/>
    <s v="IndiGo customer review"/>
    <x v="1357"/>
    <x v="139"/>
    <s v="23rd"/>
    <x v="7"/>
    <x v="11"/>
    <x v="0"/>
  </r>
  <r>
    <s v="IndiGo"/>
    <n v="9"/>
    <x v="2"/>
    <s v="IndiGo customer review"/>
    <x v="1358"/>
    <x v="139"/>
    <s v="23rd"/>
    <x v="7"/>
    <x v="11"/>
    <x v="0"/>
  </r>
  <r>
    <s v="IndiGo"/>
    <n v="10"/>
    <x v="2"/>
    <s v="IndiGo customer review"/>
    <x v="1359"/>
    <x v="139"/>
    <s v="23rd"/>
    <x v="7"/>
    <x v="11"/>
    <x v="0"/>
  </r>
  <r>
    <s v="IndiGo"/>
    <n v="8"/>
    <x v="2"/>
    <s v="IndiGo customer review"/>
    <x v="1350"/>
    <x v="139"/>
    <s v="23rd"/>
    <x v="7"/>
    <x v="11"/>
    <x v="0"/>
  </r>
  <r>
    <s v="IndiGo"/>
    <n v="10"/>
    <x v="2"/>
    <s v="IndiGo customer review"/>
    <x v="1360"/>
    <x v="139"/>
    <s v="23rd"/>
    <x v="7"/>
    <x v="11"/>
    <x v="0"/>
  </r>
  <r>
    <s v="IndiGo"/>
    <n v="10"/>
    <x v="2"/>
    <s v="IndiGo customer review"/>
    <x v="1361"/>
    <x v="139"/>
    <s v="23rd"/>
    <x v="7"/>
    <x v="11"/>
    <x v="0"/>
  </r>
  <r>
    <s v="IndiGo"/>
    <n v="9"/>
    <x v="2"/>
    <s v="IndiGo customer review"/>
    <x v="1362"/>
    <x v="140"/>
    <s v="8th"/>
    <x v="11"/>
    <x v="11"/>
    <x v="0"/>
  </r>
  <r>
    <s v="IndiGo"/>
    <m/>
    <x v="1"/>
    <s v="IndiGo customer review"/>
    <x v="1363"/>
    <x v="140"/>
    <s v="8th"/>
    <x v="11"/>
    <x v="11"/>
    <x v="1"/>
  </r>
  <r>
    <s v="IndiGo"/>
    <n v="9"/>
    <x v="2"/>
    <s v="IndiGo customer review"/>
    <x v="85"/>
    <x v="140"/>
    <s v="8th"/>
    <x v="11"/>
    <x v="11"/>
    <x v="0"/>
  </r>
  <r>
    <s v="IndiGo"/>
    <n v="10"/>
    <x v="2"/>
    <s v="IndiGo customer review"/>
    <x v="1364"/>
    <x v="140"/>
    <s v="8th"/>
    <x v="11"/>
    <x v="11"/>
    <x v="0"/>
  </r>
  <r>
    <s v="IndiGo"/>
    <n v="10"/>
    <x v="2"/>
    <s v="IndiGo customer review"/>
    <x v="42"/>
    <x v="140"/>
    <s v="8th"/>
    <x v="11"/>
    <x v="11"/>
    <x v="0"/>
  </r>
  <r>
    <s v="IndiGo"/>
    <n v="9"/>
    <x v="2"/>
    <s v="IndiGo customer review"/>
    <x v="1365"/>
    <x v="140"/>
    <s v="8th"/>
    <x v="11"/>
    <x v="11"/>
    <x v="0"/>
  </r>
  <r>
    <s v="IndiGo"/>
    <n v="9"/>
    <x v="2"/>
    <s v="IndiGo customer review"/>
    <x v="85"/>
    <x v="140"/>
    <s v="8th"/>
    <x v="11"/>
    <x v="11"/>
    <x v="0"/>
  </r>
  <r>
    <s v="IndiGo"/>
    <n v="8"/>
    <x v="2"/>
    <s v="IndiGo customer review"/>
    <x v="1317"/>
    <x v="140"/>
    <s v="8th"/>
    <x v="11"/>
    <x v="11"/>
    <x v="0"/>
  </r>
  <r>
    <s v="IndiGo"/>
    <n v="8"/>
    <x v="2"/>
    <s v="IndiGo customer review"/>
    <x v="1317"/>
    <x v="140"/>
    <s v="8th"/>
    <x v="11"/>
    <x v="11"/>
    <x v="0"/>
  </r>
  <r>
    <s v="IndiGo"/>
    <n v="7"/>
    <x v="0"/>
    <s v="IndiGo customer review"/>
    <x v="1366"/>
    <x v="140"/>
    <s v="8th"/>
    <x v="11"/>
    <x v="11"/>
    <x v="0"/>
  </r>
  <r>
    <s v="SpiceJet"/>
    <n v="1"/>
    <x v="1"/>
    <s v="&quot;Extremely disappointing experience&quot;"/>
    <x v="1367"/>
    <x v="94"/>
    <s v="23rd"/>
    <x v="2"/>
    <x v="7"/>
    <x v="1"/>
  </r>
  <r>
    <s v="SpiceJet"/>
    <n v="1"/>
    <x v="1"/>
    <s v="&quot;policy seems unfair and exploitative&quot;"/>
    <x v="1368"/>
    <x v="94"/>
    <s v="23rd"/>
    <x v="2"/>
    <x v="7"/>
    <x v="1"/>
  </r>
  <r>
    <s v="SpiceJet"/>
    <n v="2"/>
    <x v="1"/>
    <s v="&quot;flight was delayed by 10 hours&quot;"/>
    <x v="1369"/>
    <x v="94"/>
    <s v="23rd"/>
    <x v="2"/>
    <x v="7"/>
    <x v="1"/>
  </r>
  <r>
    <s v="SpiceJet"/>
    <n v="1"/>
    <x v="1"/>
    <s v="&quot;only sends automated emails&quot;"/>
    <x v="1370"/>
    <x v="94"/>
    <s v="23rd"/>
    <x v="2"/>
    <x v="7"/>
    <x v="1"/>
  </r>
  <r>
    <s v="SpiceJet"/>
    <n v="10"/>
    <x v="2"/>
    <s v="&quot;outstanding service I experienced&quot;"/>
    <x v="1371"/>
    <x v="94"/>
    <s v="23rd"/>
    <x v="2"/>
    <x v="7"/>
    <x v="0"/>
  </r>
  <r>
    <s v="SpiceJet"/>
    <n v="1"/>
    <x v="1"/>
    <s v="&quot;Flight delayed by 5 hours&quot;"/>
    <x v="1372"/>
    <x v="94"/>
    <s v="23rd"/>
    <x v="2"/>
    <x v="7"/>
    <x v="1"/>
  </r>
  <r>
    <s v="SpiceJet"/>
    <n v="1"/>
    <x v="1"/>
    <s v="â€œWorst ever domestic airlineâ€"/>
    <x v="1373"/>
    <x v="94"/>
    <s v="23rd"/>
    <x v="2"/>
    <x v="7"/>
    <x v="1"/>
  </r>
  <r>
    <s v="SpiceJet"/>
    <n v="1"/>
    <x v="1"/>
    <s v="&quot;Worst ever experience &quot;"/>
    <x v="1374"/>
    <x v="94"/>
    <s v="23rd"/>
    <x v="2"/>
    <x v="7"/>
    <x v="1"/>
  </r>
  <r>
    <s v="SpiceJet"/>
    <n v="1"/>
    <x v="1"/>
    <s v="&quot;Never travel with this company&quot;"/>
    <x v="1375"/>
    <x v="94"/>
    <s v="23rd"/>
    <x v="2"/>
    <x v="7"/>
    <x v="1"/>
  </r>
  <r>
    <s v="SpiceJet"/>
    <n v="1"/>
    <x v="1"/>
    <s v="&quot;Worst experience&quot;"/>
    <x v="1376"/>
    <x v="94"/>
    <s v="23rd"/>
    <x v="2"/>
    <x v="7"/>
    <x v="1"/>
  </r>
  <r>
    <s v="SpiceJet"/>
    <n v="10"/>
    <x v="2"/>
    <s v="&quot;landed the flight very smoothly&quot;"/>
    <x v="1377"/>
    <x v="95"/>
    <s v="10th"/>
    <x v="8"/>
    <x v="7"/>
    <x v="0"/>
  </r>
  <r>
    <s v="SpiceJet"/>
    <n v="2"/>
    <x v="1"/>
    <s v="â€œthe same with all SpiceJet flightsâ€"/>
    <x v="1378"/>
    <x v="95"/>
    <s v="10th"/>
    <x v="8"/>
    <x v="7"/>
    <x v="1"/>
  </r>
  <r>
    <s v="SpiceJet"/>
    <n v="10"/>
    <x v="2"/>
    <s v="&quot;good service by the crew&quot;"/>
    <x v="1379"/>
    <x v="95"/>
    <s v="10th"/>
    <x v="8"/>
    <x v="7"/>
    <x v="0"/>
  </r>
  <r>
    <s v="SpiceJet"/>
    <n v="10"/>
    <x v="2"/>
    <s v="&quot;excellent hospitality&quot;"/>
    <x v="1380"/>
    <x v="95"/>
    <s v="10th"/>
    <x v="8"/>
    <x v="7"/>
    <x v="0"/>
  </r>
  <r>
    <s v="SpiceJet"/>
    <n v="1"/>
    <x v="1"/>
    <s v="&quot;increase delay timing&quot;"/>
    <x v="1381"/>
    <x v="95"/>
    <s v="10th"/>
    <x v="8"/>
    <x v="7"/>
    <x v="1"/>
  </r>
  <r>
    <s v="SpiceJet"/>
    <n v="3"/>
    <x v="1"/>
    <s v="&quot;I would not recommend SpiceJet&quot;"/>
    <x v="1382"/>
    <x v="95"/>
    <s v="10th"/>
    <x v="8"/>
    <x v="7"/>
    <x v="1"/>
  </r>
  <r>
    <s v="SpiceJet"/>
    <n v="1"/>
    <x v="1"/>
    <s v="&quot;itâ€™s almost 7 hours late&quot;"/>
    <x v="1383"/>
    <x v="95"/>
    <s v="10th"/>
    <x v="8"/>
    <x v="7"/>
    <x v="1"/>
  </r>
  <r>
    <s v="SpiceJet"/>
    <n v="1"/>
    <x v="1"/>
    <s v="&quot;Third class services&quot;"/>
    <x v="1384"/>
    <x v="95"/>
    <s v="10th"/>
    <x v="8"/>
    <x v="7"/>
    <x v="1"/>
  </r>
  <r>
    <s v="SpiceJet"/>
    <n v="3"/>
    <x v="1"/>
    <s v="â€œSuch a pathetic serviceâ€"/>
    <x v="1385"/>
    <x v="95"/>
    <s v="10th"/>
    <x v="8"/>
    <x v="7"/>
    <x v="1"/>
  </r>
  <r>
    <s v="SpiceJet"/>
    <n v="2"/>
    <x v="1"/>
    <s v="â€œthey ran out of mealsâ€"/>
    <x v="1386"/>
    <x v="95"/>
    <s v="10th"/>
    <x v="8"/>
    <x v="7"/>
    <x v="1"/>
  </r>
  <r>
    <s v="SpiceJet"/>
    <n v="1"/>
    <x v="1"/>
    <s v="&quot;not recommend this airline &quot;"/>
    <x v="1387"/>
    <x v="141"/>
    <s v="22nd"/>
    <x v="3"/>
    <x v="7"/>
    <x v="1"/>
  </r>
  <r>
    <s v="SpiceJet"/>
    <n v="1"/>
    <x v="1"/>
    <s v="&quot;ask you to weigh you handbag&quot;"/>
    <x v="1388"/>
    <x v="141"/>
    <s v="22nd"/>
    <x v="3"/>
    <x v="7"/>
    <x v="1"/>
  </r>
  <r>
    <s v="SpiceJet"/>
    <n v="1"/>
    <x v="1"/>
    <s v="&quot;Don't ever book this airline&quot;"/>
    <x v="1389"/>
    <x v="141"/>
    <s v="22nd"/>
    <x v="3"/>
    <x v="7"/>
    <x v="1"/>
  </r>
  <r>
    <s v="SpiceJet"/>
    <n v="1"/>
    <x v="1"/>
    <s v="â€œdemanding extra moneyâ€"/>
    <x v="1390"/>
    <x v="141"/>
    <s v="22nd"/>
    <x v="3"/>
    <x v="7"/>
    <x v="1"/>
  </r>
  <r>
    <s v="SpiceJet"/>
    <n v="10"/>
    <x v="2"/>
    <s v="&quot;the exceptional service&quot;"/>
    <x v="1391"/>
    <x v="141"/>
    <s v="22nd"/>
    <x v="3"/>
    <x v="7"/>
    <x v="0"/>
  </r>
  <r>
    <s v="SpiceJet"/>
    <n v="1"/>
    <x v="1"/>
    <s v="&quot;worst travelling experience&quot;"/>
    <x v="1392"/>
    <x v="141"/>
    <s v="22nd"/>
    <x v="3"/>
    <x v="7"/>
    <x v="1"/>
  </r>
  <r>
    <s v="SpiceJet"/>
    <n v="1"/>
    <x v="1"/>
    <s v="&quot;understand that it is a trap&quot;"/>
    <x v="1393"/>
    <x v="141"/>
    <s v="22nd"/>
    <x v="3"/>
    <x v="7"/>
    <x v="1"/>
  </r>
  <r>
    <s v="SpiceJet"/>
    <n v="1"/>
    <x v="1"/>
    <s v="&quot;no regards for customer&quot;"/>
    <x v="1394"/>
    <x v="141"/>
    <s v="22nd"/>
    <x v="3"/>
    <x v="7"/>
    <x v="1"/>
  </r>
  <r>
    <s v="SpiceJet"/>
    <n v="1"/>
    <x v="1"/>
    <s v="&quot;Spicejet was bad&quot;"/>
    <x v="1395"/>
    <x v="141"/>
    <s v="22nd"/>
    <x v="3"/>
    <x v="7"/>
    <x v="1"/>
  </r>
  <r>
    <s v="SpiceJet"/>
    <n v="1"/>
    <x v="1"/>
    <s v="&quot;experience with Spicejet are horrible&quot;"/>
    <x v="1396"/>
    <x v="141"/>
    <s v="22nd"/>
    <x v="3"/>
    <x v="7"/>
    <x v="1"/>
  </r>
  <r>
    <s v="SpiceJet"/>
    <n v="4"/>
    <x v="1"/>
    <s v="!&quot;seats are very uncomfortable&quot;"/>
    <x v="1397"/>
    <x v="142"/>
    <s v="18th"/>
    <x v="1"/>
    <x v="7"/>
    <x v="1"/>
  </r>
  <r>
    <s v="SpiceJet"/>
    <n v="1"/>
    <x v="1"/>
    <s v="&quot;an issue with missing luggage&quot;"/>
    <x v="1398"/>
    <x v="142"/>
    <s v="18th"/>
    <x v="1"/>
    <x v="7"/>
    <x v="1"/>
  </r>
  <r>
    <s v="SpiceJet"/>
    <n v="1"/>
    <x v="1"/>
    <s v="â€œDo not book SpiceJetâ€"/>
    <x v="1399"/>
    <x v="142"/>
    <s v="18th"/>
    <x v="1"/>
    <x v="7"/>
    <x v="1"/>
  </r>
  <r>
    <s v="SpiceJet"/>
    <n v="1"/>
    <x v="1"/>
    <s v="&quot;the worst airline in the country&quot;"/>
    <x v="1400"/>
    <x v="142"/>
    <s v="18th"/>
    <x v="1"/>
    <x v="7"/>
    <x v="1"/>
  </r>
  <r>
    <s v="SpiceJet"/>
    <n v="10"/>
    <x v="2"/>
    <s v="â€œa joy to have on boardâ€œ"/>
    <x v="1401"/>
    <x v="142"/>
    <s v="18th"/>
    <x v="1"/>
    <x v="7"/>
    <x v="0"/>
  </r>
  <r>
    <s v="SpiceJet"/>
    <n v="2"/>
    <x v="1"/>
    <s v="&quot;condition is very bad&quot;"/>
    <x v="1402"/>
    <x v="142"/>
    <s v="18th"/>
    <x v="1"/>
    <x v="7"/>
    <x v="1"/>
  </r>
  <r>
    <s v="SpiceJet"/>
    <n v="2"/>
    <x v="1"/>
    <s v="&quot;a third class service&quot;"/>
    <x v="1403"/>
    <x v="142"/>
    <s v="18th"/>
    <x v="1"/>
    <x v="7"/>
    <x v="1"/>
  </r>
  <r>
    <s v="SpiceJet"/>
    <n v="10"/>
    <x v="2"/>
    <s v="â€œa pleasant journeyâ€"/>
    <x v="1404"/>
    <x v="142"/>
    <s v="18th"/>
    <x v="1"/>
    <x v="7"/>
    <x v="0"/>
  </r>
  <r>
    <s v="SpiceJet"/>
    <n v="10"/>
    <x v="2"/>
    <s v="&quot;Great travel experience&quot;"/>
    <x v="1405"/>
    <x v="142"/>
    <s v="18th"/>
    <x v="1"/>
    <x v="7"/>
    <x v="0"/>
  </r>
  <r>
    <s v="SpiceJet"/>
    <n v="10"/>
    <x v="2"/>
    <s v="&quot;journey has been the best&quot;"/>
    <x v="1406"/>
    <x v="142"/>
    <s v="18th"/>
    <x v="1"/>
    <x v="7"/>
    <x v="0"/>
  </r>
  <r>
    <s v="SpiceJet"/>
    <n v="10"/>
    <x v="2"/>
    <s v="&quot;outstanding service provided&quot;"/>
    <x v="1407"/>
    <x v="143"/>
    <s v="11th"/>
    <x v="10"/>
    <x v="7"/>
    <x v="0"/>
  </r>
  <r>
    <s v="SpiceJet"/>
    <n v="10"/>
    <x v="2"/>
    <s v="â€œoutstanding efforts and exemplary serviceâ€"/>
    <x v="1408"/>
    <x v="143"/>
    <s v="11th"/>
    <x v="10"/>
    <x v="7"/>
    <x v="0"/>
  </r>
  <r>
    <s v="SpiceJet"/>
    <n v="1"/>
    <x v="1"/>
    <s v="â€œthey refused to take responsibilityâ€"/>
    <x v="1409"/>
    <x v="143"/>
    <s v="11th"/>
    <x v="10"/>
    <x v="7"/>
    <x v="1"/>
  </r>
  <r>
    <s v="SpiceJet"/>
    <n v="1"/>
    <x v="1"/>
    <s v="&quot;they cancelled my ticket&quot;"/>
    <x v="1410"/>
    <x v="143"/>
    <s v="11th"/>
    <x v="10"/>
    <x v="7"/>
    <x v="1"/>
  </r>
  <r>
    <s v="SpiceJet"/>
    <n v="1"/>
    <x v="1"/>
    <s v="&quot;worst customer service&quot;"/>
    <x v="1411"/>
    <x v="143"/>
    <s v="11th"/>
    <x v="10"/>
    <x v="7"/>
    <x v="1"/>
  </r>
  <r>
    <s v="SpiceJet"/>
    <n v="1"/>
    <x v="1"/>
    <s v="&quot;Very bad experience&quot;"/>
    <x v="1412"/>
    <x v="143"/>
    <s v="11th"/>
    <x v="10"/>
    <x v="7"/>
    <x v="1"/>
  </r>
  <r>
    <s v="SpiceJet"/>
    <n v="10"/>
    <x v="2"/>
    <s v="â€œStaff were very kind and politeâ€"/>
    <x v="1413"/>
    <x v="143"/>
    <s v="11th"/>
    <x v="10"/>
    <x v="7"/>
    <x v="0"/>
  </r>
  <r>
    <s v="SpiceJet"/>
    <n v="1"/>
    <x v="1"/>
    <s v="&quot;couldn't even recognize my bag&quot;"/>
    <x v="1414"/>
    <x v="143"/>
    <s v="11th"/>
    <x v="10"/>
    <x v="7"/>
    <x v="1"/>
  </r>
  <r>
    <s v="SpiceJet"/>
    <n v="1"/>
    <x v="1"/>
    <s v="&quot;didn't get our luggage&quot;"/>
    <x v="1415"/>
    <x v="143"/>
    <s v="11th"/>
    <x v="10"/>
    <x v="7"/>
    <x v="1"/>
  </r>
  <r>
    <s v="SpiceJet"/>
    <n v="1"/>
    <x v="1"/>
    <s v="&quot;poor customer service&quot;"/>
    <x v="1416"/>
    <x v="143"/>
    <s v="11th"/>
    <x v="10"/>
    <x v="7"/>
    <x v="1"/>
  </r>
  <r>
    <s v="SpiceJet"/>
    <n v="1"/>
    <x v="1"/>
    <s v="&quot;my luggage was sent to Mumbai&quot;"/>
    <x v="1417"/>
    <x v="144"/>
    <s v="25th"/>
    <x v="11"/>
    <x v="7"/>
    <x v="1"/>
  </r>
  <r>
    <s v="SpiceJet"/>
    <n v="1"/>
    <x v="1"/>
    <s v="â€œa very harrowing experienceâ€"/>
    <x v="1418"/>
    <x v="144"/>
    <s v="25th"/>
    <x v="11"/>
    <x v="7"/>
    <x v="1"/>
  </r>
  <r>
    <s v="SpiceJet"/>
    <n v="1"/>
    <x v="1"/>
    <s v="&quot;Do not book Spicejet flights&quot;"/>
    <x v="1419"/>
    <x v="144"/>
    <s v="25th"/>
    <x v="11"/>
    <x v="7"/>
    <x v="1"/>
  </r>
  <r>
    <s v="SpiceJet"/>
    <n v="1"/>
    <x v="1"/>
    <s v="&quot;a disheartening experience&quot;"/>
    <x v="1420"/>
    <x v="144"/>
    <s v="25th"/>
    <x v="11"/>
    <x v="7"/>
    <x v="1"/>
  </r>
  <r>
    <s v="SpiceJet"/>
    <n v="2"/>
    <x v="1"/>
    <s v="&quot;left us deeply dissatisfied&quot;"/>
    <x v="1421"/>
    <x v="144"/>
    <s v="25th"/>
    <x v="11"/>
    <x v="7"/>
    <x v="1"/>
  </r>
  <r>
    <s v="SpiceJet"/>
    <n v="1"/>
    <x v="1"/>
    <s v="&quot;Never travel through SpiceJet&quot;"/>
    <x v="1422"/>
    <x v="144"/>
    <s v="25th"/>
    <x v="11"/>
    <x v="7"/>
    <x v="1"/>
  </r>
  <r>
    <s v="SpiceJet"/>
    <n v="1"/>
    <x v="1"/>
    <s v="â€œhorrendous customer serviceâ€"/>
    <x v="1423"/>
    <x v="144"/>
    <s v="25th"/>
    <x v="11"/>
    <x v="7"/>
    <x v="1"/>
  </r>
  <r>
    <s v="SpiceJet"/>
    <n v="1"/>
    <x v="1"/>
    <s v="&quot;keep delaying the flights often&quot;"/>
    <x v="1424"/>
    <x v="144"/>
    <s v="25th"/>
    <x v="11"/>
    <x v="7"/>
    <x v="1"/>
  </r>
  <r>
    <s v="SpiceJet"/>
    <n v="2"/>
    <x v="1"/>
    <s v="&quot;not up to par with standards&quot;"/>
    <x v="1425"/>
    <x v="144"/>
    <s v="25th"/>
    <x v="11"/>
    <x v="7"/>
    <x v="1"/>
  </r>
  <r>
    <s v="SpiceJet"/>
    <n v="1"/>
    <x v="1"/>
    <s v="&quot;Terrible service&quot;"/>
    <x v="1426"/>
    <x v="144"/>
    <s v="25th"/>
    <x v="11"/>
    <x v="7"/>
    <x v="1"/>
  </r>
  <r>
    <s v="SpiceJet"/>
    <n v="1"/>
    <x v="1"/>
    <s v="&quot;Horrible experience with this airline&quot;"/>
    <x v="1427"/>
    <x v="145"/>
    <s v="7th"/>
    <x v="4"/>
    <x v="0"/>
    <x v="1"/>
  </r>
  <r>
    <s v="SpiceJet"/>
    <n v="1"/>
    <x v="1"/>
    <s v="&quot;Rescheduled so many times&quot;"/>
    <x v="1428"/>
    <x v="145"/>
    <s v="7th"/>
    <x v="4"/>
    <x v="0"/>
    <x v="1"/>
  </r>
  <r>
    <s v="SpiceJet"/>
    <n v="1"/>
    <x v="1"/>
    <s v="â€œno facilities providedâ€"/>
    <x v="1429"/>
    <x v="145"/>
    <s v="7th"/>
    <x v="4"/>
    <x v="0"/>
    <x v="1"/>
  </r>
  <r>
    <s v="SpiceJet"/>
    <n v="1"/>
    <x v="1"/>
    <s v="&quot;Truly third class airline&quot;"/>
    <x v="1430"/>
    <x v="145"/>
    <s v="7th"/>
    <x v="4"/>
    <x v="0"/>
    <x v="1"/>
  </r>
  <r>
    <s v="SpiceJet"/>
    <n v="1"/>
    <x v="1"/>
    <s v="&quot;Their timeliness is the worst&quot;"/>
    <x v="1431"/>
    <x v="145"/>
    <s v="7th"/>
    <x v="4"/>
    <x v="0"/>
    <x v="1"/>
  </r>
  <r>
    <s v="SpiceJet"/>
    <n v="2"/>
    <x v="1"/>
    <s v="&quot;completely unreliable&quot;"/>
    <x v="1432"/>
    <x v="145"/>
    <s v="7th"/>
    <x v="4"/>
    <x v="0"/>
    <x v="1"/>
  </r>
  <r>
    <s v="SpiceJet"/>
    <n v="1"/>
    <x v="1"/>
    <s v="&quot;staff is rude and arrogant&quot;"/>
    <x v="1433"/>
    <x v="145"/>
    <s v="7th"/>
    <x v="4"/>
    <x v="0"/>
    <x v="1"/>
  </r>
  <r>
    <s v="SpiceJet"/>
    <n v="10"/>
    <x v="2"/>
    <s v="&quot;I enjoyed my journey&quot;"/>
    <x v="1434"/>
    <x v="145"/>
    <s v="7th"/>
    <x v="4"/>
    <x v="0"/>
    <x v="0"/>
  </r>
  <r>
    <s v="SpiceJet"/>
    <n v="1"/>
    <x v="1"/>
    <s v="&quot;No proper customer support&quot;"/>
    <x v="1435"/>
    <x v="145"/>
    <s v="7th"/>
    <x v="4"/>
    <x v="0"/>
    <x v="1"/>
  </r>
  <r>
    <s v="SpiceJet"/>
    <n v="1"/>
    <x v="1"/>
    <s v="&quot;must value its customer's time&quot;"/>
    <x v="1436"/>
    <x v="145"/>
    <s v="7th"/>
    <x v="4"/>
    <x v="0"/>
    <x v="1"/>
  </r>
  <r>
    <s v="SpiceJet"/>
    <n v="1"/>
    <x v="1"/>
    <s v="&quot;seats were broken and worn out&quot;"/>
    <x v="1437"/>
    <x v="146"/>
    <s v="1st"/>
    <x v="6"/>
    <x v="0"/>
    <x v="1"/>
  </r>
  <r>
    <s v="SpiceJet"/>
    <n v="1"/>
    <x v="1"/>
    <s v="&quot;worst experience I ever had&quot;"/>
    <x v="1438"/>
    <x v="146"/>
    <s v="1st"/>
    <x v="6"/>
    <x v="0"/>
    <x v="1"/>
  </r>
  <r>
    <s v="SpiceJet"/>
    <n v="1"/>
    <x v="1"/>
    <s v="&quot;No compensation or apology offered&quot;"/>
    <x v="1439"/>
    <x v="146"/>
    <s v="1st"/>
    <x v="6"/>
    <x v="0"/>
    <x v="1"/>
  </r>
  <r>
    <s v="SpiceJet"/>
    <n v="7"/>
    <x v="0"/>
    <s v="â€œa pretty good flightâ€"/>
    <x v="1440"/>
    <x v="146"/>
    <s v="1st"/>
    <x v="6"/>
    <x v="0"/>
    <x v="0"/>
  </r>
  <r>
    <s v="SpiceJet"/>
    <n v="9"/>
    <x v="2"/>
    <s v="&quot;it was the happiest trip&quot;"/>
    <x v="1441"/>
    <x v="146"/>
    <s v="1st"/>
    <x v="6"/>
    <x v="0"/>
    <x v="0"/>
  </r>
  <r>
    <s v="SpiceJet"/>
    <n v="2"/>
    <x v="1"/>
    <s v="&quot;they enforce a strict 7 kg limit&quot;"/>
    <x v="1442"/>
    <x v="146"/>
    <s v="1st"/>
    <x v="6"/>
    <x v="0"/>
    <x v="1"/>
  </r>
  <r>
    <s v="SpiceJet"/>
    <n v="10"/>
    <x v="2"/>
    <s v="&quot;Excellent service&quot;"/>
    <x v="1443"/>
    <x v="146"/>
    <s v="1st"/>
    <x v="6"/>
    <x v="0"/>
    <x v="0"/>
  </r>
  <r>
    <s v="SpiceJet"/>
    <n v="5"/>
    <x v="0"/>
    <s v="&quot;a decent functional experience&quot;"/>
    <x v="1097"/>
    <x v="146"/>
    <s v="1st"/>
    <x v="6"/>
    <x v="0"/>
    <x v="0"/>
  </r>
  <r>
    <s v="SpiceJet"/>
    <n v="2"/>
    <x v="1"/>
    <s v="&quot;Not a good experience&quot;"/>
    <x v="1444"/>
    <x v="146"/>
    <s v="1st"/>
    <x v="6"/>
    <x v="0"/>
    <x v="1"/>
  </r>
  <r>
    <s v="SpiceJet"/>
    <n v="1"/>
    <x v="1"/>
    <s v="&quot;I was denied boarding&quot;"/>
    <x v="1445"/>
    <x v="146"/>
    <s v="1st"/>
    <x v="6"/>
    <x v="0"/>
    <x v="1"/>
  </r>
  <r>
    <s v="SpiceJet"/>
    <n v="1"/>
    <x v="1"/>
    <s v="&quot;A very bad experience&quot;"/>
    <x v="1446"/>
    <x v="147"/>
    <s v="21st"/>
    <x v="2"/>
    <x v="0"/>
    <x v="1"/>
  </r>
  <r>
    <s v="SpiceJet"/>
    <n v="9"/>
    <x v="2"/>
    <s v="&quot;Ground staff were excellent&quot;"/>
    <x v="1447"/>
    <x v="147"/>
    <s v="21st"/>
    <x v="2"/>
    <x v="0"/>
    <x v="0"/>
  </r>
  <r>
    <s v="SpiceJet"/>
    <n v="1"/>
    <x v="1"/>
    <s v="&quot;Disheartening Experience&quot;"/>
    <x v="1448"/>
    <x v="147"/>
    <s v="21st"/>
    <x v="2"/>
    <x v="0"/>
    <x v="1"/>
  </r>
  <r>
    <s v="SpiceJet"/>
    <n v="9"/>
    <x v="2"/>
    <s v="&quot;I am satisfied and contented&quot;"/>
    <x v="1449"/>
    <x v="147"/>
    <s v="21st"/>
    <x v="2"/>
    <x v="0"/>
    <x v="0"/>
  </r>
  <r>
    <s v="SpiceJet"/>
    <n v="1"/>
    <x v="1"/>
    <s v="&quot;No respect for passengers time&quot;"/>
    <x v="1450"/>
    <x v="147"/>
    <s v="21st"/>
    <x v="2"/>
    <x v="0"/>
    <x v="1"/>
  </r>
  <r>
    <s v="SpiceJet"/>
    <n v="1"/>
    <x v="1"/>
    <s v="&quot;I have not received my refund&quot;"/>
    <x v="1451"/>
    <x v="147"/>
    <s v="21st"/>
    <x v="2"/>
    <x v="0"/>
    <x v="1"/>
  </r>
  <r>
    <s v="SpiceJet"/>
    <n v="9"/>
    <x v="2"/>
    <s v="&quot;Service is very good&quot;"/>
    <x v="1452"/>
    <x v="147"/>
    <s v="21st"/>
    <x v="2"/>
    <x v="0"/>
    <x v="0"/>
  </r>
  <r>
    <s v="SpiceJet"/>
    <n v="10"/>
    <x v="2"/>
    <s v="&quot;SpiceJet experience was good&quot;"/>
    <x v="1453"/>
    <x v="147"/>
    <s v="21st"/>
    <x v="2"/>
    <x v="0"/>
    <x v="0"/>
  </r>
  <r>
    <s v="SpiceJet"/>
    <n v="10"/>
    <x v="2"/>
    <s v="&quot;great service from crew&quot;"/>
    <x v="1454"/>
    <x v="147"/>
    <s v="21st"/>
    <x v="2"/>
    <x v="0"/>
    <x v="0"/>
  </r>
  <r>
    <s v="SpiceJet"/>
    <n v="1"/>
    <x v="1"/>
    <s v="&quot;Our flight was delayed 3 times&quot;"/>
    <x v="1455"/>
    <x v="147"/>
    <s v="21st"/>
    <x v="2"/>
    <x v="0"/>
    <x v="1"/>
  </r>
  <r>
    <s v="SpiceJet"/>
    <n v="2"/>
    <x v="1"/>
    <s v="&quot;They kept delaying the departure&quot;"/>
    <x v="1456"/>
    <x v="148"/>
    <s v="11th"/>
    <x v="9"/>
    <x v="0"/>
    <x v="1"/>
  </r>
  <r>
    <s v="SpiceJet"/>
    <n v="1"/>
    <x v="1"/>
    <s v="&quot;Worse service ever&quot;"/>
    <x v="1457"/>
    <x v="148"/>
    <s v="11th"/>
    <x v="9"/>
    <x v="0"/>
    <x v="1"/>
  </r>
  <r>
    <s v="SpiceJet"/>
    <n v="1"/>
    <x v="1"/>
    <s v="&quot;an utter disappoint&quot;"/>
    <x v="1458"/>
    <x v="148"/>
    <s v="11th"/>
    <x v="9"/>
    <x v="0"/>
    <x v="1"/>
  </r>
  <r>
    <s v="SpiceJet"/>
    <n v="1"/>
    <x v="1"/>
    <s v="&quot;Really worst experience&quot;"/>
    <x v="1459"/>
    <x v="148"/>
    <s v="11th"/>
    <x v="9"/>
    <x v="0"/>
    <x v="1"/>
  </r>
  <r>
    <s v="SpiceJet"/>
    <n v="9"/>
    <x v="2"/>
    <s v="&quot;Inflight experience is wonderful&quot;"/>
    <x v="1460"/>
    <x v="148"/>
    <s v="11th"/>
    <x v="9"/>
    <x v="0"/>
    <x v="0"/>
  </r>
  <r>
    <s v="SpiceJet"/>
    <n v="1"/>
    <x v="1"/>
    <s v="&quot;cancelled and no alternative flight available&quot;"/>
    <x v="1461"/>
    <x v="148"/>
    <s v="11th"/>
    <x v="9"/>
    <x v="0"/>
    <x v="1"/>
  </r>
  <r>
    <s v="SpiceJet"/>
    <n v="1"/>
    <x v="1"/>
    <s v="&quot;Worst airline ever&quot;"/>
    <x v="1462"/>
    <x v="148"/>
    <s v="11th"/>
    <x v="9"/>
    <x v="0"/>
    <x v="1"/>
  </r>
  <r>
    <s v="SpiceJet"/>
    <n v="2"/>
    <x v="1"/>
    <s v="&quot;The worst airline to fly with&quot;!"/>
    <x v="1463"/>
    <x v="148"/>
    <s v="11th"/>
    <x v="9"/>
    <x v="0"/>
    <x v="1"/>
  </r>
  <r>
    <s v="SpiceJet"/>
    <n v="1"/>
    <x v="1"/>
    <s v="&quot;One of the worst flights&quot;"/>
    <x v="1464"/>
    <x v="148"/>
    <s v="11th"/>
    <x v="9"/>
    <x v="0"/>
    <x v="1"/>
  </r>
  <r>
    <s v="SpiceJet"/>
    <n v="1"/>
    <x v="1"/>
    <s v="&quot;Will not consider this airline anymore&quot;"/>
    <x v="1465"/>
    <x v="148"/>
    <s v="11th"/>
    <x v="9"/>
    <x v="0"/>
    <x v="1"/>
  </r>
  <r>
    <s v="SpiceJet"/>
    <n v="1"/>
    <x v="1"/>
    <s v="&quot;Terrible terrible experience&quot;"/>
    <x v="1466"/>
    <x v="149"/>
    <s v="2nd"/>
    <x v="3"/>
    <x v="0"/>
    <x v="1"/>
  </r>
  <r>
    <s v="SpiceJet"/>
    <n v="1"/>
    <x v="1"/>
    <s v="&quot;Pathetic experience&quot;"/>
    <x v="1467"/>
    <x v="149"/>
    <s v="2nd"/>
    <x v="3"/>
    <x v="0"/>
    <x v="1"/>
  </r>
  <r>
    <s v="SpiceJet"/>
    <n v="2"/>
    <x v="1"/>
    <s v="&quot;stay away from this airline&quot;"/>
    <x v="1468"/>
    <x v="149"/>
    <s v="2nd"/>
    <x v="3"/>
    <x v="0"/>
    <x v="1"/>
  </r>
  <r>
    <s v="SpiceJet"/>
    <n v="1"/>
    <x v="1"/>
    <s v="&quot;no courtesy shown to us by SpiceJet&quot;"/>
    <x v="1469"/>
    <x v="149"/>
    <s v="2nd"/>
    <x v="3"/>
    <x v="0"/>
    <x v="1"/>
  </r>
  <r>
    <s v="SpiceJet"/>
    <n v="3"/>
    <x v="1"/>
    <s v="&quot;seats were not as expected&quot;"/>
    <x v="1470"/>
    <x v="149"/>
    <s v="2nd"/>
    <x v="3"/>
    <x v="0"/>
    <x v="1"/>
  </r>
  <r>
    <s v="SpiceJet"/>
    <n v="1"/>
    <x v="1"/>
    <s v="&quot;horrible and insensitive experience&quot;"/>
    <x v="1471"/>
    <x v="149"/>
    <s v="2nd"/>
    <x v="3"/>
    <x v="0"/>
    <x v="1"/>
  </r>
  <r>
    <s v="SpiceJet"/>
    <n v="1"/>
    <x v="1"/>
    <s v="&quot;behaviour was not at all satisfactory&quot;"/>
    <x v="1472"/>
    <x v="149"/>
    <s v="2nd"/>
    <x v="3"/>
    <x v="0"/>
    <x v="1"/>
  </r>
  <r>
    <s v="SpiceJet"/>
    <n v="1"/>
    <x v="1"/>
    <s v="&quot;The services are very pathetic&quot;"/>
    <x v="1473"/>
    <x v="149"/>
    <s v="2nd"/>
    <x v="3"/>
    <x v="0"/>
    <x v="1"/>
  </r>
  <r>
    <s v="SpiceJet"/>
    <n v="1"/>
    <x v="1"/>
    <s v="&quot;we are highly disappointed&quot;"/>
    <x v="1474"/>
    <x v="149"/>
    <s v="2nd"/>
    <x v="3"/>
    <x v="0"/>
    <x v="1"/>
  </r>
  <r>
    <s v="SpiceJet"/>
    <n v="1"/>
    <x v="1"/>
    <s v="&quot;I could not fly anywhere&quot;"/>
    <x v="1475"/>
    <x v="149"/>
    <s v="2nd"/>
    <x v="3"/>
    <x v="0"/>
    <x v="1"/>
  </r>
  <r>
    <s v="SpiceJet"/>
    <n v="1"/>
    <x v="1"/>
    <s v="&quot;Highly disappointed&quot;"/>
    <x v="1476"/>
    <x v="81"/>
    <s v="25th"/>
    <x v="10"/>
    <x v="0"/>
    <x v="1"/>
  </r>
  <r>
    <s v="SpiceJet"/>
    <n v="1"/>
    <x v="1"/>
    <s v="&quot;Customer care unresponsive and rude&quot;"/>
    <x v="1477"/>
    <x v="81"/>
    <s v="25th"/>
    <x v="10"/>
    <x v="0"/>
    <x v="1"/>
  </r>
  <r>
    <s v="SpiceJet"/>
    <n v="1"/>
    <x v="1"/>
    <s v="&quot;Worst airline in India&quot;"/>
    <x v="1478"/>
    <x v="81"/>
    <s v="25th"/>
    <x v="10"/>
    <x v="0"/>
    <x v="1"/>
  </r>
  <r>
    <s v="SpiceJet"/>
    <n v="1"/>
    <x v="1"/>
    <s v="&quot;Horrible flight services&quot;"/>
    <x v="1479"/>
    <x v="81"/>
    <s v="25th"/>
    <x v="10"/>
    <x v="0"/>
    <x v="1"/>
  </r>
  <r>
    <s v="SpiceJet"/>
    <n v="1"/>
    <x v="1"/>
    <s v="&quot;Flight time was changed 3 times&quot;"/>
    <x v="1480"/>
    <x v="81"/>
    <s v="25th"/>
    <x v="10"/>
    <x v="0"/>
    <x v="1"/>
  </r>
  <r>
    <s v="SpiceJet"/>
    <n v="1"/>
    <x v="1"/>
    <s v="&quot;I haven't come across a worse service&quot;"/>
    <x v="1481"/>
    <x v="81"/>
    <s v="25th"/>
    <x v="10"/>
    <x v="0"/>
    <x v="1"/>
  </r>
  <r>
    <s v="SpiceJet"/>
    <n v="5"/>
    <x v="0"/>
    <s v="&quot;the service was what was expected&quot;"/>
    <x v="315"/>
    <x v="81"/>
    <s v="25th"/>
    <x v="10"/>
    <x v="0"/>
    <x v="0"/>
  </r>
  <r>
    <s v="SpiceJet"/>
    <n v="1"/>
    <x v="1"/>
    <s v="&quot;Flight time was changed 3 times&quot;"/>
    <x v="1482"/>
    <x v="81"/>
    <s v="25th"/>
    <x v="10"/>
    <x v="0"/>
    <x v="1"/>
  </r>
  <r>
    <s v="SpiceJet"/>
    <n v="3"/>
    <x v="1"/>
    <s v="&quot;It was the worst check in&quot;"/>
    <x v="1483"/>
    <x v="81"/>
    <s v="25th"/>
    <x v="10"/>
    <x v="0"/>
    <x v="0"/>
  </r>
  <r>
    <s v="SpiceJet"/>
    <n v="1"/>
    <x v="1"/>
    <s v="&quot;SpiceJet flights are always late&quot;"/>
    <x v="681"/>
    <x v="81"/>
    <s v="25th"/>
    <x v="10"/>
    <x v="0"/>
    <x v="1"/>
  </r>
  <r>
    <s v="SpiceJet"/>
    <n v="1"/>
    <x v="1"/>
    <s v="&quot;I didn't even get to my flight&quot;"/>
    <x v="1484"/>
    <x v="150"/>
    <s v="8th"/>
    <x v="11"/>
    <x v="0"/>
    <x v="1"/>
  </r>
  <r>
    <s v="SpiceJet"/>
    <n v="1"/>
    <x v="1"/>
    <s v="&quot;eventually cancelled the flight&quot;"/>
    <x v="1485"/>
    <x v="150"/>
    <s v="8th"/>
    <x v="11"/>
    <x v="0"/>
    <x v="1"/>
  </r>
  <r>
    <s v="SpiceJet"/>
    <n v="1"/>
    <x v="1"/>
    <s v="&quot;the worst customer experience&quot;"/>
    <x v="1486"/>
    <x v="150"/>
    <s v="8th"/>
    <x v="11"/>
    <x v="0"/>
    <x v="1"/>
  </r>
  <r>
    <s v="SpiceJet"/>
    <n v="1"/>
    <x v="1"/>
    <s v="&quot;There was a lack of clear communication&quot;"/>
    <x v="1487"/>
    <x v="150"/>
    <s v="8th"/>
    <x v="11"/>
    <x v="0"/>
    <x v="1"/>
  </r>
  <r>
    <s v="SpiceJet"/>
    <n v="1"/>
    <x v="1"/>
    <s v="&quot;It seems that SpiceJet has a new business model&quot;"/>
    <x v="1488"/>
    <x v="150"/>
    <s v="8th"/>
    <x v="11"/>
    <x v="0"/>
    <x v="1"/>
  </r>
  <r>
    <s v="SpiceJet"/>
    <n v="6"/>
    <x v="0"/>
    <s v="&quot;Overall experience was ok&quot;"/>
    <x v="12"/>
    <x v="150"/>
    <s v="8th"/>
    <x v="11"/>
    <x v="0"/>
    <x v="1"/>
  </r>
  <r>
    <s v="SpiceJet"/>
    <n v="1"/>
    <x v="1"/>
    <s v="&quot;I haven't come across a worse service&quot;"/>
    <x v="1489"/>
    <x v="150"/>
    <s v="8th"/>
    <x v="11"/>
    <x v="0"/>
    <x v="1"/>
  </r>
  <r>
    <s v="SpiceJet"/>
    <n v="3"/>
    <x v="1"/>
    <s v="&quot;SpiceJet will be my last option for flying&quot;"/>
    <x v="1490"/>
    <x v="150"/>
    <s v="8th"/>
    <x v="11"/>
    <x v="0"/>
    <x v="1"/>
  </r>
  <r>
    <s v="SpiceJet"/>
    <n v="2"/>
    <x v="1"/>
    <s v="&quot;Third grade airline service&quot;"/>
    <x v="1491"/>
    <x v="150"/>
    <s v="8th"/>
    <x v="11"/>
    <x v="0"/>
    <x v="1"/>
  </r>
  <r>
    <s v="SpiceJet"/>
    <n v="1"/>
    <x v="1"/>
    <s v="&quot;Will never fly this airline again&quot;"/>
    <x v="1492"/>
    <x v="150"/>
    <s v="8th"/>
    <x v="11"/>
    <x v="0"/>
    <x v="1"/>
  </r>
  <r>
    <s v="SpiceJet"/>
    <n v="2"/>
    <x v="1"/>
    <s v="&quot;staff are very unprofessional&quot;"/>
    <x v="1493"/>
    <x v="151"/>
    <s v="13th"/>
    <x v="6"/>
    <x v="1"/>
    <x v="1"/>
  </r>
  <r>
    <s v="SpiceJet"/>
    <n v="1"/>
    <x v="1"/>
    <s v="&quot;Plan early and choose airlines with empathy&quot;"/>
    <x v="1494"/>
    <x v="151"/>
    <s v="13th"/>
    <x v="6"/>
    <x v="1"/>
    <x v="1"/>
  </r>
  <r>
    <s v="SpiceJet"/>
    <n v="1"/>
    <x v="1"/>
    <s v="&quot;never travel again with this airline&quot;"/>
    <x v="1495"/>
    <x v="151"/>
    <s v="13th"/>
    <x v="6"/>
    <x v="1"/>
    <x v="1"/>
  </r>
  <r>
    <s v="SpiceJet"/>
    <n v="3"/>
    <x v="1"/>
    <s v="&quot;Horrible experience&quot;"/>
    <x v="1496"/>
    <x v="151"/>
    <s v="13th"/>
    <x v="6"/>
    <x v="1"/>
    <x v="1"/>
  </r>
  <r>
    <s v="SpiceJet"/>
    <n v="1"/>
    <x v="1"/>
    <s v="&quot;Try to avoid them as much as you can&quot;"/>
    <x v="1497"/>
    <x v="151"/>
    <s v="13th"/>
    <x v="6"/>
    <x v="1"/>
    <x v="1"/>
  </r>
  <r>
    <s v="SpiceJet"/>
    <n v="1"/>
    <x v="1"/>
    <s v="&quot;Yet another day in SpiceJet glory&quot;"/>
    <x v="1498"/>
    <x v="151"/>
    <s v="13th"/>
    <x v="6"/>
    <x v="1"/>
    <x v="1"/>
  </r>
  <r>
    <s v="SpiceJet"/>
    <n v="1"/>
    <x v="1"/>
    <s v="&quot;The worst flight I have flown with&quot;"/>
    <x v="1499"/>
    <x v="151"/>
    <s v="13th"/>
    <x v="6"/>
    <x v="1"/>
    <x v="1"/>
  </r>
  <r>
    <s v="SpiceJet"/>
    <n v="1"/>
    <x v="1"/>
    <s v="&quot;Spicejet flights are delayed.&quot;"/>
    <x v="1500"/>
    <x v="151"/>
    <s v="13th"/>
    <x v="6"/>
    <x v="1"/>
    <x v="1"/>
  </r>
  <r>
    <s v="SpiceJet"/>
    <n v="1"/>
    <x v="1"/>
    <s v="&quot;SpiceJet calls me a day prior to inform the flight is cancelled&quot;"/>
    <x v="1501"/>
    <x v="151"/>
    <s v="13th"/>
    <x v="6"/>
    <x v="1"/>
    <x v="1"/>
  </r>
  <r>
    <s v="SpiceJet"/>
    <n v="1"/>
    <x v="1"/>
    <s v="&quot;doesnâ€™t care about customer satisfaction&quot;"/>
    <x v="1502"/>
    <x v="151"/>
    <s v="13th"/>
    <x v="6"/>
    <x v="1"/>
    <x v="1"/>
  </r>
  <r>
    <s v="SpiceJet"/>
    <n v="1"/>
    <x v="1"/>
    <s v="&quot;gave me such a bad experience&quot;"/>
    <x v="1503"/>
    <x v="152"/>
    <s v="26th"/>
    <x v="8"/>
    <x v="1"/>
    <x v="1"/>
  </r>
  <r>
    <s v="SpiceJet"/>
    <n v="10"/>
    <x v="2"/>
    <s v="&quot;a very satisfying experience&quot;"/>
    <x v="1504"/>
    <x v="152"/>
    <s v="26th"/>
    <x v="8"/>
    <x v="1"/>
    <x v="0"/>
  </r>
  <r>
    <s v="SpiceJet"/>
    <n v="1"/>
    <x v="1"/>
    <s v="&quot;I was forced to pay extra for 3 kg&quot;"/>
    <x v="1505"/>
    <x v="152"/>
    <s v="26th"/>
    <x v="8"/>
    <x v="1"/>
    <x v="1"/>
  </r>
  <r>
    <s v="SpiceJet"/>
    <n v="7"/>
    <x v="0"/>
    <s v="&quot;fare was very low&quot;"/>
    <x v="1506"/>
    <x v="152"/>
    <s v="26th"/>
    <x v="8"/>
    <x v="1"/>
    <x v="0"/>
  </r>
  <r>
    <s v="SpiceJet"/>
    <n v="1"/>
    <x v="1"/>
    <s v="&quot;no support to file my claim&quot;"/>
    <x v="1507"/>
    <x v="152"/>
    <s v="26th"/>
    <x v="8"/>
    <x v="1"/>
    <x v="1"/>
  </r>
  <r>
    <s v="SpiceJet"/>
    <n v="1"/>
    <x v="1"/>
    <s v="&quot;SpiceJet refused to board us&quot;"/>
    <x v="1508"/>
    <x v="152"/>
    <s v="26th"/>
    <x v="8"/>
    <x v="1"/>
    <x v="1"/>
  </r>
  <r>
    <s v="SpiceJet"/>
    <n v="1"/>
    <x v="1"/>
    <s v="&quot;my flight has been cancelled&quot;"/>
    <x v="1509"/>
    <x v="152"/>
    <s v="26th"/>
    <x v="8"/>
    <x v="1"/>
    <x v="1"/>
  </r>
  <r>
    <s v="SpiceJet"/>
    <n v="3"/>
    <x v="1"/>
    <s v="&quot;Below average flight&quot;"/>
    <x v="1510"/>
    <x v="152"/>
    <s v="26th"/>
    <x v="8"/>
    <x v="1"/>
    <x v="1"/>
  </r>
  <r>
    <s v="SpiceJet"/>
    <n v="1"/>
    <x v="1"/>
    <s v="&quot;the worst flying experience&quot;"/>
    <x v="1511"/>
    <x v="152"/>
    <s v="26th"/>
    <x v="8"/>
    <x v="1"/>
    <x v="1"/>
  </r>
  <r>
    <s v="SpiceJet"/>
    <n v="1"/>
    <x v="1"/>
    <s v="&quot;each time the flight is delayed&quot;"/>
    <x v="1512"/>
    <x v="152"/>
    <s v="26th"/>
    <x v="8"/>
    <x v="1"/>
    <x v="1"/>
  </r>
  <r>
    <s v="SpiceJet"/>
    <n v="1"/>
    <x v="1"/>
    <s v="&quot;SpiceJet turned out to be the nightmare&quot;"/>
    <x v="1513"/>
    <x v="153"/>
    <s v="11th"/>
    <x v="3"/>
    <x v="1"/>
    <x v="1"/>
  </r>
  <r>
    <s v="SpiceJet"/>
    <n v="1"/>
    <x v="1"/>
    <s v="&quot;There is absolutely no empathy for the customer&quot;"/>
    <x v="1514"/>
    <x v="153"/>
    <s v="11th"/>
    <x v="3"/>
    <x v="1"/>
    <x v="1"/>
  </r>
  <r>
    <s v="SpiceJet"/>
    <n v="1"/>
    <x v="1"/>
    <s v="&quot;Very bad experience&quot;"/>
    <x v="1515"/>
    <x v="153"/>
    <s v="11th"/>
    <x v="3"/>
    <x v="1"/>
    <x v="1"/>
  </r>
  <r>
    <s v="SpiceJet"/>
    <n v="8"/>
    <x v="2"/>
    <s v="&quot;I want to praise the services&quot;"/>
    <x v="1516"/>
    <x v="153"/>
    <s v="11th"/>
    <x v="3"/>
    <x v="1"/>
    <x v="0"/>
  </r>
  <r>
    <s v="SpiceJet"/>
    <n v="1"/>
    <x v="1"/>
    <s v="&quot;There was utter confusion and no clarity&quot;"/>
    <x v="1517"/>
    <x v="153"/>
    <s v="11th"/>
    <x v="3"/>
    <x v="1"/>
    <x v="1"/>
  </r>
  <r>
    <s v="SpiceJet"/>
    <n v="1"/>
    <x v="1"/>
    <s v="&quot;Worst experience&quot;"/>
    <x v="1518"/>
    <x v="153"/>
    <s v="11th"/>
    <x v="3"/>
    <x v="1"/>
    <x v="1"/>
  </r>
  <r>
    <s v="SpiceJet"/>
    <n v="2"/>
    <x v="1"/>
    <s v="&quot;Spicejet couldn't care less&quot;"/>
    <x v="1519"/>
    <x v="153"/>
    <s v="11th"/>
    <x v="3"/>
    <x v="1"/>
    <x v="1"/>
  </r>
  <r>
    <s v="SpiceJet"/>
    <n v="1"/>
    <x v="1"/>
    <s v="&quot;Worst experience every time&quot;"/>
    <x v="1520"/>
    <x v="153"/>
    <s v="11th"/>
    <x v="3"/>
    <x v="1"/>
    <x v="1"/>
  </r>
  <r>
    <s v="SpiceJet"/>
    <n v="2"/>
    <x v="1"/>
    <s v="&quot;worst customer service&quot;"/>
    <x v="1521"/>
    <x v="153"/>
    <s v="11th"/>
    <x v="3"/>
    <x v="1"/>
    <x v="1"/>
  </r>
  <r>
    <s v="SpiceJet"/>
    <n v="1"/>
    <x v="1"/>
    <s v="&quot;Beware of taking this airline&quot;"/>
    <x v="1522"/>
    <x v="153"/>
    <s v="11th"/>
    <x v="3"/>
    <x v="1"/>
    <x v="1"/>
  </r>
  <r>
    <s v="SpiceJet"/>
    <n v="2"/>
    <x v="1"/>
    <s v="&quot;delayed both ways by many hours&quot;"/>
    <x v="1523"/>
    <x v="154"/>
    <s v="20th"/>
    <x v="7"/>
    <x v="1"/>
    <x v="1"/>
  </r>
  <r>
    <s v="SpiceJet"/>
    <n v="1"/>
    <x v="1"/>
    <s v="&quot;Avoid this flight&quot;"/>
    <x v="1524"/>
    <x v="154"/>
    <s v="20th"/>
    <x v="7"/>
    <x v="1"/>
    <x v="1"/>
  </r>
  <r>
    <s v="SpiceJet"/>
    <n v="10"/>
    <x v="2"/>
    <s v="&quot;Staff members are well mannered&quot;"/>
    <x v="1525"/>
    <x v="154"/>
    <s v="20th"/>
    <x v="7"/>
    <x v="1"/>
    <x v="0"/>
  </r>
  <r>
    <s v="SpiceJet"/>
    <n v="1"/>
    <x v="1"/>
    <s v="&quot;Very disappointed with SpiceJet&quot;"/>
    <x v="1526"/>
    <x v="154"/>
    <s v="20th"/>
    <x v="7"/>
    <x v="1"/>
    <x v="1"/>
  </r>
  <r>
    <s v="SpiceJet"/>
    <n v="1"/>
    <x v="1"/>
    <s v="&quot;extremely disappointed with the experience&quot;"/>
    <x v="1527"/>
    <x v="154"/>
    <s v="20th"/>
    <x v="7"/>
    <x v="1"/>
    <x v="1"/>
  </r>
  <r>
    <s v="SpiceJet"/>
    <n v="1"/>
    <x v="1"/>
    <s v="&quot;Unable to get my baggage from the flight&quot;"/>
    <x v="1528"/>
    <x v="154"/>
    <s v="20th"/>
    <x v="7"/>
    <x v="1"/>
    <x v="1"/>
  </r>
  <r>
    <s v="SpiceJet"/>
    <n v="9"/>
    <x v="2"/>
    <s v="&quot;Good service and support&quot;"/>
    <x v="1529"/>
    <x v="154"/>
    <s v="20th"/>
    <x v="7"/>
    <x v="1"/>
    <x v="0"/>
  </r>
  <r>
    <s v="SpiceJet"/>
    <n v="7"/>
    <x v="0"/>
    <s v="&quot;A good experience&quot;"/>
    <x v="12"/>
    <x v="154"/>
    <s v="20th"/>
    <x v="7"/>
    <x v="1"/>
    <x v="0"/>
  </r>
  <r>
    <s v="SpiceJet"/>
    <n v="1"/>
    <x v="1"/>
    <s v="&quot;never had such a bad experience&quot;"/>
    <x v="1530"/>
    <x v="154"/>
    <s v="20th"/>
    <x v="7"/>
    <x v="1"/>
    <x v="1"/>
  </r>
  <r>
    <s v="SpiceJet"/>
    <n v="10"/>
    <x v="2"/>
    <s v="&quot;fabulous experience we had&quot;"/>
    <x v="1531"/>
    <x v="154"/>
    <s v="20th"/>
    <x v="7"/>
    <x v="1"/>
    <x v="0"/>
  </r>
  <r>
    <s v="SpiceJet"/>
    <n v="10"/>
    <x v="2"/>
    <s v="&quot;Experienced excellent customer service&quot;"/>
    <x v="1532"/>
    <x v="155"/>
    <s v="20th"/>
    <x v="10"/>
    <x v="1"/>
    <x v="0"/>
  </r>
  <r>
    <s v="SpiceJet"/>
    <n v="8"/>
    <x v="2"/>
    <s v="&quot;Staff were courteous&quot;"/>
    <x v="12"/>
    <x v="155"/>
    <s v="20th"/>
    <x v="10"/>
    <x v="1"/>
    <x v="0"/>
  </r>
  <r>
    <s v="SpiceJet"/>
    <n v="9"/>
    <x v="2"/>
    <s v="&quot;cabin crew were professional&quot;"/>
    <x v="1533"/>
    <x v="155"/>
    <s v="20th"/>
    <x v="10"/>
    <x v="1"/>
    <x v="0"/>
  </r>
  <r>
    <s v="SpiceJet"/>
    <n v="1"/>
    <x v="1"/>
    <s v="&quot;The worst experience ever&quot;"/>
    <x v="1534"/>
    <x v="155"/>
    <s v="20th"/>
    <x v="10"/>
    <x v="1"/>
    <x v="1"/>
  </r>
  <r>
    <s v="SpiceJet"/>
    <n v="8"/>
    <x v="2"/>
    <s v="&quot;hospitality service given&quot;"/>
    <x v="1535"/>
    <x v="155"/>
    <s v="20th"/>
    <x v="10"/>
    <x v="1"/>
    <x v="0"/>
  </r>
  <r>
    <s v="SpiceJet"/>
    <n v="10"/>
    <x v="2"/>
    <s v="&quot;Thank you so much for your support and cooperation SpiceJet&quot;"/>
    <x v="1536"/>
    <x v="155"/>
    <s v="20th"/>
    <x v="10"/>
    <x v="1"/>
    <x v="0"/>
  </r>
  <r>
    <s v="SpiceJet"/>
    <n v="1"/>
    <x v="1"/>
    <s v="&quot;wonâ€™t recommend to anyone&quot;"/>
    <x v="1537"/>
    <x v="155"/>
    <s v="20th"/>
    <x v="10"/>
    <x v="1"/>
    <x v="1"/>
  </r>
  <r>
    <s v="SpiceJet"/>
    <n v="1"/>
    <x v="1"/>
    <s v="&quot;Horrible experience and wouldnâ€™t recommend&quot;"/>
    <x v="1538"/>
    <x v="155"/>
    <s v="20th"/>
    <x v="10"/>
    <x v="1"/>
    <x v="1"/>
  </r>
  <r>
    <s v="SpiceJet"/>
    <n v="1"/>
    <x v="1"/>
    <s v="&quot;literally the worst situation&quot;"/>
    <x v="1539"/>
    <x v="155"/>
    <s v="20th"/>
    <x v="10"/>
    <x v="1"/>
    <x v="1"/>
  </r>
  <r>
    <s v="SpiceJet"/>
    <n v="1"/>
    <x v="1"/>
    <s v="&quot;worst flight I have ever seen&quot;"/>
    <x v="1540"/>
    <x v="155"/>
    <s v="20th"/>
    <x v="10"/>
    <x v="1"/>
    <x v="1"/>
  </r>
  <r>
    <s v="SpiceJet"/>
    <n v="1"/>
    <x v="1"/>
    <s v="&quot;Worst staff and not at all concerned&quot;"/>
    <x v="1541"/>
    <x v="156"/>
    <s v="6th"/>
    <x v="4"/>
    <x v="2"/>
    <x v="1"/>
  </r>
  <r>
    <s v="SpiceJet"/>
    <n v="1"/>
    <x v="1"/>
    <s v="&quot;Too many flight delays, cancellations&quot;"/>
    <x v="1542"/>
    <x v="156"/>
    <s v="6th"/>
    <x v="4"/>
    <x v="2"/>
    <x v="1"/>
  </r>
  <r>
    <s v="SpiceJet"/>
    <n v="1"/>
    <x v="1"/>
    <s v="&quot;get back to you within 3 working days&quot;"/>
    <x v="1543"/>
    <x v="156"/>
    <s v="6th"/>
    <x v="4"/>
    <x v="2"/>
    <x v="1"/>
  </r>
  <r>
    <s v="SpiceJet"/>
    <n v="1"/>
    <x v="1"/>
    <s v="&quot;trick to lure their customers to prepay&quot;"/>
    <x v="1544"/>
    <x v="156"/>
    <s v="6th"/>
    <x v="4"/>
    <x v="2"/>
    <x v="1"/>
  </r>
  <r>
    <s v="SpiceJet"/>
    <n v="1"/>
    <x v="1"/>
    <s v="&quot;my Ticket gone to waste&quot;"/>
    <x v="1545"/>
    <x v="156"/>
    <s v="6th"/>
    <x v="4"/>
    <x v="2"/>
    <x v="1"/>
  </r>
  <r>
    <s v="SpiceJet"/>
    <n v="10"/>
    <x v="2"/>
    <s v="&quot;Wonderful flight&quot;"/>
    <x v="1546"/>
    <x v="156"/>
    <s v="6th"/>
    <x v="4"/>
    <x v="2"/>
    <x v="0"/>
  </r>
  <r>
    <s v="SpiceJet"/>
    <n v="10"/>
    <x v="2"/>
    <s v="&quot;Affordable and good service&quot;"/>
    <x v="1547"/>
    <x v="156"/>
    <s v="6th"/>
    <x v="4"/>
    <x v="2"/>
    <x v="0"/>
  </r>
  <r>
    <s v="SpiceJet"/>
    <n v="7"/>
    <x v="0"/>
    <s v="&quot;in-flight experience was good&quot;"/>
    <x v="1548"/>
    <x v="156"/>
    <s v="6th"/>
    <x v="4"/>
    <x v="2"/>
    <x v="0"/>
  </r>
  <r>
    <s v="SpiceJet"/>
    <n v="3"/>
    <x v="1"/>
    <s v="&quot;Very bad handling by the ground staff of SpiceJet&quot;"/>
    <x v="1549"/>
    <x v="156"/>
    <s v="6th"/>
    <x v="4"/>
    <x v="2"/>
    <x v="1"/>
  </r>
  <r>
    <s v="SpiceJet"/>
    <n v="10"/>
    <x v="2"/>
    <s v="&quot;excellent experience&quot;"/>
    <x v="1550"/>
    <x v="156"/>
    <s v="6th"/>
    <x v="4"/>
    <x v="2"/>
    <x v="0"/>
  </r>
  <r>
    <s v="SpiceJet"/>
    <n v="10"/>
    <x v="2"/>
    <s v="&quot;crew was so warm and professional&quot;"/>
    <x v="1551"/>
    <x v="157"/>
    <s v="21st"/>
    <x v="2"/>
    <x v="2"/>
    <x v="0"/>
  </r>
  <r>
    <s v="SpiceJet"/>
    <n v="1"/>
    <x v="1"/>
    <s v="&quot;not issued refund on time&quot;"/>
    <x v="1552"/>
    <x v="157"/>
    <s v="21st"/>
    <x v="2"/>
    <x v="2"/>
    <x v="1"/>
  </r>
  <r>
    <s v="SpiceJet"/>
    <n v="1"/>
    <x v="1"/>
    <s v="&quot;I'm still following up for a refund&quot;"/>
    <x v="1553"/>
    <x v="157"/>
    <s v="21st"/>
    <x v="2"/>
    <x v="2"/>
    <x v="1"/>
  </r>
  <r>
    <s v="SpiceJet"/>
    <n v="9"/>
    <x v="2"/>
    <s v="&quot;experience was very satisfactory&quot;"/>
    <x v="1554"/>
    <x v="157"/>
    <s v="21st"/>
    <x v="2"/>
    <x v="2"/>
    <x v="0"/>
  </r>
  <r>
    <s v="SpiceJet"/>
    <n v="1"/>
    <x v="1"/>
    <s v="&quot;after 26 days the refund is not received&quot;"/>
    <x v="1555"/>
    <x v="157"/>
    <s v="21st"/>
    <x v="2"/>
    <x v="2"/>
    <x v="1"/>
  </r>
  <r>
    <s v="SpiceJet"/>
    <n v="10"/>
    <x v="2"/>
    <s v="&quot;The team members were excellent and courteous&quot;"/>
    <x v="1556"/>
    <x v="157"/>
    <s v="21st"/>
    <x v="2"/>
    <x v="2"/>
    <x v="0"/>
  </r>
  <r>
    <s v="SpiceJet"/>
    <n v="3"/>
    <x v="1"/>
    <s v="&quot;causing delay of 3 hours 30 min&quot;"/>
    <x v="1557"/>
    <x v="157"/>
    <s v="21st"/>
    <x v="2"/>
    <x v="2"/>
    <x v="1"/>
  </r>
  <r>
    <s v="SpiceJet"/>
    <n v="3"/>
    <x v="1"/>
    <s v="&quot;worst experience with Spicejet&quot;"/>
    <x v="1558"/>
    <x v="157"/>
    <s v="21st"/>
    <x v="2"/>
    <x v="2"/>
    <x v="1"/>
  </r>
  <r>
    <s v="SpiceJet"/>
    <n v="10"/>
    <x v="2"/>
    <s v="&quot;It was a superb experience&quot;"/>
    <x v="1559"/>
    <x v="157"/>
    <s v="21st"/>
    <x v="2"/>
    <x v="2"/>
    <x v="0"/>
  </r>
  <r>
    <s v="SpiceJet"/>
    <n v="1"/>
    <x v="1"/>
    <s v="&quot;ground staff was so rude&quot;"/>
    <x v="1560"/>
    <x v="157"/>
    <s v="21st"/>
    <x v="2"/>
    <x v="2"/>
    <x v="1"/>
  </r>
  <r>
    <s v="SpiceJet"/>
    <n v="9"/>
    <x v="2"/>
    <s v="&quot;inflight entertainment is very poor&quot;"/>
    <x v="1561"/>
    <x v="158"/>
    <s v="15th"/>
    <x v="2"/>
    <x v="2"/>
    <x v="0"/>
  </r>
  <r>
    <s v="SpiceJet"/>
    <n v="10"/>
    <x v="2"/>
    <s v="&quot;It was an extraordinary experience with the crew&quot;"/>
    <x v="1562"/>
    <x v="158"/>
    <s v="15th"/>
    <x v="2"/>
    <x v="2"/>
    <x v="0"/>
  </r>
  <r>
    <s v="SpiceJet"/>
    <n v="6"/>
    <x v="0"/>
    <s v="&quot;Seats are not comfortable&quot;"/>
    <x v="1563"/>
    <x v="158"/>
    <s v="15th"/>
    <x v="2"/>
    <x v="2"/>
    <x v="0"/>
  </r>
  <r>
    <s v="SpiceJet"/>
    <n v="3"/>
    <x v="1"/>
    <s v="&quot;unpleasant service by airport staff&quot;"/>
    <x v="1564"/>
    <x v="158"/>
    <s v="15th"/>
    <x v="2"/>
    <x v="2"/>
    <x v="1"/>
  </r>
  <r>
    <s v="SpiceJet"/>
    <n v="3"/>
    <x v="1"/>
    <s v="&quot;Never ever faced this with any other airlines&quot;"/>
    <x v="1565"/>
    <x v="158"/>
    <s v="15th"/>
    <x v="2"/>
    <x v="2"/>
    <x v="1"/>
  </r>
  <r>
    <s v="SpiceJet"/>
    <n v="8"/>
    <x v="2"/>
    <s v="&quot;enjoyed flying with Spicejet&quot;"/>
    <x v="1566"/>
    <x v="158"/>
    <s v="15th"/>
    <x v="2"/>
    <x v="2"/>
    <x v="0"/>
  </r>
  <r>
    <s v="SpiceJet"/>
    <n v="1"/>
    <x v="1"/>
    <s v="&quot;wonâ€™t recommend it to anyone&quot;"/>
    <x v="1567"/>
    <x v="158"/>
    <s v="15th"/>
    <x v="2"/>
    <x v="2"/>
    <x v="1"/>
  </r>
  <r>
    <s v="SpiceJet"/>
    <n v="1"/>
    <x v="1"/>
    <s v="&quot;preponed my flight by 12 hours&quot;"/>
    <x v="1568"/>
    <x v="158"/>
    <s v="15th"/>
    <x v="2"/>
    <x v="2"/>
    <x v="1"/>
  </r>
  <r>
    <s v="SpiceJet"/>
    <n v="7"/>
    <x v="0"/>
    <s v="&quot;flight could be more spacious&quot;"/>
    <x v="1569"/>
    <x v="158"/>
    <s v="15th"/>
    <x v="2"/>
    <x v="2"/>
    <x v="0"/>
  </r>
  <r>
    <s v="SpiceJet"/>
    <n v="10"/>
    <x v="2"/>
    <s v="&quot;amazing experience&quot;"/>
    <x v="1570"/>
    <x v="158"/>
    <s v="15th"/>
    <x v="2"/>
    <x v="2"/>
    <x v="0"/>
  </r>
  <r>
    <s v="SpiceJet"/>
    <n v="10"/>
    <x v="2"/>
    <s v="&quot;cabin crew were very friendly and helpful&quot;"/>
    <x v="1571"/>
    <x v="159"/>
    <s v="23rd"/>
    <x v="8"/>
    <x v="2"/>
    <x v="0"/>
  </r>
  <r>
    <s v="SpiceJet"/>
    <n v="2"/>
    <x v="1"/>
    <s v="&quot;weighing laptop bag and ladies bag&quot;"/>
    <x v="1572"/>
    <x v="159"/>
    <s v="23rd"/>
    <x v="8"/>
    <x v="2"/>
    <x v="1"/>
  </r>
  <r>
    <s v="SpiceJet"/>
    <n v="1"/>
    <x v="1"/>
    <s v="&quot;really disappointed&quot;"/>
    <x v="1573"/>
    <x v="159"/>
    <s v="23rd"/>
    <x v="8"/>
    <x v="2"/>
    <x v="1"/>
  </r>
  <r>
    <s v="SpiceJet"/>
    <n v="1"/>
    <x v="1"/>
    <s v="&quot;They appear completely incompetent&quot;"/>
    <x v="1574"/>
    <x v="159"/>
    <s v="23rd"/>
    <x v="8"/>
    <x v="2"/>
    <x v="1"/>
  </r>
  <r>
    <s v="SpiceJet"/>
    <n v="10"/>
    <x v="2"/>
    <s v="&quot;right service in providing snacks&quot;"/>
    <x v="1575"/>
    <x v="159"/>
    <s v="23rd"/>
    <x v="8"/>
    <x v="2"/>
    <x v="0"/>
  </r>
  <r>
    <s v="SpiceJet"/>
    <n v="1"/>
    <x v="1"/>
    <s v="&quot;will never recommend using Spicejet&quot;"/>
    <x v="1576"/>
    <x v="159"/>
    <s v="23rd"/>
    <x v="8"/>
    <x v="2"/>
    <x v="1"/>
  </r>
  <r>
    <s v="SpiceJet"/>
    <n v="1"/>
    <x v="1"/>
    <s v="&quot;an unethical airline&quot;"/>
    <x v="1577"/>
    <x v="159"/>
    <s v="23rd"/>
    <x v="8"/>
    <x v="2"/>
    <x v="1"/>
  </r>
  <r>
    <s v="SpiceJet"/>
    <n v="1"/>
    <x v="1"/>
    <s v="&quot;response in this manner was totally abnormal&quot;"/>
    <x v="1578"/>
    <x v="159"/>
    <s v="23rd"/>
    <x v="8"/>
    <x v="2"/>
    <x v="1"/>
  </r>
  <r>
    <s v="SpiceJet"/>
    <n v="1"/>
    <x v="1"/>
    <s v="&quot;I had to spent an entire night at the airport&quot;"/>
    <x v="1579"/>
    <x v="159"/>
    <s v="23rd"/>
    <x v="8"/>
    <x v="2"/>
    <x v="1"/>
  </r>
  <r>
    <s v="SpiceJet"/>
    <n v="1"/>
    <x v="1"/>
    <s v="&quot;staff is very unprofessional and arrogant&quot;"/>
    <x v="1580"/>
    <x v="159"/>
    <s v="23rd"/>
    <x v="8"/>
    <x v="2"/>
    <x v="1"/>
  </r>
  <r>
    <s v="SpiceJet"/>
    <n v="8"/>
    <x v="2"/>
    <s v="&quot;wish to fly with Spicejet again&quot;"/>
    <x v="1581"/>
    <x v="160"/>
    <s v="6th"/>
    <x v="7"/>
    <x v="2"/>
    <x v="0"/>
  </r>
  <r>
    <s v="SpiceJet"/>
    <n v="2"/>
    <x v="1"/>
    <s v="&quot;Masks should not be removed at any cost on flights&quot;"/>
    <x v="1582"/>
    <x v="160"/>
    <s v="6th"/>
    <x v="7"/>
    <x v="2"/>
    <x v="1"/>
  </r>
  <r>
    <s v="SpiceJet"/>
    <n v="10"/>
    <x v="2"/>
    <s v="&quot;a very comfortable flight&quot;"/>
    <x v="1583"/>
    <x v="160"/>
    <s v="6th"/>
    <x v="7"/>
    <x v="2"/>
    <x v="0"/>
  </r>
  <r>
    <s v="SpiceJet"/>
    <n v="1"/>
    <x v="1"/>
    <s v="&quot;no guidance, very rude&quot;"/>
    <x v="1584"/>
    <x v="160"/>
    <s v="6th"/>
    <x v="7"/>
    <x v="2"/>
    <x v="1"/>
  </r>
  <r>
    <s v="SpiceJet"/>
    <n v="1"/>
    <x v="1"/>
    <s v="&quot;it's about being unfair and rude&quot;"/>
    <x v="1585"/>
    <x v="160"/>
    <s v="6th"/>
    <x v="7"/>
    <x v="2"/>
    <x v="1"/>
  </r>
  <r>
    <s v="SpiceJet"/>
    <n v="8"/>
    <x v="2"/>
    <s v="&quot;No mask and face shield given&quot;"/>
    <x v="1586"/>
    <x v="160"/>
    <s v="6th"/>
    <x v="7"/>
    <x v="2"/>
    <x v="0"/>
  </r>
  <r>
    <s v="SpiceJet"/>
    <n v="1"/>
    <x v="1"/>
    <s v="&quot;Spicejet staff made fool of me&quot;"/>
    <x v="1587"/>
    <x v="160"/>
    <s v="6th"/>
    <x v="7"/>
    <x v="2"/>
    <x v="1"/>
  </r>
  <r>
    <s v="SpiceJet"/>
    <n v="3"/>
    <x v="1"/>
    <s v="&quot;I am so disappointed&quot;"/>
    <x v="1588"/>
    <x v="160"/>
    <s v="6th"/>
    <x v="7"/>
    <x v="2"/>
    <x v="1"/>
  </r>
  <r>
    <s v="SpiceJet"/>
    <n v="10"/>
    <x v="2"/>
    <s v="&quot;a value for money service&quot;"/>
    <x v="1589"/>
    <x v="160"/>
    <s v="6th"/>
    <x v="7"/>
    <x v="2"/>
    <x v="0"/>
  </r>
  <r>
    <s v="SpiceJet"/>
    <n v="9"/>
    <x v="2"/>
    <s v="&quot;Crew members were courteous&quot;"/>
    <x v="1590"/>
    <x v="160"/>
    <s v="6th"/>
    <x v="7"/>
    <x v="2"/>
    <x v="1"/>
  </r>
  <r>
    <s v="SpiceJet"/>
    <n v="10"/>
    <x v="2"/>
    <s v="&quot;Seat was not comfortable&quot;"/>
    <x v="1591"/>
    <x v="161"/>
    <s v="8th"/>
    <x v="10"/>
    <x v="2"/>
    <x v="0"/>
  </r>
  <r>
    <s v="SpiceJet"/>
    <n v="8"/>
    <x v="2"/>
    <s v="&quot;the staff on board were very courteous&quot;"/>
    <x v="1592"/>
    <x v="161"/>
    <s v="8th"/>
    <x v="10"/>
    <x v="2"/>
    <x v="0"/>
  </r>
  <r>
    <s v="SpiceJet"/>
    <n v="9"/>
    <x v="2"/>
    <s v="&quot;Special thanks to crew&quot;"/>
    <x v="1593"/>
    <x v="161"/>
    <s v="8th"/>
    <x v="10"/>
    <x v="2"/>
    <x v="0"/>
  </r>
  <r>
    <s v="SpiceJet"/>
    <n v="1"/>
    <x v="1"/>
    <s v="&quot;The worst experience of my life&quot;"/>
    <x v="1594"/>
    <x v="161"/>
    <s v="8th"/>
    <x v="10"/>
    <x v="2"/>
    <x v="1"/>
  </r>
  <r>
    <s v="SpiceJet"/>
    <n v="9"/>
    <x v="2"/>
    <s v="&quot;food and beverage menu is very good&quot;"/>
    <x v="1595"/>
    <x v="161"/>
    <s v="8th"/>
    <x v="10"/>
    <x v="2"/>
    <x v="0"/>
  </r>
  <r>
    <s v="SpiceJet"/>
    <n v="7"/>
    <x v="0"/>
    <s v="&quot;Service is impeccable&quot;"/>
    <x v="1596"/>
    <x v="161"/>
    <s v="8th"/>
    <x v="10"/>
    <x v="2"/>
    <x v="0"/>
  </r>
  <r>
    <s v="SpiceJet"/>
    <n v="10"/>
    <x v="2"/>
    <s v="&quot;Best ever domestic flight experience&quot;"/>
    <x v="1597"/>
    <x v="161"/>
    <s v="8th"/>
    <x v="10"/>
    <x v="2"/>
    <x v="0"/>
  </r>
  <r>
    <s v="SpiceJet"/>
    <n v="9"/>
    <x v="2"/>
    <s v="&quot;Perfect example of how a crew should be&quot;"/>
    <x v="313"/>
    <x v="161"/>
    <s v="8th"/>
    <x v="10"/>
    <x v="2"/>
    <x v="0"/>
  </r>
  <r>
    <s v="SpiceJet"/>
    <n v="10"/>
    <x v="2"/>
    <s v="&quot;I had a great experience&quot;"/>
    <x v="81"/>
    <x v="161"/>
    <s v="8th"/>
    <x v="10"/>
    <x v="2"/>
    <x v="0"/>
  </r>
  <r>
    <s v="SpiceJet"/>
    <n v="1"/>
    <x v="1"/>
    <s v="&quot;The worst flight ever&quot;"/>
    <x v="1598"/>
    <x v="161"/>
    <s v="8th"/>
    <x v="10"/>
    <x v="2"/>
    <x v="1"/>
  </r>
  <r>
    <s v="SpiceJet"/>
    <n v="8"/>
    <x v="2"/>
    <s v="&quot;We enjoyed the journey&quot;"/>
    <x v="1599"/>
    <x v="162"/>
    <s v="29th"/>
    <x v="11"/>
    <x v="2"/>
    <x v="0"/>
  </r>
  <r>
    <s v="SpiceJet"/>
    <n v="10"/>
    <x v="2"/>
    <s v="&quot;Crew members were very friendly and cheerful&quot;"/>
    <x v="1600"/>
    <x v="162"/>
    <s v="29th"/>
    <x v="11"/>
    <x v="2"/>
    <x v="0"/>
  </r>
  <r>
    <s v="SpiceJet"/>
    <n v="10"/>
    <x v="2"/>
    <s v="&quot;Stress-free Journey&quot;"/>
    <x v="1601"/>
    <x v="162"/>
    <s v="29th"/>
    <x v="11"/>
    <x v="2"/>
    <x v="0"/>
  </r>
  <r>
    <s v="SpiceJet"/>
    <n v="9"/>
    <x v="2"/>
    <s v="&quot;made the customers feel safe&quot;"/>
    <x v="1602"/>
    <x v="162"/>
    <s v="29th"/>
    <x v="11"/>
    <x v="2"/>
    <x v="0"/>
  </r>
  <r>
    <s v="SpiceJet"/>
    <n v="1"/>
    <x v="1"/>
    <s v="&quot;nothing is special on their flights&quot;"/>
    <x v="1603"/>
    <x v="162"/>
    <s v="29th"/>
    <x v="11"/>
    <x v="2"/>
    <x v="1"/>
  </r>
  <r>
    <s v="SpiceJet"/>
    <n v="1"/>
    <x v="1"/>
    <s v="&quot;It is a very bad airline&quot;"/>
    <x v="1604"/>
    <x v="162"/>
    <s v="29th"/>
    <x v="11"/>
    <x v="2"/>
    <x v="1"/>
  </r>
  <r>
    <s v="SpiceJet"/>
    <n v="10"/>
    <x v="2"/>
    <s v="&quot;Good service and polite handling&quot;"/>
    <x v="761"/>
    <x v="162"/>
    <s v="29th"/>
    <x v="11"/>
    <x v="2"/>
    <x v="0"/>
  </r>
  <r>
    <s v="SpiceJet"/>
    <n v="4"/>
    <x v="1"/>
    <s v="&quot;shouting us not to touch his bags!&quot;"/>
    <x v="1605"/>
    <x v="162"/>
    <s v="29th"/>
    <x v="11"/>
    <x v="2"/>
    <x v="0"/>
  </r>
  <r>
    <s v="SpiceJet"/>
    <n v="1"/>
    <x v="1"/>
    <s v="&quot;Worst experience ever&quot;"/>
    <x v="1606"/>
    <x v="162"/>
    <s v="29th"/>
    <x v="11"/>
    <x v="2"/>
    <x v="1"/>
  </r>
  <r>
    <s v="SpiceJet"/>
    <n v="2"/>
    <x v="1"/>
    <s v="&quot;Delay due to bad weather&quot;"/>
    <x v="717"/>
    <x v="162"/>
    <s v="29th"/>
    <x v="11"/>
    <x v="2"/>
    <x v="1"/>
  </r>
  <r>
    <s v="SpiceJet"/>
    <n v="1"/>
    <x v="1"/>
    <s v="&quot;No word to explain how unsatisfied I am&quot;"/>
    <x v="1607"/>
    <x v="163"/>
    <s v="8th"/>
    <x v="4"/>
    <x v="3"/>
    <x v="1"/>
  </r>
  <r>
    <s v="SpiceJet"/>
    <n v="1"/>
    <x v="1"/>
    <s v="&quot;I am not at all satisfied&quot;"/>
    <x v="1608"/>
    <x v="163"/>
    <s v="8th"/>
    <x v="4"/>
    <x v="3"/>
    <x v="1"/>
  </r>
  <r>
    <s v="SpiceJet"/>
    <n v="1"/>
    <x v="1"/>
    <s v="&quot;Beyond disappointed and disgusted&quot;"/>
    <x v="1609"/>
    <x v="163"/>
    <s v="8th"/>
    <x v="4"/>
    <x v="3"/>
    <x v="1"/>
  </r>
  <r>
    <s v="SpiceJet"/>
    <n v="10"/>
    <x v="2"/>
    <s v="&quot;cabin crew were very professional and helpful&quot;"/>
    <x v="1610"/>
    <x v="163"/>
    <s v="8th"/>
    <x v="4"/>
    <x v="3"/>
    <x v="0"/>
  </r>
  <r>
    <s v="SpiceJet"/>
    <n v="10"/>
    <x v="2"/>
    <s v="&quot;Excellent experience from ground to air&quot;"/>
    <x v="1611"/>
    <x v="163"/>
    <s v="8th"/>
    <x v="4"/>
    <x v="3"/>
    <x v="0"/>
  </r>
  <r>
    <s v="SpiceJet"/>
    <n v="9"/>
    <x v="2"/>
    <s v="&quot;very friendly and helpful&quot;"/>
    <x v="1612"/>
    <x v="163"/>
    <s v="8th"/>
    <x v="4"/>
    <x v="3"/>
    <x v="0"/>
  </r>
  <r>
    <s v="SpiceJet"/>
    <n v="3"/>
    <x v="1"/>
    <s v="&quot;not giving proper answers&quot;"/>
    <x v="1613"/>
    <x v="163"/>
    <s v="8th"/>
    <x v="4"/>
    <x v="3"/>
    <x v="1"/>
  </r>
  <r>
    <s v="SpiceJet"/>
    <n v="10"/>
    <x v="2"/>
    <s v="&quot;generous and well versed staff&quot;"/>
    <x v="1614"/>
    <x v="163"/>
    <s v="8th"/>
    <x v="4"/>
    <x v="3"/>
    <x v="0"/>
  </r>
  <r>
    <s v="SpiceJet"/>
    <n v="1"/>
    <x v="1"/>
    <s v="&quot;Extremely frustrating and pathetic service&quot;"/>
    <x v="270"/>
    <x v="163"/>
    <s v="8th"/>
    <x v="4"/>
    <x v="3"/>
    <x v="1"/>
  </r>
  <r>
    <s v="SpiceJet"/>
    <n v="9"/>
    <x v="2"/>
    <s v="&quot;I appreciated the service&quot;"/>
    <x v="1615"/>
    <x v="163"/>
    <s v="8th"/>
    <x v="4"/>
    <x v="3"/>
    <x v="0"/>
  </r>
  <r>
    <s v="SpiceJet"/>
    <n v="10"/>
    <x v="2"/>
    <s v="&quot;I never expected such care and warmth&quot;"/>
    <x v="1616"/>
    <x v="164"/>
    <s v="6th"/>
    <x v="6"/>
    <x v="3"/>
    <x v="0"/>
  </r>
  <r>
    <s v="SpiceJet"/>
    <n v="10"/>
    <x v="2"/>
    <s v="SpiceJet customer review"/>
    <x v="1617"/>
    <x v="164"/>
    <s v="6th"/>
    <x v="6"/>
    <x v="3"/>
    <x v="0"/>
  </r>
  <r>
    <s v="SpiceJet"/>
    <n v="9"/>
    <x v="2"/>
    <s v="&quot;Excellent service provided&quot;"/>
    <x v="1618"/>
    <x v="164"/>
    <s v="6th"/>
    <x v="6"/>
    <x v="3"/>
    <x v="0"/>
  </r>
  <r>
    <s v="SpiceJet"/>
    <n v="10"/>
    <x v="2"/>
    <s v="&quot;Thanks to the empathetic team&quot;"/>
    <x v="1619"/>
    <x v="164"/>
    <s v="6th"/>
    <x v="6"/>
    <x v="3"/>
    <x v="0"/>
  </r>
  <r>
    <s v="SpiceJet"/>
    <n v="10"/>
    <x v="2"/>
    <s v="&quot;well trained and professional Crew&quot;"/>
    <x v="1620"/>
    <x v="164"/>
    <s v="6th"/>
    <x v="6"/>
    <x v="3"/>
    <x v="0"/>
  </r>
  <r>
    <s v="SpiceJet"/>
    <n v="10"/>
    <x v="2"/>
    <s v="&quot;I was so pleased with the hospitality that the aircrew exhibited&quot;"/>
    <x v="1621"/>
    <x v="164"/>
    <s v="6th"/>
    <x v="6"/>
    <x v="3"/>
    <x v="0"/>
  </r>
  <r>
    <s v="SpiceJet"/>
    <n v="10"/>
    <x v="2"/>
    <s v="&quot;Good cabin staff and great service&quot;"/>
    <x v="1622"/>
    <x v="164"/>
    <s v="6th"/>
    <x v="6"/>
    <x v="3"/>
    <x v="0"/>
  </r>
  <r>
    <s v="SpiceJet"/>
    <n v="10"/>
    <x v="2"/>
    <s v="&quot;a great experience&quot;"/>
    <x v="1181"/>
    <x v="164"/>
    <s v="6th"/>
    <x v="6"/>
    <x v="3"/>
    <x v="0"/>
  </r>
  <r>
    <s v="SpiceJet"/>
    <n v="9"/>
    <x v="2"/>
    <s v="&quot;very helpful and very polite&quot;"/>
    <x v="1623"/>
    <x v="164"/>
    <s v="6th"/>
    <x v="6"/>
    <x v="3"/>
    <x v="0"/>
  </r>
  <r>
    <s v="SpiceJet"/>
    <n v="10"/>
    <x v="2"/>
    <s v="&quot;cabin crew were so courteous&quot;"/>
    <x v="1624"/>
    <x v="164"/>
    <s v="6th"/>
    <x v="6"/>
    <x v="3"/>
    <x v="0"/>
  </r>
  <r>
    <s v="SpiceJet"/>
    <n v="10"/>
    <x v="2"/>
    <s v="&quot;as usual your cabin crew ere excellent&quot;"/>
    <x v="1624"/>
    <x v="165"/>
    <s v="4th"/>
    <x v="0"/>
    <x v="3"/>
    <x v="0"/>
  </r>
  <r>
    <s v="SpiceJet"/>
    <n v="1"/>
    <x v="1"/>
    <s v="&quot;They are the worst customer service&quot;"/>
    <x v="1625"/>
    <x v="165"/>
    <s v="4th"/>
    <x v="0"/>
    <x v="3"/>
    <x v="1"/>
  </r>
  <r>
    <s v="SpiceJet"/>
    <n v="10"/>
    <x v="2"/>
    <s v="&quot;smooth and quick process&quot;"/>
    <x v="117"/>
    <x v="165"/>
    <s v="4th"/>
    <x v="0"/>
    <x v="3"/>
    <x v="0"/>
  </r>
  <r>
    <s v="SpiceJet"/>
    <n v="10"/>
    <x v="2"/>
    <s v="&quot;appreciation for their customer service&quot;"/>
    <x v="1626"/>
    <x v="165"/>
    <s v="4th"/>
    <x v="0"/>
    <x v="3"/>
    <x v="0"/>
  </r>
  <r>
    <s v="SpiceJet"/>
    <n v="2"/>
    <x v="1"/>
    <s v="&quot;you can do way better&quot;"/>
    <x v="1627"/>
    <x v="165"/>
    <s v="4th"/>
    <x v="0"/>
    <x v="3"/>
    <x v="1"/>
  </r>
  <r>
    <s v="SpiceJet"/>
    <n v="1"/>
    <x v="1"/>
    <s v="&quot;shameless and insensitive airline&quot;"/>
    <x v="1628"/>
    <x v="165"/>
    <s v="4th"/>
    <x v="0"/>
    <x v="3"/>
    <x v="1"/>
  </r>
  <r>
    <s v="SpiceJet"/>
    <n v="1"/>
    <x v="1"/>
    <s v="&quot;will keep money as credit shell&quot;"/>
    <x v="1629"/>
    <x v="165"/>
    <s v="4th"/>
    <x v="0"/>
    <x v="3"/>
    <x v="1"/>
  </r>
  <r>
    <s v="SpiceJet"/>
    <n v="1"/>
    <x v="1"/>
    <s v="&quot;the worst Airline&quot;"/>
    <x v="1630"/>
    <x v="165"/>
    <s v="4th"/>
    <x v="0"/>
    <x v="3"/>
    <x v="1"/>
  </r>
  <r>
    <s v="SpiceJet"/>
    <n v="1"/>
    <x v="1"/>
    <s v="&quot;they knew it'll get canceled&quot;"/>
    <x v="1631"/>
    <x v="165"/>
    <s v="4th"/>
    <x v="0"/>
    <x v="3"/>
    <x v="1"/>
  </r>
  <r>
    <s v="SpiceJet"/>
    <n v="2"/>
    <x v="1"/>
    <s v="&quot;Shame on you SpiceJet&quot;"/>
    <x v="1632"/>
    <x v="165"/>
    <s v="4th"/>
    <x v="0"/>
    <x v="3"/>
    <x v="1"/>
  </r>
  <r>
    <s v="SpiceJet"/>
    <n v="9"/>
    <x v="2"/>
    <s v="&quot;served unexpected complimentary refreshments&quot;"/>
    <x v="707"/>
    <x v="166"/>
    <s v="30th"/>
    <x v="10"/>
    <x v="3"/>
    <x v="0"/>
  </r>
  <r>
    <s v="SpiceJet"/>
    <n v="1"/>
    <x v="1"/>
    <s v="&quot;worst customer service&quot;"/>
    <x v="1633"/>
    <x v="166"/>
    <s v="30th"/>
    <x v="10"/>
    <x v="3"/>
    <x v="1"/>
  </r>
  <r>
    <s v="SpiceJet"/>
    <n v="8"/>
    <x v="2"/>
    <s v="&quot;helpful ground staff&quot;"/>
    <x v="1634"/>
    <x v="166"/>
    <s v="30th"/>
    <x v="10"/>
    <x v="3"/>
    <x v="0"/>
  </r>
  <r>
    <s v="SpiceJet"/>
    <n v="8"/>
    <x v="2"/>
    <s v="&quot;enjoyed before time departure&quot;"/>
    <x v="1635"/>
    <x v="166"/>
    <s v="30th"/>
    <x v="10"/>
    <x v="3"/>
    <x v="0"/>
  </r>
  <r>
    <s v="SpiceJet"/>
    <n v="1"/>
    <x v="1"/>
    <s v="&quot;rude and insensitive staff&quot;"/>
    <x v="1636"/>
    <x v="166"/>
    <s v="30th"/>
    <x v="10"/>
    <x v="3"/>
    <x v="1"/>
  </r>
  <r>
    <s v="SpiceJet"/>
    <n v="1"/>
    <x v="1"/>
    <s v="&quot;begging to give some complimentary&quot;"/>
    <x v="1637"/>
    <x v="166"/>
    <s v="30th"/>
    <x v="10"/>
    <x v="3"/>
    <x v="1"/>
  </r>
  <r>
    <s v="SpiceJet"/>
    <n v="7"/>
    <x v="0"/>
    <s v="&quot;Thanks for your patience and support&quot;"/>
    <x v="1638"/>
    <x v="166"/>
    <s v="30th"/>
    <x v="10"/>
    <x v="3"/>
    <x v="0"/>
  </r>
  <r>
    <s v="SpiceJet"/>
    <n v="1"/>
    <x v="1"/>
    <s v="&quot;the worst customer service&quot;"/>
    <x v="1639"/>
    <x v="166"/>
    <s v="30th"/>
    <x v="10"/>
    <x v="3"/>
    <x v="1"/>
  </r>
  <r>
    <s v="SpiceJet"/>
    <n v="10"/>
    <x v="2"/>
    <s v="&quot;really thankful to Spicejet&quot;"/>
    <x v="1640"/>
    <x v="166"/>
    <s v="30th"/>
    <x v="10"/>
    <x v="3"/>
    <x v="0"/>
  </r>
  <r>
    <s v="SpiceJet"/>
    <n v="1"/>
    <x v="1"/>
    <s v="&quot;trying to contact them for 4 days&quot;"/>
    <x v="1641"/>
    <x v="166"/>
    <s v="30th"/>
    <x v="10"/>
    <x v="3"/>
    <x v="1"/>
  </r>
  <r>
    <s v="SpiceJet"/>
    <n v="1"/>
    <x v="1"/>
    <s v="&quot;services from SpiceJet was awful&quot;"/>
    <x v="1642"/>
    <x v="167"/>
    <s v="17th"/>
    <x v="10"/>
    <x v="3"/>
    <x v="1"/>
  </r>
  <r>
    <s v="SpiceJet"/>
    <n v="3"/>
    <x v="1"/>
    <s v="&quot;it was worst experience&quot;"/>
    <x v="1643"/>
    <x v="167"/>
    <s v="17th"/>
    <x v="10"/>
    <x v="3"/>
    <x v="1"/>
  </r>
  <r>
    <s v="SpiceJet"/>
    <n v="1"/>
    <x v="1"/>
    <s v="&quot;bad horrible experience&quot;"/>
    <x v="1644"/>
    <x v="167"/>
    <s v="17th"/>
    <x v="10"/>
    <x v="3"/>
    <x v="1"/>
  </r>
  <r>
    <s v="SpiceJet"/>
    <n v="1"/>
    <x v="1"/>
    <s v="&quot;horrible customer care&quot;"/>
    <x v="1645"/>
    <x v="167"/>
    <s v="17th"/>
    <x v="10"/>
    <x v="3"/>
    <x v="1"/>
  </r>
  <r>
    <s v="SpiceJet"/>
    <n v="1"/>
    <x v="1"/>
    <s v="&quot;Absolute nightmare&quot;"/>
    <x v="1646"/>
    <x v="167"/>
    <s v="17th"/>
    <x v="10"/>
    <x v="3"/>
    <x v="1"/>
  </r>
  <r>
    <s v="SpiceJet"/>
    <n v="5"/>
    <x v="0"/>
    <s v="&quot;spicemax doesn't mean anything&quot;"/>
    <x v="1647"/>
    <x v="167"/>
    <s v="17th"/>
    <x v="10"/>
    <x v="3"/>
    <x v="1"/>
  </r>
  <r>
    <s v="SpiceJet"/>
    <n v="10"/>
    <x v="2"/>
    <s v="&quot;the service was excellent&quot;"/>
    <x v="1648"/>
    <x v="167"/>
    <s v="17th"/>
    <x v="10"/>
    <x v="3"/>
    <x v="0"/>
  </r>
  <r>
    <s v="SpiceJet"/>
    <n v="9"/>
    <x v="2"/>
    <s v="&quot;We enjoyed the flight&quot;"/>
    <x v="1649"/>
    <x v="167"/>
    <s v="17th"/>
    <x v="10"/>
    <x v="3"/>
    <x v="0"/>
  </r>
  <r>
    <s v="SpiceJet"/>
    <n v="10"/>
    <x v="2"/>
    <s v="&quot;the flight was only 60 mins&quot;"/>
    <x v="1650"/>
    <x v="167"/>
    <s v="17th"/>
    <x v="10"/>
    <x v="3"/>
    <x v="0"/>
  </r>
  <r>
    <s v="SpiceJet"/>
    <n v="1"/>
    <x v="1"/>
    <s v="&quot;they cancelled my flight&quot;"/>
    <x v="1651"/>
    <x v="167"/>
    <s v="17th"/>
    <x v="10"/>
    <x v="3"/>
    <x v="1"/>
  </r>
  <r>
    <s v="SpiceJet"/>
    <n v="1"/>
    <x v="1"/>
    <s v="&quot;arrogant, very unapproachable&quot;"/>
    <x v="1652"/>
    <x v="168"/>
    <s v="15th"/>
    <x v="5"/>
    <x v="3"/>
    <x v="1"/>
  </r>
  <r>
    <s v="SpiceJet"/>
    <n v="7"/>
    <x v="0"/>
    <s v="&quot;a pretty good flight&quot;"/>
    <x v="1653"/>
    <x v="168"/>
    <s v="15th"/>
    <x v="5"/>
    <x v="3"/>
    <x v="0"/>
  </r>
  <r>
    <s v="SpiceJet"/>
    <n v="1"/>
    <x v="1"/>
    <s v="&quot;We were declined boarding passes&quot;"/>
    <x v="1654"/>
    <x v="168"/>
    <s v="15th"/>
    <x v="5"/>
    <x v="3"/>
    <x v="1"/>
  </r>
  <r>
    <s v="SpiceJet"/>
    <n v="1"/>
    <x v="1"/>
    <s v="&quot;delayed again and again&quot;"/>
    <x v="1655"/>
    <x v="168"/>
    <s v="15th"/>
    <x v="5"/>
    <x v="3"/>
    <x v="1"/>
  </r>
  <r>
    <s v="SpiceJet"/>
    <n v="1"/>
    <x v="1"/>
    <s v="&quot;worst luggage allowance&quot;"/>
    <x v="1656"/>
    <x v="168"/>
    <s v="15th"/>
    <x v="5"/>
    <x v="3"/>
    <x v="1"/>
  </r>
  <r>
    <s v="SpiceJet"/>
    <n v="7"/>
    <x v="0"/>
    <s v="&quot;flight itself was pretty nice&quot;"/>
    <x v="360"/>
    <x v="168"/>
    <s v="15th"/>
    <x v="5"/>
    <x v="3"/>
    <x v="0"/>
  </r>
  <r>
    <s v="SpiceJet"/>
    <n v="7"/>
    <x v="0"/>
    <s v="&quot;should not have much expectations&quot;"/>
    <x v="1657"/>
    <x v="168"/>
    <s v="15th"/>
    <x v="5"/>
    <x v="3"/>
    <x v="0"/>
  </r>
  <r>
    <s v="SpiceJet"/>
    <n v="9"/>
    <x v="2"/>
    <s v="&quot;served the food with care&quot;"/>
    <x v="1658"/>
    <x v="168"/>
    <s v="15th"/>
    <x v="5"/>
    <x v="3"/>
    <x v="0"/>
  </r>
  <r>
    <s v="SpiceJet"/>
    <n v="9"/>
    <x v="2"/>
    <s v="&quot;the service was excellent&quot;"/>
    <x v="1659"/>
    <x v="168"/>
    <s v="15th"/>
    <x v="5"/>
    <x v="3"/>
    <x v="0"/>
  </r>
  <r>
    <s v="SpiceJet"/>
    <n v="2"/>
    <x v="1"/>
    <s v="&quot;delayed again and again&quot;"/>
    <x v="1660"/>
    <x v="168"/>
    <s v="15th"/>
    <x v="5"/>
    <x v="3"/>
    <x v="1"/>
  </r>
  <r>
    <s v="SpiceJet"/>
    <n v="1"/>
    <x v="1"/>
    <s v="&quot;Worst Experience&quot;"/>
    <x v="1661"/>
    <x v="169"/>
    <s v="30th"/>
    <x v="11"/>
    <x v="3"/>
    <x v="1"/>
  </r>
  <r>
    <s v="SpiceJet"/>
    <n v="9"/>
    <x v="2"/>
    <s v="&quot;Choice of food is good&quot;"/>
    <x v="1662"/>
    <x v="169"/>
    <s v="30th"/>
    <x v="11"/>
    <x v="3"/>
    <x v="0"/>
  </r>
  <r>
    <s v="SpiceJet"/>
    <n v="10"/>
    <x v="2"/>
    <s v="&quot;experience made me so happy&quot;"/>
    <x v="1663"/>
    <x v="169"/>
    <s v="30th"/>
    <x v="11"/>
    <x v="3"/>
    <x v="0"/>
  </r>
  <r>
    <s v="SpiceJet"/>
    <n v="1"/>
    <x v="1"/>
    <s v="&quot;Spicejet got me this time&quot;"/>
    <x v="1664"/>
    <x v="169"/>
    <s v="30th"/>
    <x v="11"/>
    <x v="3"/>
    <x v="1"/>
  </r>
  <r>
    <s v="SpiceJet"/>
    <n v="3"/>
    <x v="1"/>
    <s v="&quot;Rough handling of baggage&quot;"/>
    <x v="1665"/>
    <x v="169"/>
    <s v="30th"/>
    <x v="11"/>
    <x v="3"/>
    <x v="1"/>
  </r>
  <r>
    <s v="SpiceJet"/>
    <n v="1"/>
    <x v="1"/>
    <s v="&quot;staff are so careless&quot;"/>
    <x v="1666"/>
    <x v="169"/>
    <s v="30th"/>
    <x v="11"/>
    <x v="3"/>
    <x v="1"/>
  </r>
  <r>
    <s v="SpiceJet"/>
    <n v="1"/>
    <x v="1"/>
    <s v="&quot;disgusting attitude towards customers&quot;"/>
    <x v="1667"/>
    <x v="169"/>
    <s v="30th"/>
    <x v="11"/>
    <x v="3"/>
    <x v="1"/>
  </r>
  <r>
    <s v="SpiceJet"/>
    <n v="1"/>
    <x v="1"/>
    <s v="&quot;Worst flight ever&quot;"/>
    <x v="1668"/>
    <x v="169"/>
    <s v="30th"/>
    <x v="11"/>
    <x v="3"/>
    <x v="1"/>
  </r>
  <r>
    <s v="SpiceJet"/>
    <n v="10"/>
    <x v="2"/>
    <s v="&quot;staff are efficient&quot;"/>
    <x v="1669"/>
    <x v="169"/>
    <s v="30th"/>
    <x v="11"/>
    <x v="3"/>
    <x v="0"/>
  </r>
  <r>
    <s v="SpiceJet"/>
    <n v="1"/>
    <x v="1"/>
    <s v="&quot;Bad airline, avoid&quot;"/>
    <x v="1670"/>
    <x v="169"/>
    <s v="30th"/>
    <x v="11"/>
    <x v="3"/>
    <x v="1"/>
  </r>
  <r>
    <s v="SpiceJet"/>
    <n v="8"/>
    <x v="2"/>
    <s v="&quot;they took care of me&quot;"/>
    <x v="1671"/>
    <x v="170"/>
    <s v="16th"/>
    <x v="11"/>
    <x v="3"/>
    <x v="0"/>
  </r>
  <r>
    <s v="SpiceJet"/>
    <n v="9"/>
    <x v="2"/>
    <s v="&quot;Awesome crew and great food&quot;"/>
    <x v="1672"/>
    <x v="170"/>
    <s v="16th"/>
    <x v="11"/>
    <x v="3"/>
    <x v="0"/>
  </r>
  <r>
    <s v="SpiceJet"/>
    <n v="1"/>
    <x v="1"/>
    <s v="&quot;donâ€™t travel with SpiceJet&quot;"/>
    <x v="1673"/>
    <x v="170"/>
    <s v="16th"/>
    <x v="11"/>
    <x v="3"/>
    <x v="1"/>
  </r>
  <r>
    <s v="SpiceJet"/>
    <n v="2"/>
    <x v="1"/>
    <s v="&quot;No First Aid box available&quot;"/>
    <x v="1674"/>
    <x v="170"/>
    <s v="16th"/>
    <x v="11"/>
    <x v="3"/>
    <x v="1"/>
  </r>
  <r>
    <s v="SpiceJet"/>
    <n v="1"/>
    <x v="1"/>
    <s v="&quot;Very stressful check-in&quot;"/>
    <x v="1675"/>
    <x v="170"/>
    <s v="16th"/>
    <x v="11"/>
    <x v="3"/>
    <x v="1"/>
  </r>
  <r>
    <s v="SpiceJet"/>
    <n v="2"/>
    <x v="1"/>
    <s v="&quot;Never trust SpiceJet for crucial trips&quot;"/>
    <x v="1676"/>
    <x v="170"/>
    <s v="16th"/>
    <x v="11"/>
    <x v="3"/>
    <x v="1"/>
  </r>
  <r>
    <s v="SpiceJet"/>
    <n v="8"/>
    <x v="2"/>
    <s v="&quot;Fantastic experience&quot;"/>
    <x v="1677"/>
    <x v="170"/>
    <s v="16th"/>
    <x v="11"/>
    <x v="3"/>
    <x v="0"/>
  </r>
  <r>
    <s v="SpiceJet"/>
    <n v="8"/>
    <x v="2"/>
    <s v="&quot;Check in was great&quot;"/>
    <x v="1678"/>
    <x v="170"/>
    <s v="16th"/>
    <x v="11"/>
    <x v="3"/>
    <x v="0"/>
  </r>
  <r>
    <s v="SpiceJet"/>
    <n v="10"/>
    <x v="2"/>
    <s v="&quot;deeply grateful to SpiceJet&quot;"/>
    <x v="1679"/>
    <x v="170"/>
    <s v="16th"/>
    <x v="11"/>
    <x v="3"/>
    <x v="0"/>
  </r>
  <r>
    <s v="SpiceJet"/>
    <n v="1"/>
    <x v="1"/>
    <s v="&quot;Very disappointed&quot;"/>
    <x v="1680"/>
    <x v="170"/>
    <s v="16th"/>
    <x v="11"/>
    <x v="3"/>
    <x v="1"/>
  </r>
  <r>
    <s v="SpiceJet"/>
    <n v="1"/>
    <x v="1"/>
    <s v="&quot;my last flight with SpiceJet&quot;"/>
    <x v="1681"/>
    <x v="171"/>
    <s v="1st"/>
    <x v="11"/>
    <x v="3"/>
    <x v="1"/>
  </r>
  <r>
    <s v="SpiceJet"/>
    <n v="1"/>
    <x v="1"/>
    <s v="&quot;Cancelled the trip&quot;"/>
    <x v="1682"/>
    <x v="171"/>
    <s v="1st"/>
    <x v="11"/>
    <x v="3"/>
    <x v="1"/>
  </r>
  <r>
    <s v="SpiceJet"/>
    <n v="9"/>
    <x v="2"/>
    <s v="&quot;Spicemax was worth it&quot;"/>
    <x v="1683"/>
    <x v="171"/>
    <s v="1st"/>
    <x v="11"/>
    <x v="3"/>
    <x v="0"/>
  </r>
  <r>
    <s v="SpiceJet"/>
    <n v="1"/>
    <x v="1"/>
    <s v="&quot;Unprofessional&quot;"/>
    <x v="131"/>
    <x v="171"/>
    <s v="1st"/>
    <x v="11"/>
    <x v="3"/>
    <x v="1"/>
  </r>
  <r>
    <s v="SpiceJet"/>
    <n v="6"/>
    <x v="0"/>
    <s v="&quot;precise, respectful and behaved professionally&quot;"/>
    <x v="1684"/>
    <x v="171"/>
    <s v="1st"/>
    <x v="11"/>
    <x v="3"/>
    <x v="0"/>
  </r>
  <r>
    <s v="SpiceJet"/>
    <n v="2"/>
    <x v="1"/>
    <s v="&quot;Delayed by 8 hours&quot;"/>
    <x v="1685"/>
    <x v="171"/>
    <s v="1st"/>
    <x v="11"/>
    <x v="3"/>
    <x v="1"/>
  </r>
  <r>
    <s v="SpiceJet"/>
    <n v="1"/>
    <x v="1"/>
    <s v="&quot;unprofessional and unethical&quot;"/>
    <x v="1686"/>
    <x v="171"/>
    <s v="1st"/>
    <x v="11"/>
    <x v="3"/>
    <x v="1"/>
  </r>
  <r>
    <s v="SpiceJet"/>
    <n v="1"/>
    <x v="1"/>
    <s v="&quot;charged due to overweight bag&quot;"/>
    <x v="1687"/>
    <x v="171"/>
    <s v="1st"/>
    <x v="11"/>
    <x v="3"/>
    <x v="1"/>
  </r>
  <r>
    <s v="SpiceJet"/>
    <n v="9"/>
    <x v="2"/>
    <s v="&quot;food was very poor&quot;"/>
    <x v="1688"/>
    <x v="171"/>
    <s v="1st"/>
    <x v="11"/>
    <x v="3"/>
    <x v="0"/>
  </r>
  <r>
    <s v="SpiceJet"/>
    <n v="2"/>
    <x v="1"/>
    <s v="&quot;12 hours to board the flight&quot;"/>
    <x v="1689"/>
    <x v="171"/>
    <s v="1st"/>
    <x v="11"/>
    <x v="3"/>
    <x v="1"/>
  </r>
  <r>
    <s v="SpiceJet"/>
    <n v="1"/>
    <x v="1"/>
    <s v="&quot;Truly a horrendous experience&quot;"/>
    <x v="1690"/>
    <x v="172"/>
    <s v="7th"/>
    <x v="4"/>
    <x v="4"/>
    <x v="1"/>
  </r>
  <r>
    <s v="SpiceJet"/>
    <n v="1"/>
    <x v="1"/>
    <s v="&quot;arrived 49 mins late&quot;"/>
    <x v="1691"/>
    <x v="172"/>
    <s v="7th"/>
    <x v="4"/>
    <x v="4"/>
    <x v="1"/>
  </r>
  <r>
    <s v="SpiceJet"/>
    <n v="1"/>
    <x v="1"/>
    <s v="&quot;I am very disappointed&quot;"/>
    <x v="1692"/>
    <x v="172"/>
    <s v="7th"/>
    <x v="4"/>
    <x v="4"/>
    <x v="1"/>
  </r>
  <r>
    <s v="SpiceJet"/>
    <n v="7"/>
    <x v="0"/>
    <s v="&quot;15 kg only is too little&quot;"/>
    <x v="1693"/>
    <x v="172"/>
    <s v="7th"/>
    <x v="4"/>
    <x v="4"/>
    <x v="1"/>
  </r>
  <r>
    <s v="SpiceJet"/>
    <n v="9"/>
    <x v="2"/>
    <s v="&quot;Seats are also comfortable&quot;"/>
    <x v="1694"/>
    <x v="172"/>
    <s v="7th"/>
    <x v="4"/>
    <x v="4"/>
    <x v="0"/>
  </r>
  <r>
    <s v="SpiceJet"/>
    <n v="1"/>
    <x v="1"/>
    <s v="&quot;Worst flying experience&quot;"/>
    <x v="1695"/>
    <x v="172"/>
    <s v="7th"/>
    <x v="4"/>
    <x v="4"/>
    <x v="1"/>
  </r>
  <r>
    <s v="SpiceJet"/>
    <n v="1"/>
    <x v="1"/>
    <s v="&quot;Avoid this airline at all costs&quot;"/>
    <x v="1696"/>
    <x v="172"/>
    <s v="7th"/>
    <x v="4"/>
    <x v="4"/>
    <x v="1"/>
  </r>
  <r>
    <s v="SpiceJet"/>
    <n v="10"/>
    <x v="2"/>
    <s v="&quot;was a lovely flight&quot;"/>
    <x v="1697"/>
    <x v="172"/>
    <s v="7th"/>
    <x v="4"/>
    <x v="4"/>
    <x v="0"/>
  </r>
  <r>
    <s v="SpiceJet"/>
    <n v="1"/>
    <x v="1"/>
    <s v="&quot;I am highly disappointed&quot;"/>
    <x v="1698"/>
    <x v="172"/>
    <s v="7th"/>
    <x v="4"/>
    <x v="4"/>
    <x v="1"/>
  </r>
  <r>
    <s v="SpiceJet"/>
    <n v="2"/>
    <x v="1"/>
    <s v="&quot;charging for hand luggage&quot;"/>
    <x v="1699"/>
    <x v="172"/>
    <s v="7th"/>
    <x v="4"/>
    <x v="4"/>
    <x v="1"/>
  </r>
  <r>
    <s v="SpiceJet"/>
    <n v="1"/>
    <x v="1"/>
    <s v="&quot;it was my worst journey ever&quot;"/>
    <x v="1700"/>
    <x v="173"/>
    <s v="21st"/>
    <x v="6"/>
    <x v="4"/>
    <x v="1"/>
  </r>
  <r>
    <s v="SpiceJet"/>
    <n v="9"/>
    <x v="2"/>
    <s v="&quot;cannot expect any better&quot;"/>
    <x v="1701"/>
    <x v="173"/>
    <s v="21st"/>
    <x v="6"/>
    <x v="4"/>
    <x v="0"/>
  </r>
  <r>
    <s v="SpiceJet"/>
    <n v="9"/>
    <x v="2"/>
    <s v="&quot;courteous crew cabin&quot;"/>
    <x v="1702"/>
    <x v="173"/>
    <s v="21st"/>
    <x v="6"/>
    <x v="4"/>
    <x v="0"/>
  </r>
  <r>
    <s v="SpiceJet"/>
    <n v="3"/>
    <x v="1"/>
    <s v="&quot;the airline staff mislead&quot;"/>
    <x v="1703"/>
    <x v="173"/>
    <s v="21st"/>
    <x v="6"/>
    <x v="4"/>
    <x v="1"/>
  </r>
  <r>
    <s v="SpiceJet"/>
    <n v="1"/>
    <x v="1"/>
    <s v="&quot;denied the entitled meals&quot;"/>
    <x v="1704"/>
    <x v="173"/>
    <s v="21st"/>
    <x v="6"/>
    <x v="4"/>
    <x v="1"/>
  </r>
  <r>
    <s v="SpiceJet"/>
    <n v="1"/>
    <x v="1"/>
    <s v="&quot;faced a lot of inconvenience&quot;"/>
    <x v="1705"/>
    <x v="173"/>
    <s v="21st"/>
    <x v="6"/>
    <x v="4"/>
    <x v="1"/>
  </r>
  <r>
    <s v="SpiceJet"/>
    <n v="1"/>
    <x v="1"/>
    <s v="&quot;Flight condition is also awful&quot;"/>
    <x v="1706"/>
    <x v="173"/>
    <s v="21st"/>
    <x v="6"/>
    <x v="4"/>
    <x v="1"/>
  </r>
  <r>
    <s v="SpiceJet"/>
    <n v="10"/>
    <x v="2"/>
    <s v="&quot;efficient and warm onboard service&quot;"/>
    <x v="1707"/>
    <x v="173"/>
    <s v="21st"/>
    <x v="6"/>
    <x v="4"/>
    <x v="0"/>
  </r>
  <r>
    <s v="SpiceJet"/>
    <n v="1"/>
    <x v="1"/>
    <s v="&quot;worst experience ever&quot;"/>
    <x v="1708"/>
    <x v="173"/>
    <s v="21st"/>
    <x v="6"/>
    <x v="4"/>
    <x v="1"/>
  </r>
  <r>
    <s v="SpiceJet"/>
    <n v="9"/>
    <x v="2"/>
    <s v="&quot;crew members really good&quot;"/>
    <x v="1709"/>
    <x v="173"/>
    <s v="21st"/>
    <x v="6"/>
    <x v="4"/>
    <x v="0"/>
  </r>
  <r>
    <s v="SpiceJet"/>
    <n v="1"/>
    <x v="1"/>
    <s v="&quot;late for more than 4 hrs&quot;"/>
    <x v="1710"/>
    <x v="174"/>
    <s v="4th"/>
    <x v="6"/>
    <x v="4"/>
    <x v="1"/>
  </r>
  <r>
    <s v="SpiceJet"/>
    <n v="1"/>
    <x v="1"/>
    <s v="&quot;not received any communication&quot;"/>
    <x v="1711"/>
    <x v="174"/>
    <s v="4th"/>
    <x v="6"/>
    <x v="4"/>
    <x v="1"/>
  </r>
  <r>
    <s v="SpiceJet"/>
    <n v="1"/>
    <x v="1"/>
    <s v="&quot;the flight is cancelled&quot;"/>
    <x v="1712"/>
    <x v="174"/>
    <s v="4th"/>
    <x v="6"/>
    <x v="4"/>
    <x v="1"/>
  </r>
  <r>
    <s v="SpiceJet"/>
    <n v="1"/>
    <x v="1"/>
    <s v="&quot;have to pay for extra luggage&quot;"/>
    <x v="1713"/>
    <x v="174"/>
    <s v="4th"/>
    <x v="6"/>
    <x v="4"/>
    <x v="1"/>
  </r>
  <r>
    <s v="SpiceJet"/>
    <n v="1"/>
    <x v="1"/>
    <s v="&quot;no care and service&quot;"/>
    <x v="1714"/>
    <x v="174"/>
    <s v="4th"/>
    <x v="6"/>
    <x v="4"/>
    <x v="1"/>
  </r>
  <r>
    <s v="SpiceJet"/>
    <n v="4"/>
    <x v="1"/>
    <s v="&quot;too costly for short trip&quot;"/>
    <x v="1715"/>
    <x v="174"/>
    <s v="4th"/>
    <x v="6"/>
    <x v="4"/>
    <x v="1"/>
  </r>
  <r>
    <s v="SpiceJet"/>
    <n v="7"/>
    <x v="0"/>
    <s v="&quot;service standard was adequate&quot;"/>
    <x v="1716"/>
    <x v="174"/>
    <s v="4th"/>
    <x v="6"/>
    <x v="4"/>
    <x v="0"/>
  </r>
  <r>
    <s v="SpiceJet"/>
    <n v="2"/>
    <x v="1"/>
    <s v="&quot;very worst service of Spicejet&quot;"/>
    <x v="1717"/>
    <x v="174"/>
    <s v="4th"/>
    <x v="6"/>
    <x v="4"/>
    <x v="1"/>
  </r>
  <r>
    <s v="SpiceJet"/>
    <n v="2"/>
    <x v="1"/>
    <s v="&quot;never faced such rude and insulting behaviour&quot;"/>
    <x v="1718"/>
    <x v="174"/>
    <s v="4th"/>
    <x v="6"/>
    <x v="4"/>
    <x v="1"/>
  </r>
  <r>
    <s v="SpiceJet"/>
    <n v="8"/>
    <x v="2"/>
    <s v="&quot;some room for improvement &quot;"/>
    <x v="1719"/>
    <x v="174"/>
    <s v="4th"/>
    <x v="6"/>
    <x v="4"/>
    <x v="0"/>
  </r>
  <r>
    <s v="SpiceJet"/>
    <n v="9"/>
    <x v="2"/>
    <s v="&quot;everything was flawless&quot;"/>
    <x v="252"/>
    <x v="175"/>
    <s v="10th"/>
    <x v="0"/>
    <x v="4"/>
    <x v="0"/>
  </r>
  <r>
    <s v="SpiceJet"/>
    <n v="10"/>
    <x v="2"/>
    <s v="&quot;I had a good experience&quot;"/>
    <x v="1720"/>
    <x v="175"/>
    <s v="10th"/>
    <x v="0"/>
    <x v="4"/>
    <x v="0"/>
  </r>
  <r>
    <s v="SpiceJet"/>
    <n v="1"/>
    <x v="1"/>
    <s v="&quot;an unpleasant and embarrassing experience&quot;"/>
    <x v="1721"/>
    <x v="175"/>
    <s v="10th"/>
    <x v="0"/>
    <x v="4"/>
    <x v="1"/>
  </r>
  <r>
    <s v="SpiceJet"/>
    <n v="2"/>
    <x v="1"/>
    <s v="&quot;lot of false promises&quot;"/>
    <x v="1722"/>
    <x v="175"/>
    <s v="10th"/>
    <x v="0"/>
    <x v="4"/>
    <x v="1"/>
  </r>
  <r>
    <s v="SpiceJet"/>
    <n v="3"/>
    <x v="1"/>
    <s v="&quot;the seats were awful&quot;"/>
    <x v="1723"/>
    <x v="175"/>
    <s v="10th"/>
    <x v="0"/>
    <x v="4"/>
    <x v="1"/>
  </r>
  <r>
    <s v="SpiceJet"/>
    <n v="6"/>
    <x v="0"/>
    <s v="&quot;pleased with staff on each of the segments&quot;"/>
    <x v="1144"/>
    <x v="175"/>
    <s v="10th"/>
    <x v="0"/>
    <x v="4"/>
    <x v="0"/>
  </r>
  <r>
    <s v="SpiceJet"/>
    <n v="2"/>
    <x v="1"/>
    <s v="&quot;disheartened by the approach&quot;"/>
    <x v="1724"/>
    <x v="175"/>
    <s v="10th"/>
    <x v="0"/>
    <x v="4"/>
    <x v="1"/>
  </r>
  <r>
    <s v="SpiceJet"/>
    <n v="1"/>
    <x v="1"/>
    <s v="&quot;pathetic seats and service&quot;"/>
    <x v="1725"/>
    <x v="175"/>
    <s v="10th"/>
    <x v="0"/>
    <x v="4"/>
    <x v="1"/>
  </r>
  <r>
    <s v="SpiceJet"/>
    <n v="2"/>
    <x v="1"/>
    <s v="&quot;Not even a sorry&quot;"/>
    <x v="1726"/>
    <x v="175"/>
    <s v="10th"/>
    <x v="0"/>
    <x v="4"/>
    <x v="1"/>
  </r>
  <r>
    <s v="SpiceJet"/>
    <n v="1"/>
    <x v="1"/>
    <s v="&quot;flights are always delayed&quot;"/>
    <x v="1727"/>
    <x v="175"/>
    <s v="10th"/>
    <x v="0"/>
    <x v="4"/>
    <x v="1"/>
  </r>
  <r>
    <s v="SpiceJet"/>
    <n v="2"/>
    <x v="1"/>
    <s v="&quot;nobody knew where was bag scanning&quot;"/>
    <x v="1728"/>
    <x v="176"/>
    <s v="18th"/>
    <x v="2"/>
    <x v="4"/>
    <x v="1"/>
  </r>
  <r>
    <s v="SpiceJet"/>
    <n v="3"/>
    <x v="1"/>
    <s v="&quot;unprofessional attitude&quot;"/>
    <x v="1729"/>
    <x v="176"/>
    <s v="18th"/>
    <x v="2"/>
    <x v="4"/>
    <x v="1"/>
  </r>
  <r>
    <s v="SpiceJet"/>
    <n v="1"/>
    <x v="1"/>
    <s v="&quot;One of the worst experiences&quot;"/>
    <x v="1730"/>
    <x v="176"/>
    <s v="18th"/>
    <x v="2"/>
    <x v="4"/>
    <x v="1"/>
  </r>
  <r>
    <s v="SpiceJet"/>
    <n v="5"/>
    <x v="0"/>
    <s v="&quot;ran out of all possible food options&quot;"/>
    <x v="1145"/>
    <x v="176"/>
    <s v="18th"/>
    <x v="2"/>
    <x v="4"/>
    <x v="0"/>
  </r>
  <r>
    <s v="SpiceJet"/>
    <n v="7"/>
    <x v="0"/>
    <s v="&quot;a good experience&quot;"/>
    <x v="1731"/>
    <x v="176"/>
    <s v="18th"/>
    <x v="2"/>
    <x v="4"/>
    <x v="0"/>
  </r>
  <r>
    <s v="SpiceJet"/>
    <n v="1"/>
    <x v="1"/>
    <s v="&quot;you will be dissatisfied and left irritated&quot;"/>
    <x v="81"/>
    <x v="176"/>
    <s v="18th"/>
    <x v="2"/>
    <x v="4"/>
    <x v="1"/>
  </r>
  <r>
    <s v="SpiceJet"/>
    <n v="1"/>
    <x v="1"/>
    <s v="&quot;improve your operational way&quot;"/>
    <x v="1732"/>
    <x v="176"/>
    <s v="18th"/>
    <x v="2"/>
    <x v="4"/>
    <x v="1"/>
  </r>
  <r>
    <s v="SpiceJet"/>
    <n v="1"/>
    <x v="1"/>
    <s v="&quot;Worst flight experience&quot;"/>
    <x v="1733"/>
    <x v="176"/>
    <s v="18th"/>
    <x v="2"/>
    <x v="4"/>
    <x v="1"/>
  </r>
  <r>
    <s v="SpiceJet"/>
    <n v="2"/>
    <x v="1"/>
    <s v="&quot;have never had such a disgusting experience&quot;"/>
    <x v="1734"/>
    <x v="176"/>
    <s v="18th"/>
    <x v="2"/>
    <x v="4"/>
    <x v="1"/>
  </r>
  <r>
    <s v="SpiceJet"/>
    <n v="3"/>
    <x v="1"/>
    <s v="&quot;I am highly disappointed&quot;"/>
    <x v="1735"/>
    <x v="176"/>
    <s v="18th"/>
    <x v="2"/>
    <x v="4"/>
    <x v="1"/>
  </r>
  <r>
    <s v="SpiceJet"/>
    <n v="1"/>
    <x v="1"/>
    <s v="&quot;they didn't load our baggage&quot;"/>
    <x v="1736"/>
    <x v="177"/>
    <s v="8th"/>
    <x v="8"/>
    <x v="4"/>
    <x v="1"/>
  </r>
  <r>
    <s v="SpiceJet"/>
    <n v="1"/>
    <x v="1"/>
    <s v="&quot;nothing less than shameful&quot;"/>
    <x v="1737"/>
    <x v="177"/>
    <s v="8th"/>
    <x v="8"/>
    <x v="4"/>
    <x v="1"/>
  </r>
  <r>
    <s v="SpiceJet"/>
    <n v="1"/>
    <x v="1"/>
    <s v="&quot;our whole trip was ruined&quot;"/>
    <x v="1738"/>
    <x v="177"/>
    <s v="8th"/>
    <x v="8"/>
    <x v="4"/>
    <x v="1"/>
  </r>
  <r>
    <s v="SpiceJet"/>
    <n v="2"/>
    <x v="1"/>
    <s v="&quot;the worst service ever&quot;"/>
    <x v="1739"/>
    <x v="177"/>
    <s v="8th"/>
    <x v="8"/>
    <x v="4"/>
    <x v="1"/>
  </r>
  <r>
    <s v="SpiceJet"/>
    <n v="1"/>
    <x v="1"/>
    <s v="&quot;the smell from toilet &quot;"/>
    <x v="1740"/>
    <x v="177"/>
    <s v="8th"/>
    <x v="8"/>
    <x v="4"/>
    <x v="0"/>
  </r>
  <r>
    <s v="SpiceJet"/>
    <n v="1"/>
    <x v="1"/>
    <s v="&quot;offloaded our baggage&quot;"/>
    <x v="1741"/>
    <x v="177"/>
    <s v="8th"/>
    <x v="8"/>
    <x v="4"/>
    <x v="1"/>
  </r>
  <r>
    <s v="SpiceJet"/>
    <n v="1"/>
    <x v="1"/>
    <s v="&quot;Horrible experience&quot;"/>
    <x v="1742"/>
    <x v="177"/>
    <s v="8th"/>
    <x v="8"/>
    <x v="4"/>
    <x v="1"/>
  </r>
  <r>
    <s v="SpiceJet"/>
    <n v="6"/>
    <x v="0"/>
    <s v="&quot;there is room for improvement&quot;"/>
    <x v="1743"/>
    <x v="177"/>
    <s v="8th"/>
    <x v="8"/>
    <x v="4"/>
    <x v="0"/>
  </r>
  <r>
    <s v="SpiceJet"/>
    <n v="3"/>
    <x v="1"/>
    <s v="&quot;disappointed by SpiceJet&quot;"/>
    <x v="1744"/>
    <x v="177"/>
    <s v="8th"/>
    <x v="8"/>
    <x v="4"/>
    <x v="1"/>
  </r>
  <r>
    <s v="SpiceJet"/>
    <n v="1"/>
    <x v="1"/>
    <s v="&quot;Pathetic customer service&quot;"/>
    <x v="1745"/>
    <x v="177"/>
    <s v="8th"/>
    <x v="8"/>
    <x v="4"/>
    <x v="1"/>
  </r>
  <r>
    <s v="SpiceJet"/>
    <n v="2"/>
    <x v="1"/>
    <s v="&quot;seat broken - wouldnâ€™t recline&quot;"/>
    <x v="1746"/>
    <x v="178"/>
    <s v="22nd"/>
    <x v="9"/>
    <x v="4"/>
    <x v="1"/>
  </r>
  <r>
    <s v="SpiceJet"/>
    <n v="1"/>
    <x v="1"/>
    <s v="&quot;pay for my laptop bag weight&quot;"/>
    <x v="1747"/>
    <x v="178"/>
    <s v="22nd"/>
    <x v="9"/>
    <x v="4"/>
    <x v="1"/>
  </r>
  <r>
    <s v="SpiceJet"/>
    <n v="1"/>
    <x v="1"/>
    <s v="&quot;Worst aircraft and service&quot;"/>
    <x v="220"/>
    <x v="178"/>
    <s v="22nd"/>
    <x v="9"/>
    <x v="4"/>
    <x v="1"/>
  </r>
  <r>
    <s v="SpiceJet"/>
    <n v="2"/>
    <x v="1"/>
    <s v="&quot;don't choose SpiceJet&quot;"/>
    <x v="1748"/>
    <x v="178"/>
    <s v="22nd"/>
    <x v="9"/>
    <x v="4"/>
    <x v="1"/>
  </r>
  <r>
    <s v="SpiceJet"/>
    <n v="8"/>
    <x v="2"/>
    <s v="&quot;Excellent in-flight service&quot;"/>
    <x v="1749"/>
    <x v="178"/>
    <s v="22nd"/>
    <x v="9"/>
    <x v="4"/>
    <x v="0"/>
  </r>
  <r>
    <s v="SpiceJet"/>
    <n v="2"/>
    <x v="1"/>
    <s v="&quot;poor customer service&quot;"/>
    <x v="1750"/>
    <x v="178"/>
    <s v="22nd"/>
    <x v="9"/>
    <x v="4"/>
    <x v="1"/>
  </r>
  <r>
    <s v="SpiceJet"/>
    <n v="1"/>
    <x v="1"/>
    <s v="&quot;the worst experience&quot;"/>
    <x v="1751"/>
    <x v="178"/>
    <s v="22nd"/>
    <x v="9"/>
    <x v="4"/>
    <x v="1"/>
  </r>
  <r>
    <s v="SpiceJet"/>
    <n v="1"/>
    <x v="1"/>
    <s v="&quot;no customer service&quot;"/>
    <x v="1752"/>
    <x v="178"/>
    <s v="22nd"/>
    <x v="9"/>
    <x v="4"/>
    <x v="1"/>
  </r>
  <r>
    <s v="SpiceJet"/>
    <n v="1"/>
    <x v="1"/>
    <s v="&quot;The worst service ever&quot;"/>
    <x v="1753"/>
    <x v="178"/>
    <s v="22nd"/>
    <x v="9"/>
    <x v="4"/>
    <x v="1"/>
  </r>
  <r>
    <s v="SpiceJet"/>
    <n v="8"/>
    <x v="2"/>
    <s v="&quot;I was pleasantly surprised&quot;"/>
    <x v="1754"/>
    <x v="178"/>
    <s v="22nd"/>
    <x v="9"/>
    <x v="4"/>
    <x v="0"/>
  </r>
  <r>
    <s v="SpiceJet"/>
    <n v="1"/>
    <x v="1"/>
    <s v="&quot;a delay of 4 hours&quot;"/>
    <x v="1536"/>
    <x v="179"/>
    <s v="24th"/>
    <x v="3"/>
    <x v="4"/>
    <x v="1"/>
  </r>
  <r>
    <s v="SpiceJet"/>
    <n v="8"/>
    <x v="2"/>
    <s v="&quot;crew made our travel so comfortable&quot;"/>
    <x v="1755"/>
    <x v="179"/>
    <s v="24th"/>
    <x v="3"/>
    <x v="4"/>
    <x v="0"/>
  </r>
  <r>
    <s v="SpiceJet"/>
    <n v="2"/>
    <x v="1"/>
    <s v="&quot;never take Spicejet again&quot;"/>
    <x v="1756"/>
    <x v="179"/>
    <s v="24th"/>
    <x v="3"/>
    <x v="4"/>
    <x v="1"/>
  </r>
  <r>
    <s v="SpiceJet"/>
    <n v="5"/>
    <x v="0"/>
    <s v="&quot;it was a good experience&quot;"/>
    <x v="1757"/>
    <x v="179"/>
    <s v="24th"/>
    <x v="3"/>
    <x v="4"/>
    <x v="0"/>
  </r>
  <r>
    <s v="SpiceJet"/>
    <n v="1"/>
    <x v="1"/>
    <s v="&quot;no improvement in service&quot;"/>
    <x v="1758"/>
    <x v="179"/>
    <s v="24th"/>
    <x v="3"/>
    <x v="4"/>
    <x v="1"/>
  </r>
  <r>
    <s v="SpiceJet"/>
    <n v="3"/>
    <x v="1"/>
    <s v="&quot;Never recommend to fly spicejet&quot;"/>
    <x v="1759"/>
    <x v="179"/>
    <s v="24th"/>
    <x v="3"/>
    <x v="4"/>
    <x v="1"/>
  </r>
  <r>
    <s v="SpiceJet"/>
    <n v="2"/>
    <x v="1"/>
    <s v="&quot;experience was very bad&quot;"/>
    <x v="1760"/>
    <x v="179"/>
    <s v="24th"/>
    <x v="3"/>
    <x v="4"/>
    <x v="1"/>
  </r>
  <r>
    <s v="SpiceJet"/>
    <n v="1"/>
    <x v="1"/>
    <s v="&quot;Extremely cramped seats&quot;"/>
    <x v="1761"/>
    <x v="179"/>
    <s v="24th"/>
    <x v="3"/>
    <x v="4"/>
    <x v="1"/>
  </r>
  <r>
    <s v="SpiceJet"/>
    <n v="1"/>
    <x v="1"/>
    <s v="&quot;last time I will fly Spicejet&quot;"/>
    <x v="1762"/>
    <x v="179"/>
    <s v="24th"/>
    <x v="3"/>
    <x v="4"/>
    <x v="1"/>
  </r>
  <r>
    <s v="SpiceJet"/>
    <n v="2"/>
    <x v="1"/>
    <s v="&quot;avoid to use this airline in future&quot;"/>
    <x v="1763"/>
    <x v="179"/>
    <s v="24th"/>
    <x v="3"/>
    <x v="4"/>
    <x v="1"/>
  </r>
  <r>
    <s v="SpiceJet"/>
    <n v="3"/>
    <x v="1"/>
    <s v="&quot;not recommend Spicejet&quot;"/>
    <x v="1764"/>
    <x v="180"/>
    <s v="29th"/>
    <x v="7"/>
    <x v="4"/>
    <x v="1"/>
  </r>
  <r>
    <s v="SpiceJet"/>
    <n v="3"/>
    <x v="1"/>
    <s v="&quot;Very worst service&quot;"/>
    <x v="1765"/>
    <x v="180"/>
    <s v="29th"/>
    <x v="7"/>
    <x v="4"/>
    <x v="1"/>
  </r>
  <r>
    <s v="SpiceJet"/>
    <n v="1"/>
    <x v="1"/>
    <s v="&quot;staff could do absolutely nothing&quot;"/>
    <x v="1766"/>
    <x v="180"/>
    <s v="29th"/>
    <x v="7"/>
    <x v="4"/>
    <x v="1"/>
  </r>
  <r>
    <s v="SpiceJet"/>
    <n v="1"/>
    <x v="1"/>
    <s v="&quot;Each delay for 3-4 hours&quot;"/>
    <x v="1766"/>
    <x v="180"/>
    <s v="29th"/>
    <x v="7"/>
    <x v="4"/>
    <x v="1"/>
  </r>
  <r>
    <s v="SpiceJet"/>
    <n v="1"/>
    <x v="1"/>
    <s v="&quot;No info given to passengers&quot;"/>
    <x v="1767"/>
    <x v="180"/>
    <s v="29th"/>
    <x v="7"/>
    <x v="4"/>
    <x v="1"/>
  </r>
  <r>
    <s v="SpiceJet"/>
    <n v="2"/>
    <x v="1"/>
    <s v="&quot;the flight got delayed&quot;"/>
    <x v="1768"/>
    <x v="180"/>
    <s v="29th"/>
    <x v="7"/>
    <x v="4"/>
    <x v="1"/>
  </r>
  <r>
    <s v="SpiceJet"/>
    <n v="2"/>
    <x v="1"/>
    <s v="&quot;would not recommend it&quot;"/>
    <x v="1769"/>
    <x v="180"/>
    <s v="29th"/>
    <x v="7"/>
    <x v="4"/>
    <x v="1"/>
  </r>
  <r>
    <s v="SpiceJet"/>
    <n v="7"/>
    <x v="0"/>
    <s v="&quot;would recommend Spicejet&quot;"/>
    <x v="1770"/>
    <x v="180"/>
    <s v="29th"/>
    <x v="7"/>
    <x v="4"/>
    <x v="0"/>
  </r>
  <r>
    <s v="SpiceJet"/>
    <n v="7"/>
    <x v="0"/>
    <s v="&quot;overall experience was pleasant&quot;"/>
    <x v="255"/>
    <x v="180"/>
    <s v="29th"/>
    <x v="7"/>
    <x v="4"/>
    <x v="0"/>
  </r>
  <r>
    <s v="SpiceJet"/>
    <n v="7"/>
    <x v="0"/>
    <s v="&quot;Flight was fine&quot;"/>
    <x v="1771"/>
    <x v="180"/>
    <s v="29th"/>
    <x v="7"/>
    <x v="4"/>
    <x v="0"/>
  </r>
  <r>
    <s v="SpiceJet"/>
    <n v="8"/>
    <x v="2"/>
    <s v="&quot;cabin staff were polite&quot;"/>
    <x v="1772"/>
    <x v="181"/>
    <s v="6th"/>
    <x v="7"/>
    <x v="4"/>
    <x v="0"/>
  </r>
  <r>
    <s v="SpiceJet"/>
    <n v="1"/>
    <x v="1"/>
    <s v="&quot;had the worst experience&quot;"/>
    <x v="1773"/>
    <x v="181"/>
    <s v="6th"/>
    <x v="7"/>
    <x v="4"/>
    <x v="1"/>
  </r>
  <r>
    <s v="SpiceJet"/>
    <n v="3"/>
    <x v="1"/>
    <s v="&quot;Cabin crew completely ignored me&quot;"/>
    <x v="1774"/>
    <x v="181"/>
    <s v="6th"/>
    <x v="7"/>
    <x v="4"/>
    <x v="1"/>
  </r>
  <r>
    <s v="SpiceJet"/>
    <n v="1"/>
    <x v="1"/>
    <s v="&quot;pathetically poor service&quot;"/>
    <x v="1775"/>
    <x v="181"/>
    <s v="6th"/>
    <x v="7"/>
    <x v="4"/>
    <x v="1"/>
  </r>
  <r>
    <s v="SpiceJet"/>
    <n v="3"/>
    <x v="1"/>
    <s v="&quot;They have to change their service&quot;"/>
    <x v="1776"/>
    <x v="181"/>
    <s v="6th"/>
    <x v="7"/>
    <x v="4"/>
    <x v="1"/>
  </r>
  <r>
    <s v="SpiceJet"/>
    <n v="10"/>
    <x v="2"/>
    <s v="&quot;level of confidence and assurance&quot;"/>
    <x v="1777"/>
    <x v="181"/>
    <s v="6th"/>
    <x v="7"/>
    <x v="4"/>
    <x v="0"/>
  </r>
  <r>
    <s v="SpiceJet"/>
    <n v="1"/>
    <x v="1"/>
    <s v="&quot;The last flight with Spicejet&quot;"/>
    <x v="1778"/>
    <x v="181"/>
    <s v="6th"/>
    <x v="7"/>
    <x v="4"/>
    <x v="1"/>
  </r>
  <r>
    <s v="SpiceJet"/>
    <n v="1"/>
    <x v="1"/>
    <s v="&quot;had a pathetic experience&quot;"/>
    <x v="1779"/>
    <x v="181"/>
    <s v="6th"/>
    <x v="7"/>
    <x v="4"/>
    <x v="1"/>
  </r>
  <r>
    <s v="SpiceJet"/>
    <n v="3"/>
    <x v="1"/>
    <s v="&quot;not recommend to anyone&quot;"/>
    <x v="1780"/>
    <x v="181"/>
    <s v="6th"/>
    <x v="7"/>
    <x v="4"/>
    <x v="1"/>
  </r>
  <r>
    <s v="SpiceJet"/>
    <n v="4"/>
    <x v="1"/>
    <s v="&quot;try to avoid SpiceJet&quot;"/>
    <x v="1781"/>
    <x v="181"/>
    <s v="6th"/>
    <x v="7"/>
    <x v="4"/>
    <x v="1"/>
  </r>
  <r>
    <s v="SpiceJet"/>
    <n v="2"/>
    <x v="1"/>
    <s v="&quot;don't opt for SpiceJet&quot;"/>
    <x v="1782"/>
    <x v="182"/>
    <s v="21st"/>
    <x v="1"/>
    <x v="4"/>
    <x v="1"/>
  </r>
  <r>
    <s v="SpiceJet"/>
    <n v="1"/>
    <x v="1"/>
    <s v="&quot;terrible journey for us&quot;"/>
    <x v="1783"/>
    <x v="182"/>
    <s v="21st"/>
    <x v="1"/>
    <x v="4"/>
    <x v="1"/>
  </r>
  <r>
    <s v="SpiceJet"/>
    <n v="1"/>
    <x v="1"/>
    <s v="&quot;was an unfortunate incident&quot;"/>
    <x v="1784"/>
    <x v="182"/>
    <s v="21st"/>
    <x v="1"/>
    <x v="4"/>
    <x v="1"/>
  </r>
  <r>
    <s v="SpiceJet"/>
    <n v="10"/>
    <x v="2"/>
    <s v="&quot;Hassle free flight&quot;"/>
    <x v="1785"/>
    <x v="182"/>
    <s v="21st"/>
    <x v="1"/>
    <x v="4"/>
    <x v="0"/>
  </r>
  <r>
    <s v="SpiceJet"/>
    <n v="1"/>
    <x v="1"/>
    <s v="&quot;horrendous service&quot;"/>
    <x v="1786"/>
    <x v="182"/>
    <s v="21st"/>
    <x v="1"/>
    <x v="4"/>
    <x v="1"/>
  </r>
  <r>
    <s v="SpiceJet"/>
    <n v="1"/>
    <x v="1"/>
    <s v="&quot;irresponsible service&quot;"/>
    <x v="1787"/>
    <x v="182"/>
    <s v="21st"/>
    <x v="1"/>
    <x v="4"/>
    <x v="1"/>
  </r>
  <r>
    <s v="SpiceJet"/>
    <n v="1"/>
    <x v="1"/>
    <s v="&quot;Spicejet ruined all my plans&quot;"/>
    <x v="1788"/>
    <x v="182"/>
    <s v="21st"/>
    <x v="1"/>
    <x v="4"/>
    <x v="1"/>
  </r>
  <r>
    <s v="SpiceJet"/>
    <n v="6"/>
    <x v="0"/>
    <s v="&quot;value for money trip&quot;"/>
    <x v="1789"/>
    <x v="182"/>
    <s v="21st"/>
    <x v="1"/>
    <x v="4"/>
    <x v="0"/>
  </r>
  <r>
    <s v="SpiceJet"/>
    <n v="5"/>
    <x v="0"/>
    <s v="&quot;Another good flight&quot;"/>
    <x v="1790"/>
    <x v="182"/>
    <s v="21st"/>
    <x v="1"/>
    <x v="4"/>
    <x v="0"/>
  </r>
  <r>
    <s v="SpiceJet"/>
    <n v="6"/>
    <x v="0"/>
    <s v="SpiceJet customer review"/>
    <x v="1791"/>
    <x v="182"/>
    <s v="21st"/>
    <x v="1"/>
    <x v="4"/>
    <x v="0"/>
  </r>
  <r>
    <s v="SpiceJet"/>
    <n v="6"/>
    <x v="0"/>
    <s v="&quot;welcomed us with a smile&quot;"/>
    <x v="681"/>
    <x v="183"/>
    <s v="28th"/>
    <x v="10"/>
    <x v="4"/>
    <x v="0"/>
  </r>
  <r>
    <s v="SpiceJet"/>
    <n v="5"/>
    <x v="0"/>
    <s v="&quot;a good comfortable flight&quot;"/>
    <x v="1792"/>
    <x v="183"/>
    <s v="28th"/>
    <x v="10"/>
    <x v="4"/>
    <x v="0"/>
  </r>
  <r>
    <s v="SpiceJet"/>
    <n v="6"/>
    <x v="0"/>
    <s v="&quot;comfortable journey&quot;"/>
    <x v="1793"/>
    <x v="183"/>
    <s v="28th"/>
    <x v="10"/>
    <x v="4"/>
    <x v="0"/>
  </r>
  <r>
    <s v="SpiceJet"/>
    <n v="1"/>
    <x v="1"/>
    <s v="&quot;worst flight experience&quot;"/>
    <x v="1794"/>
    <x v="183"/>
    <s v="28th"/>
    <x v="10"/>
    <x v="4"/>
    <x v="1"/>
  </r>
  <r>
    <s v="SpiceJet"/>
    <n v="7"/>
    <x v="0"/>
    <s v="&quot;experience was really good&quot;"/>
    <x v="1795"/>
    <x v="183"/>
    <s v="28th"/>
    <x v="10"/>
    <x v="4"/>
    <x v="0"/>
  </r>
  <r>
    <s v="SpiceJet"/>
    <n v="1"/>
    <x v="1"/>
    <s v="&quot;their service is the worst&quot;"/>
    <x v="1796"/>
    <x v="183"/>
    <s v="28th"/>
    <x v="10"/>
    <x v="4"/>
    <x v="1"/>
  </r>
  <r>
    <s v="SpiceJet"/>
    <n v="10"/>
    <x v="2"/>
    <s v="&quot;a good flight experience&quot;"/>
    <x v="1797"/>
    <x v="183"/>
    <s v="28th"/>
    <x v="10"/>
    <x v="4"/>
    <x v="0"/>
  </r>
  <r>
    <s v="SpiceJet"/>
    <n v="1"/>
    <x v="1"/>
    <s v="&quot;Will never fly Spicejet&quot;"/>
    <x v="1675"/>
    <x v="183"/>
    <s v="28th"/>
    <x v="10"/>
    <x v="4"/>
    <x v="1"/>
  </r>
  <r>
    <s v="SpiceJet"/>
    <n v="1"/>
    <x v="1"/>
    <s v="&quot;Worst customer service&quot;"/>
    <x v="1798"/>
    <x v="183"/>
    <s v="28th"/>
    <x v="10"/>
    <x v="4"/>
    <x v="1"/>
  </r>
  <r>
    <s v="SpiceJet"/>
    <n v="1"/>
    <x v="1"/>
    <s v="&quot;Worst experience ever&quot;"/>
    <x v="1799"/>
    <x v="183"/>
    <s v="28th"/>
    <x v="10"/>
    <x v="4"/>
    <x v="1"/>
  </r>
  <r>
    <s v="SpiceJet"/>
    <n v="1"/>
    <x v="1"/>
    <s v="&quot;spicemax at a good price&quot;"/>
    <x v="1800"/>
    <x v="184"/>
    <s v="26th"/>
    <x v="5"/>
    <x v="4"/>
    <x v="1"/>
  </r>
  <r>
    <s v="SpiceJet"/>
    <n v="1"/>
    <x v="1"/>
    <s v="&quot;my last travel with SpiceJet&quot;"/>
    <x v="1801"/>
    <x v="184"/>
    <s v="26th"/>
    <x v="5"/>
    <x v="4"/>
    <x v="1"/>
  </r>
  <r>
    <s v="SpiceJet"/>
    <n v="1"/>
    <x v="1"/>
    <s v="&quot;pay for an excess of 2kgs&quot;"/>
    <x v="1802"/>
    <x v="184"/>
    <s v="26th"/>
    <x v="5"/>
    <x v="4"/>
    <x v="1"/>
  </r>
  <r>
    <s v="SpiceJet"/>
    <n v="1"/>
    <x v="1"/>
    <s v="&quot;SpiceJet is unapologetic&quot;"/>
    <x v="1803"/>
    <x v="184"/>
    <s v="26th"/>
    <x v="5"/>
    <x v="4"/>
    <x v="1"/>
  </r>
  <r>
    <s v="SpiceJet"/>
    <n v="8"/>
    <x v="2"/>
    <s v="&quot;Worst flight experience&quot;"/>
    <x v="1804"/>
    <x v="184"/>
    <s v="26th"/>
    <x v="5"/>
    <x v="4"/>
    <x v="1"/>
  </r>
  <r>
    <s v="SpiceJet"/>
    <n v="1"/>
    <x v="1"/>
    <s v="&quot;Worst experience&quot;"/>
    <x v="1805"/>
    <x v="184"/>
    <s v="26th"/>
    <x v="5"/>
    <x v="4"/>
    <x v="1"/>
  </r>
  <r>
    <s v="SpiceJet"/>
    <n v="1"/>
    <x v="1"/>
    <s v="&quot;do this re-scheduling a lot&quot;"/>
    <x v="1806"/>
    <x v="184"/>
    <s v="26th"/>
    <x v="5"/>
    <x v="4"/>
    <x v="1"/>
  </r>
  <r>
    <s v="SpiceJet"/>
    <n v="1"/>
    <x v="1"/>
    <s v="&quot;flight delayed by 5 hours&quot;"/>
    <x v="1807"/>
    <x v="184"/>
    <s v="26th"/>
    <x v="5"/>
    <x v="4"/>
    <x v="1"/>
  </r>
  <r>
    <s v="SpiceJet"/>
    <n v="1"/>
    <x v="1"/>
    <s v="&quot;bad and worst experience&quot;"/>
    <x v="1808"/>
    <x v="184"/>
    <s v="26th"/>
    <x v="5"/>
    <x v="4"/>
    <x v="1"/>
  </r>
  <r>
    <s v="SpiceJet"/>
    <n v="3"/>
    <x v="1"/>
    <s v="&quot;really bad service&quot;"/>
    <x v="1809"/>
    <x v="184"/>
    <s v="26th"/>
    <x v="5"/>
    <x v="4"/>
    <x v="1"/>
  </r>
  <r>
    <s v="SpiceJet"/>
    <n v="1"/>
    <x v="1"/>
    <s v="&quot;worst airline company&quot;"/>
    <x v="1810"/>
    <x v="185"/>
    <s v="1st"/>
    <x v="11"/>
    <x v="4"/>
    <x v="1"/>
  </r>
  <r>
    <s v="SpiceJet"/>
    <n v="1"/>
    <x v="1"/>
    <s v="&quot;always a delay&quot;"/>
    <x v="1811"/>
    <x v="185"/>
    <s v="1st"/>
    <x v="11"/>
    <x v="4"/>
    <x v="1"/>
  </r>
  <r>
    <s v="SpiceJet"/>
    <n v="1"/>
    <x v="1"/>
    <s v="&quot;ticket without check in baggage&quot;"/>
    <x v="1812"/>
    <x v="185"/>
    <s v="1st"/>
    <x v="11"/>
    <x v="4"/>
    <x v="1"/>
  </r>
  <r>
    <s v="SpiceJet"/>
    <n v="1"/>
    <x v="1"/>
    <s v="&quot;improve before its too late&quot;"/>
    <x v="1813"/>
    <x v="185"/>
    <s v="1st"/>
    <x v="11"/>
    <x v="4"/>
    <x v="1"/>
  </r>
  <r>
    <s v="SpiceJet"/>
    <n v="2"/>
    <x v="1"/>
    <s v="&quot;Please improve your service&quot;"/>
    <x v="1814"/>
    <x v="185"/>
    <s v="1st"/>
    <x v="11"/>
    <x v="4"/>
    <x v="1"/>
  </r>
  <r>
    <s v="SpiceJet"/>
    <n v="1"/>
    <x v="1"/>
    <s v="&quot;a very rude behaviour&quot;"/>
    <x v="1815"/>
    <x v="185"/>
    <s v="1st"/>
    <x v="11"/>
    <x v="4"/>
    <x v="1"/>
  </r>
  <r>
    <s v="SpiceJet"/>
    <n v="2"/>
    <x v="1"/>
    <s v="&quot;not at all customer friendly&quot;"/>
    <x v="1816"/>
    <x v="185"/>
    <s v="1st"/>
    <x v="11"/>
    <x v="4"/>
    <x v="1"/>
  </r>
  <r>
    <s v="SpiceJet"/>
    <n v="1"/>
    <x v="1"/>
    <s v="&quot;overall service is very poor&quot;"/>
    <x v="1817"/>
    <x v="185"/>
    <s v="1st"/>
    <x v="11"/>
    <x v="4"/>
    <x v="1"/>
  </r>
  <r>
    <s v="SpiceJet"/>
    <n v="1"/>
    <x v="1"/>
    <s v="&quot;won't recommend SpiceJet&quot;"/>
    <x v="1818"/>
    <x v="185"/>
    <s v="1st"/>
    <x v="11"/>
    <x v="4"/>
    <x v="1"/>
  </r>
  <r>
    <s v="SpiceJet"/>
    <n v="1"/>
    <x v="1"/>
    <s v="&quot;unprofessional staff&quot;"/>
    <x v="1819"/>
    <x v="185"/>
    <s v="1st"/>
    <x v="11"/>
    <x v="4"/>
    <x v="1"/>
  </r>
  <r>
    <s v="SpiceJet"/>
    <n v="1"/>
    <x v="1"/>
    <s v="&quot;never recommend Spicejet&quot;"/>
    <x v="1820"/>
    <x v="186"/>
    <s v="2nd"/>
    <x v="4"/>
    <x v="5"/>
    <x v="1"/>
  </r>
  <r>
    <s v="SpiceJet"/>
    <n v="1"/>
    <x v="1"/>
    <s v="&quot;flight timing was changed&quot;"/>
    <x v="1821"/>
    <x v="186"/>
    <s v="2nd"/>
    <x v="4"/>
    <x v="5"/>
    <x v="1"/>
  </r>
  <r>
    <s v="SpiceJet"/>
    <n v="10"/>
    <x v="2"/>
    <s v="&quot;very helpful and friendly&quot;"/>
    <x v="1822"/>
    <x v="186"/>
    <s v="2nd"/>
    <x v="4"/>
    <x v="5"/>
    <x v="0"/>
  </r>
  <r>
    <s v="SpiceJet"/>
    <n v="2"/>
    <x v="1"/>
    <s v="&quot;No clear updates&quot;"/>
    <x v="1823"/>
    <x v="186"/>
    <s v="2nd"/>
    <x v="4"/>
    <x v="5"/>
    <x v="1"/>
  </r>
  <r>
    <s v="SpiceJet"/>
    <n v="1"/>
    <x v="1"/>
    <s v="&quot;horrible experience&quot;"/>
    <x v="1824"/>
    <x v="186"/>
    <s v="2nd"/>
    <x v="4"/>
    <x v="5"/>
    <x v="1"/>
  </r>
  <r>
    <s v="SpiceJet"/>
    <n v="1"/>
    <x v="1"/>
    <s v="&quot;I won't recommend&quot;"/>
    <x v="1825"/>
    <x v="186"/>
    <s v="2nd"/>
    <x v="4"/>
    <x v="5"/>
    <x v="1"/>
  </r>
  <r>
    <s v="SpiceJet"/>
    <n v="2"/>
    <x v="1"/>
    <s v="&quot;will never travel again&quot;"/>
    <x v="1826"/>
    <x v="186"/>
    <s v="2nd"/>
    <x v="4"/>
    <x v="5"/>
    <x v="1"/>
  </r>
  <r>
    <s v="SpiceJet"/>
    <n v="1"/>
    <x v="1"/>
    <s v="&quot;never recommend Spicejet&quot;"/>
    <x v="1827"/>
    <x v="186"/>
    <s v="2nd"/>
    <x v="4"/>
    <x v="5"/>
    <x v="1"/>
  </r>
  <r>
    <s v="SpiceJet"/>
    <n v="9"/>
    <x v="2"/>
    <s v="&quot;experienced it overall as good&quot;"/>
    <x v="1828"/>
    <x v="186"/>
    <s v="2nd"/>
    <x v="4"/>
    <x v="5"/>
    <x v="0"/>
  </r>
  <r>
    <s v="SpiceJet"/>
    <n v="2"/>
    <x v="1"/>
    <s v="&quot;they are so inefficient&quot;"/>
    <x v="1829"/>
    <x v="186"/>
    <s v="2nd"/>
    <x v="4"/>
    <x v="5"/>
    <x v="1"/>
  </r>
  <r>
    <s v="SpiceJet"/>
    <n v="1"/>
    <x v="1"/>
    <s v="&quot;the worst experience&quot;"/>
    <x v="1830"/>
    <x v="187"/>
    <s v="15th"/>
    <x v="6"/>
    <x v="5"/>
    <x v="1"/>
  </r>
  <r>
    <s v="SpiceJet"/>
    <n v="2"/>
    <x v="1"/>
    <s v="&quot;the worst web site&quot;"/>
    <x v="1831"/>
    <x v="187"/>
    <s v="15th"/>
    <x v="6"/>
    <x v="5"/>
    <x v="1"/>
  </r>
  <r>
    <s v="SpiceJet"/>
    <n v="5"/>
    <x v="0"/>
    <s v="&quot;Spicejet is a very cheap&quot;"/>
    <x v="1832"/>
    <x v="187"/>
    <s v="15th"/>
    <x v="6"/>
    <x v="5"/>
    <x v="1"/>
  </r>
  <r>
    <s v="SpiceJet"/>
    <n v="1"/>
    <x v="1"/>
    <s v="&quot;It feels like hell&quot;"/>
    <x v="1833"/>
    <x v="187"/>
    <s v="15th"/>
    <x v="6"/>
    <x v="5"/>
    <x v="1"/>
  </r>
  <r>
    <s v="SpiceJet"/>
    <n v="1"/>
    <x v="1"/>
    <s v="&quot;Never recommend&quot;"/>
    <x v="1834"/>
    <x v="187"/>
    <s v="15th"/>
    <x v="6"/>
    <x v="5"/>
    <x v="1"/>
  </r>
  <r>
    <s v="SpiceJet"/>
    <n v="6"/>
    <x v="0"/>
    <s v="&quot;improve on time performance&quot;"/>
    <x v="1835"/>
    <x v="187"/>
    <s v="15th"/>
    <x v="6"/>
    <x v="5"/>
    <x v="1"/>
  </r>
  <r>
    <s v="SpiceJet"/>
    <n v="1"/>
    <x v="1"/>
    <s v="&quot;I have to buy a new ticket&quot;"/>
    <x v="1836"/>
    <x v="187"/>
    <s v="15th"/>
    <x v="6"/>
    <x v="5"/>
    <x v="1"/>
  </r>
  <r>
    <s v="SpiceJet"/>
    <n v="2"/>
    <x v="1"/>
    <s v="&quot;The very worst airline&quot;"/>
    <x v="1837"/>
    <x v="187"/>
    <s v="15th"/>
    <x v="6"/>
    <x v="5"/>
    <x v="1"/>
  </r>
  <r>
    <s v="SpiceJet"/>
    <n v="2"/>
    <x v="1"/>
    <s v="&quot;never travel SpiceJet again&quot;"/>
    <x v="1838"/>
    <x v="187"/>
    <s v="15th"/>
    <x v="6"/>
    <x v="5"/>
    <x v="1"/>
  </r>
  <r>
    <s v="SpiceJet"/>
    <n v="2"/>
    <x v="1"/>
    <s v="&quot;you must pay for everything&quot;"/>
    <x v="1839"/>
    <x v="187"/>
    <s v="15th"/>
    <x v="6"/>
    <x v="5"/>
    <x v="1"/>
  </r>
  <r>
    <s v="Vistara"/>
    <n v="1"/>
    <x v="1"/>
    <s v="â€œI expect betterâ€"/>
    <x v="1840"/>
    <x v="188"/>
    <s v="28th"/>
    <x v="8"/>
    <x v="7"/>
    <x v="1"/>
  </r>
  <r>
    <s v="Vistara"/>
    <n v="6"/>
    <x v="0"/>
    <s v="Vistara customer review"/>
    <x v="1841"/>
    <x v="188"/>
    <s v="28th"/>
    <x v="8"/>
    <x v="7"/>
    <x v="0"/>
  </r>
  <r>
    <s v="Vistara"/>
    <n v="1"/>
    <x v="1"/>
    <s v="&quot;arrogant crew member&quot;"/>
    <x v="1842"/>
    <x v="188"/>
    <s v="28th"/>
    <x v="8"/>
    <x v="7"/>
    <x v="1"/>
  </r>
  <r>
    <s v="Vistara"/>
    <n v="10"/>
    <x v="2"/>
    <s v="&quot;really nice experience&quot;"/>
    <x v="1843"/>
    <x v="188"/>
    <s v="28th"/>
    <x v="8"/>
    <x v="7"/>
    <x v="0"/>
  </r>
  <r>
    <s v="Vistara"/>
    <n v="6"/>
    <x v="0"/>
    <s v="â€œon-board experience is a bit so-soâ€"/>
    <x v="220"/>
    <x v="188"/>
    <s v="28th"/>
    <x v="8"/>
    <x v="7"/>
    <x v="0"/>
  </r>
  <r>
    <s v="Vistara"/>
    <n v="7"/>
    <x v="0"/>
    <s v="&quot;onboard experience was amazing&quot;"/>
    <x v="1844"/>
    <x v="188"/>
    <s v="28th"/>
    <x v="8"/>
    <x v="7"/>
    <x v="0"/>
  </r>
  <r>
    <s v="Vistara"/>
    <n v="1"/>
    <x v="1"/>
    <s v="&quot;Extremely disappointed&quot;"/>
    <x v="1845"/>
    <x v="188"/>
    <s v="28th"/>
    <x v="8"/>
    <x v="7"/>
    <x v="1"/>
  </r>
  <r>
    <s v="Vistara"/>
    <n v="10"/>
    <x v="2"/>
    <s v="&quot;the experience was wonderful&quot;"/>
    <x v="1846"/>
    <x v="188"/>
    <s v="28th"/>
    <x v="8"/>
    <x v="7"/>
    <x v="0"/>
  </r>
  <r>
    <s v="Vistara"/>
    <n v="7"/>
    <x v="0"/>
    <s v="â€œcabin crew were warm and efficientâ€"/>
    <x v="117"/>
    <x v="188"/>
    <s v="28th"/>
    <x v="8"/>
    <x v="7"/>
    <x v="0"/>
  </r>
  <r>
    <s v="Vistara"/>
    <n v="4"/>
    <x v="1"/>
    <s v="&quot;prefer not being served anything&quot;"/>
    <x v="1847"/>
    <x v="188"/>
    <s v="28th"/>
    <x v="8"/>
    <x v="7"/>
    <x v="1"/>
  </r>
  <r>
    <s v="Vistara"/>
    <n v="8"/>
    <x v="2"/>
    <s v="â€œI was thoroughly impressedâ€"/>
    <x v="1848"/>
    <x v="189"/>
    <s v="30th"/>
    <x v="1"/>
    <x v="7"/>
    <x v="0"/>
  </r>
  <r>
    <s v="Vistara"/>
    <n v="10"/>
    <x v="2"/>
    <s v="â€œCrew members very hospitableâ€"/>
    <x v="180"/>
    <x v="189"/>
    <s v="30th"/>
    <x v="1"/>
    <x v="7"/>
    <x v="0"/>
  </r>
  <r>
    <s v="Vistara"/>
    <n v="1"/>
    <x v="1"/>
    <s v="&quot;my request was rejected&quot;"/>
    <x v="1849"/>
    <x v="189"/>
    <s v="30th"/>
    <x v="1"/>
    <x v="7"/>
    <x v="1"/>
  </r>
  <r>
    <s v="Vistara"/>
    <n v="9"/>
    <x v="2"/>
    <s v="&quot;experience has been excellent&quot;"/>
    <x v="1850"/>
    <x v="189"/>
    <s v="30th"/>
    <x v="1"/>
    <x v="7"/>
    <x v="0"/>
  </r>
  <r>
    <s v="Vistara"/>
    <n v="3"/>
    <x v="1"/>
    <s v="&quot;not received compensation&quot;"/>
    <x v="1851"/>
    <x v="189"/>
    <s v="30th"/>
    <x v="1"/>
    <x v="7"/>
    <x v="0"/>
  </r>
  <r>
    <s v="Vistara"/>
    <n v="7"/>
    <x v="0"/>
    <s v="&quot;The flight wasn't bad&quot;"/>
    <x v="1852"/>
    <x v="189"/>
    <s v="30th"/>
    <x v="1"/>
    <x v="7"/>
    <x v="0"/>
  </r>
  <r>
    <s v="Vistara"/>
    <n v="1"/>
    <x v="1"/>
    <s v="&quot;Vistara flights were delayed or either cancelled&quot;"/>
    <x v="1853"/>
    <x v="189"/>
    <s v="30th"/>
    <x v="1"/>
    <x v="7"/>
    <x v="1"/>
  </r>
  <r>
    <s v="Vistara"/>
    <n v="1"/>
    <x v="1"/>
    <s v="â€œairline does not respond at allâ€"/>
    <x v="1854"/>
    <x v="189"/>
    <s v="30th"/>
    <x v="1"/>
    <x v="7"/>
    <x v="1"/>
  </r>
  <r>
    <s v="Vistara"/>
    <n v="1"/>
    <x v="1"/>
    <s v="&quot;A negative experience&quot;"/>
    <x v="1855"/>
    <x v="189"/>
    <s v="30th"/>
    <x v="1"/>
    <x v="7"/>
    <x v="1"/>
  </r>
  <r>
    <s v="Vistara"/>
    <n v="9"/>
    <x v="2"/>
    <s v="&quot;the staff were amazing&quot;"/>
    <x v="1856"/>
    <x v="189"/>
    <s v="30th"/>
    <x v="1"/>
    <x v="7"/>
    <x v="0"/>
  </r>
  <r>
    <s v="Vistara"/>
    <n v="10"/>
    <x v="2"/>
    <s v="&quot;an amazing experience&quot;"/>
    <x v="1857"/>
    <x v="190"/>
    <s v="17th"/>
    <x v="5"/>
    <x v="7"/>
    <x v="0"/>
  </r>
  <r>
    <s v="Vistara"/>
    <n v="1"/>
    <x v="1"/>
    <s v="â€œa mistake indeedâ€"/>
    <x v="81"/>
    <x v="190"/>
    <s v="17th"/>
    <x v="5"/>
    <x v="7"/>
    <x v="1"/>
  </r>
  <r>
    <s v="Vistara"/>
    <n v="1"/>
    <x v="1"/>
    <s v="â€œWorst service everâ€"/>
    <x v="1858"/>
    <x v="190"/>
    <s v="17th"/>
    <x v="5"/>
    <x v="7"/>
    <x v="1"/>
  </r>
  <r>
    <s v="Vistara"/>
    <n v="9"/>
    <x v="2"/>
    <s v="&quot;genuine smiles and positive attitude&quot;"/>
    <x v="1859"/>
    <x v="190"/>
    <s v="17th"/>
    <x v="5"/>
    <x v="7"/>
    <x v="0"/>
  </r>
  <r>
    <s v="Vistara"/>
    <n v="2"/>
    <x v="1"/>
    <s v="&quot;Extremely poor experience2"/>
    <x v="1860"/>
    <x v="190"/>
    <s v="17th"/>
    <x v="5"/>
    <x v="7"/>
    <x v="1"/>
  </r>
  <r>
    <s v="Vistara"/>
    <n v="9"/>
    <x v="2"/>
    <s v="&quot;fly again with this airline&quot;"/>
    <x v="1861"/>
    <x v="190"/>
    <s v="17th"/>
    <x v="5"/>
    <x v="7"/>
    <x v="0"/>
  </r>
  <r>
    <s v="Vistara"/>
    <n v="10"/>
    <x v="2"/>
    <s v="â€œfuture flights only by Vistaraâ€"/>
    <x v="1862"/>
    <x v="190"/>
    <s v="17th"/>
    <x v="5"/>
    <x v="7"/>
    <x v="0"/>
  </r>
  <r>
    <s v="Vistara"/>
    <n v="10"/>
    <x v="2"/>
    <s v="&quot;impeccable service delivery&quot;"/>
    <x v="1863"/>
    <x v="190"/>
    <s v="17th"/>
    <x v="5"/>
    <x v="7"/>
    <x v="0"/>
  </r>
  <r>
    <s v="Vistara"/>
    <n v="10"/>
    <x v="2"/>
    <s v="&quot;happy about the wheelchair service&quot;"/>
    <x v="1864"/>
    <x v="190"/>
    <s v="17th"/>
    <x v="5"/>
    <x v="7"/>
    <x v="0"/>
  </r>
  <r>
    <s v="Vistara"/>
    <n v="1"/>
    <x v="1"/>
    <s v="&quot;the bassinet seats were already sold out&quot;"/>
    <x v="726"/>
    <x v="190"/>
    <s v="17th"/>
    <x v="5"/>
    <x v="7"/>
    <x v="1"/>
  </r>
  <r>
    <s v="Vistara"/>
    <n v="9"/>
    <x v="2"/>
    <s v="&quot;highly recommend this airline&quot;"/>
    <x v="1865"/>
    <x v="191"/>
    <s v="28th"/>
    <x v="6"/>
    <x v="0"/>
    <x v="0"/>
  </r>
  <r>
    <s v="Vistara"/>
    <n v="1"/>
    <x v="1"/>
    <s v="Vistara customer review"/>
    <x v="1866"/>
    <x v="191"/>
    <s v="28th"/>
    <x v="6"/>
    <x v="0"/>
    <x v="1"/>
  </r>
  <r>
    <s v="Vistara"/>
    <n v="9"/>
    <x v="2"/>
    <s v="&quot;served with utmost warmth&quot;"/>
    <x v="1867"/>
    <x v="191"/>
    <s v="28th"/>
    <x v="6"/>
    <x v="0"/>
    <x v="0"/>
  </r>
  <r>
    <s v="Vistara"/>
    <n v="7"/>
    <x v="0"/>
    <s v="&quot;good flight in economy on Vistara&quot;"/>
    <x v="580"/>
    <x v="191"/>
    <s v="28th"/>
    <x v="6"/>
    <x v="0"/>
    <x v="0"/>
  </r>
  <r>
    <s v="Vistara"/>
    <n v="1"/>
    <x v="1"/>
    <s v="&quot;experience has left a lasting negative impression&quot;"/>
    <x v="1868"/>
    <x v="191"/>
    <s v="28th"/>
    <x v="6"/>
    <x v="0"/>
    <x v="1"/>
  </r>
  <r>
    <s v="Vistara"/>
    <n v="6"/>
    <x v="0"/>
    <s v="&quot;disappointed on the return flight&quot;"/>
    <x v="580"/>
    <x v="191"/>
    <s v="28th"/>
    <x v="6"/>
    <x v="0"/>
    <x v="0"/>
  </r>
  <r>
    <s v="Vistara"/>
    <n v="9"/>
    <x v="2"/>
    <s v="&quot;overall a great experience&quot;"/>
    <x v="580"/>
    <x v="191"/>
    <s v="28th"/>
    <x v="6"/>
    <x v="0"/>
    <x v="0"/>
  </r>
  <r>
    <s v="Vistara"/>
    <n v="2"/>
    <x v="1"/>
    <s v="&quot;$70 for a slightly larger carry on&quot;"/>
    <x v="1869"/>
    <x v="191"/>
    <s v="28th"/>
    <x v="6"/>
    <x v="0"/>
    <x v="1"/>
  </r>
  <r>
    <s v="Vistara"/>
    <n v="3"/>
    <x v="1"/>
    <s v="&quot;I was completely dissatisfied&quot;"/>
    <x v="1870"/>
    <x v="191"/>
    <s v="28th"/>
    <x v="6"/>
    <x v="0"/>
    <x v="1"/>
  </r>
  <r>
    <s v="Vistara"/>
    <n v="10"/>
    <x v="2"/>
    <s v="&quot;She was extremely hospitable&quot;"/>
    <x v="1871"/>
    <x v="191"/>
    <s v="28th"/>
    <x v="6"/>
    <x v="0"/>
    <x v="0"/>
  </r>
  <r>
    <s v="Vistara"/>
    <n v="3"/>
    <x v="1"/>
    <s v="&quot;Very bad experience&quot;"/>
    <x v="1872"/>
    <x v="192"/>
    <s v="25th"/>
    <x v="2"/>
    <x v="0"/>
    <x v="1"/>
  </r>
  <r>
    <s v="Vistara"/>
    <n v="4"/>
    <x v="1"/>
    <s v="&quot;expect better from a reputed airline&quot;"/>
    <x v="1873"/>
    <x v="192"/>
    <s v="25th"/>
    <x v="2"/>
    <x v="0"/>
    <x v="1"/>
  </r>
  <r>
    <s v="Vistara"/>
    <n v="10"/>
    <x v="2"/>
    <s v="&quot;all the best wishes to Vistara&quot;"/>
    <x v="1874"/>
    <x v="192"/>
    <s v="25th"/>
    <x v="2"/>
    <x v="0"/>
    <x v="0"/>
  </r>
  <r>
    <s v="Vistara"/>
    <n v="1"/>
    <x v="1"/>
    <s v="&quot;Terrible service customer service&quot;"/>
    <x v="255"/>
    <x v="192"/>
    <s v="25th"/>
    <x v="2"/>
    <x v="0"/>
    <x v="1"/>
  </r>
  <r>
    <s v="Vistara"/>
    <n v="8"/>
    <x v="2"/>
    <s v="&quot;Onboard service was outstanding&quot;"/>
    <x v="1875"/>
    <x v="192"/>
    <s v="25th"/>
    <x v="2"/>
    <x v="0"/>
    <x v="0"/>
  </r>
  <r>
    <s v="Vistara"/>
    <n v="10"/>
    <x v="2"/>
    <s v="&quot;very good service&quot;"/>
    <x v="1876"/>
    <x v="192"/>
    <s v="25th"/>
    <x v="2"/>
    <x v="0"/>
    <x v="0"/>
  </r>
  <r>
    <s v="Vistara"/>
    <n v="2"/>
    <x v="1"/>
    <s v="&quot;took it from me saying that it's dangerous&quot;"/>
    <x v="1877"/>
    <x v="192"/>
    <s v="25th"/>
    <x v="2"/>
    <x v="0"/>
    <x v="1"/>
  </r>
  <r>
    <s v="Vistara"/>
    <n v="1"/>
    <x v="1"/>
    <s v="&quot;Refund us and do the right thing&quot;"/>
    <x v="1878"/>
    <x v="192"/>
    <s v="25th"/>
    <x v="2"/>
    <x v="0"/>
    <x v="1"/>
  </r>
  <r>
    <s v="Vistara"/>
    <n v="1"/>
    <x v="1"/>
    <s v="&quot;gave access to lounge for 2 hours&quot;"/>
    <x v="1879"/>
    <x v="192"/>
    <s v="25th"/>
    <x v="2"/>
    <x v="0"/>
    <x v="1"/>
  </r>
  <r>
    <s v="Vistara"/>
    <n v="2"/>
    <x v="1"/>
    <s v="&quot;Service was really bad&quot;"/>
    <x v="81"/>
    <x v="192"/>
    <s v="25th"/>
    <x v="2"/>
    <x v="0"/>
    <x v="1"/>
  </r>
  <r>
    <s v="Vistara"/>
    <n v="10"/>
    <x v="2"/>
    <s v="&quot;service was truly excellent&quot;"/>
    <x v="1880"/>
    <x v="193"/>
    <s v="14th"/>
    <x v="8"/>
    <x v="0"/>
    <x v="0"/>
  </r>
  <r>
    <s v="Vistara"/>
    <n v="7"/>
    <x v="0"/>
    <s v="&quot;neat &amp; tidy cabin&quot;"/>
    <x v="1881"/>
    <x v="193"/>
    <s v="14th"/>
    <x v="8"/>
    <x v="0"/>
    <x v="0"/>
  </r>
  <r>
    <s v="Vistara"/>
    <n v="1"/>
    <x v="1"/>
    <s v="&quot;customer retention is not a priority&quot;"/>
    <x v="1882"/>
    <x v="193"/>
    <s v="14th"/>
    <x v="8"/>
    <x v="0"/>
    <x v="1"/>
  </r>
  <r>
    <s v="Vistara"/>
    <n v="8"/>
    <x v="2"/>
    <s v="&quot;staff cheerful, professional and warm&quot;"/>
    <x v="1883"/>
    <x v="193"/>
    <s v="14th"/>
    <x v="8"/>
    <x v="0"/>
    <x v="0"/>
  </r>
  <r>
    <s v="Vistara"/>
    <n v="10"/>
    <x v="2"/>
    <s v="&quot;Onboard service was excellent&quot;"/>
    <x v="1875"/>
    <x v="193"/>
    <s v="14th"/>
    <x v="8"/>
    <x v="0"/>
    <x v="0"/>
  </r>
  <r>
    <s v="Vistara"/>
    <n v="8"/>
    <x v="2"/>
    <s v="&quot;Overall a fantastic experience&quot;"/>
    <x v="580"/>
    <x v="193"/>
    <s v="14th"/>
    <x v="8"/>
    <x v="0"/>
    <x v="0"/>
  </r>
  <r>
    <s v="Vistara"/>
    <n v="1"/>
    <x v="1"/>
    <s v="&quot;Worst experience&quot;"/>
    <x v="1884"/>
    <x v="193"/>
    <s v="14th"/>
    <x v="8"/>
    <x v="0"/>
    <x v="1"/>
  </r>
  <r>
    <s v="Vistara"/>
    <n v="5"/>
    <x v="0"/>
    <s v="&quot;happy to be back in the air&quot;"/>
    <x v="1885"/>
    <x v="193"/>
    <s v="14th"/>
    <x v="8"/>
    <x v="0"/>
    <x v="0"/>
  </r>
  <r>
    <s v="Vistara"/>
    <n v="1"/>
    <x v="1"/>
    <s v="&quot;utterly awful experience&quot;"/>
    <x v="1886"/>
    <x v="193"/>
    <s v="14th"/>
    <x v="8"/>
    <x v="0"/>
    <x v="1"/>
  </r>
  <r>
    <s v="Vistara"/>
    <n v="10"/>
    <x v="2"/>
    <s v="&quot;Great experience&quot;"/>
    <x v="1887"/>
    <x v="193"/>
    <s v="14th"/>
    <x v="8"/>
    <x v="0"/>
    <x v="0"/>
  </r>
  <r>
    <s v="Vistara"/>
    <n v="1"/>
    <x v="1"/>
    <s v="&quot;better options are available&quot;"/>
    <x v="1888"/>
    <x v="36"/>
    <s v="14th"/>
    <x v="3"/>
    <x v="0"/>
    <x v="1"/>
  </r>
  <r>
    <s v="Vistara"/>
    <n v="1"/>
    <x v="1"/>
    <s v="&quot;first preference would be Vistara&quot;"/>
    <x v="1889"/>
    <x v="36"/>
    <s v="14th"/>
    <x v="3"/>
    <x v="0"/>
    <x v="0"/>
  </r>
  <r>
    <s v="Vistara"/>
    <n v="9"/>
    <x v="2"/>
    <s v="&quot;thanks for the good service&quot;"/>
    <x v="1890"/>
    <x v="36"/>
    <s v="14th"/>
    <x v="3"/>
    <x v="0"/>
    <x v="0"/>
  </r>
  <r>
    <s v="Vistara"/>
    <n v="10"/>
    <x v="2"/>
    <s v="&quot;appreciate these kind efforts&quot;"/>
    <x v="1891"/>
    <x v="36"/>
    <s v="14th"/>
    <x v="3"/>
    <x v="0"/>
    <x v="0"/>
  </r>
  <r>
    <s v="Vistara"/>
    <n v="10"/>
    <x v="2"/>
    <s v="&quot;a wonderful experience&quot;"/>
    <x v="1892"/>
    <x v="36"/>
    <s v="14th"/>
    <x v="3"/>
    <x v="0"/>
    <x v="0"/>
  </r>
  <r>
    <s v="Vistara"/>
    <n v="9"/>
    <x v="2"/>
    <s v="&quot;service given was excellent&quot;"/>
    <x v="1893"/>
    <x v="36"/>
    <s v="14th"/>
    <x v="3"/>
    <x v="0"/>
    <x v="0"/>
  </r>
  <r>
    <s v="Vistara"/>
    <n v="10"/>
    <x v="2"/>
    <s v="&quot;treat you like a valued customer&quot;"/>
    <x v="765"/>
    <x v="36"/>
    <s v="14th"/>
    <x v="3"/>
    <x v="0"/>
    <x v="0"/>
  </r>
  <r>
    <s v="Vistara"/>
    <n v="2"/>
    <x v="1"/>
    <s v="&quot;Worst experience I have ever had&quot;"/>
    <x v="1894"/>
    <x v="36"/>
    <s v="14th"/>
    <x v="3"/>
    <x v="0"/>
    <x v="1"/>
  </r>
  <r>
    <s v="Vistara"/>
    <n v="10"/>
    <x v="2"/>
    <s v="&quot;thank the staff of Vistara&quot;"/>
    <x v="1895"/>
    <x v="36"/>
    <s v="14th"/>
    <x v="3"/>
    <x v="0"/>
    <x v="0"/>
  </r>
  <r>
    <s v="Vistara"/>
    <n v="4"/>
    <x v="1"/>
    <s v="&quot;extra for Premium is not really worth it&quot;"/>
    <x v="1896"/>
    <x v="36"/>
    <s v="14th"/>
    <x v="3"/>
    <x v="0"/>
    <x v="1"/>
  </r>
  <r>
    <s v="Vistara"/>
    <n v="10"/>
    <x v="2"/>
    <s v="&quot;Excellent food, kind staff&quot;"/>
    <x v="1897"/>
    <x v="194"/>
    <s v="11th"/>
    <x v="1"/>
    <x v="0"/>
    <x v="0"/>
  </r>
  <r>
    <s v="Vistara"/>
    <n v="2"/>
    <x v="1"/>
    <s v="&quot;service and food are relatively decent&quot;"/>
    <x v="1898"/>
    <x v="194"/>
    <s v="11th"/>
    <x v="1"/>
    <x v="0"/>
    <x v="1"/>
  </r>
  <r>
    <s v="Vistara"/>
    <n v="2"/>
    <x v="1"/>
    <s v="&quot;our worst flight experience&quot;"/>
    <x v="1899"/>
    <x v="194"/>
    <s v="11th"/>
    <x v="1"/>
    <x v="0"/>
    <x v="1"/>
  </r>
  <r>
    <s v="Vistara"/>
    <n v="1"/>
    <x v="1"/>
    <s v="&quot;Very disappointing customer management&quot;"/>
    <x v="1900"/>
    <x v="194"/>
    <s v="11th"/>
    <x v="1"/>
    <x v="0"/>
    <x v="1"/>
  </r>
  <r>
    <s v="Vistara"/>
    <n v="2"/>
    <x v="1"/>
    <s v="&quot;Vistara is seriously lacking&quot;"/>
    <x v="1901"/>
    <x v="194"/>
    <s v="11th"/>
    <x v="1"/>
    <x v="0"/>
    <x v="1"/>
  </r>
  <r>
    <s v="Vistara"/>
    <n v="10"/>
    <x v="2"/>
    <s v="&quot;definitely fly again with Vistara&quot;"/>
    <x v="1902"/>
    <x v="194"/>
    <s v="11th"/>
    <x v="1"/>
    <x v="0"/>
    <x v="0"/>
  </r>
  <r>
    <s v="Vistara"/>
    <n v="10"/>
    <x v="2"/>
    <s v="&quot;comfortable and a nice experience&quot;"/>
    <x v="1021"/>
    <x v="194"/>
    <s v="11th"/>
    <x v="1"/>
    <x v="0"/>
    <x v="0"/>
  </r>
  <r>
    <s v="Vistara"/>
    <n v="10"/>
    <x v="2"/>
    <s v="&quot;I am extremely impressed by their work&quot;"/>
    <x v="1903"/>
    <x v="194"/>
    <s v="11th"/>
    <x v="1"/>
    <x v="0"/>
    <x v="0"/>
  </r>
  <r>
    <s v="Vistara"/>
    <n v="9"/>
    <x v="2"/>
    <s v="&quot;very good experience with Vistara&quot;"/>
    <x v="1904"/>
    <x v="194"/>
    <s v="11th"/>
    <x v="1"/>
    <x v="0"/>
    <x v="0"/>
  </r>
  <r>
    <s v="Vistara"/>
    <n v="10"/>
    <x v="2"/>
    <s v="&quot;Great experience&quot;"/>
    <x v="1905"/>
    <x v="194"/>
    <s v="11th"/>
    <x v="1"/>
    <x v="0"/>
    <x v="0"/>
  </r>
  <r>
    <s v="Vistara"/>
    <n v="7"/>
    <x v="0"/>
    <s v="&quot;crew friendly and resourceful&quot;"/>
    <x v="1906"/>
    <x v="104"/>
    <s v="19th"/>
    <x v="11"/>
    <x v="0"/>
    <x v="0"/>
  </r>
  <r>
    <s v="Vistara"/>
    <n v="10"/>
    <x v="2"/>
    <s v="&quot;Super impressed with the service&quot;"/>
    <x v="1907"/>
    <x v="104"/>
    <s v="19th"/>
    <x v="11"/>
    <x v="0"/>
    <x v="0"/>
  </r>
  <r>
    <s v="Vistara"/>
    <n v="10"/>
    <x v="2"/>
    <s v="&quot;one of the great airlines&quot;"/>
    <x v="1908"/>
    <x v="104"/>
    <s v="19th"/>
    <x v="11"/>
    <x v="0"/>
    <x v="0"/>
  </r>
  <r>
    <s v="Vistara"/>
    <n v="6"/>
    <x v="0"/>
    <s v="&quot;cabin crew were courteous&quot;"/>
    <x v="12"/>
    <x v="104"/>
    <s v="19th"/>
    <x v="11"/>
    <x v="0"/>
    <x v="0"/>
  </r>
  <r>
    <s v="Vistara"/>
    <n v="10"/>
    <x v="2"/>
    <s v="&quot;totally loved the flight service&quot;"/>
    <x v="1909"/>
    <x v="104"/>
    <s v="19th"/>
    <x v="11"/>
    <x v="0"/>
    <x v="0"/>
  </r>
  <r>
    <s v="Vistara"/>
    <n v="3"/>
    <x v="1"/>
    <s v="&quot;ground staff is so rude and ignorant&quot;"/>
    <x v="1910"/>
    <x v="104"/>
    <s v="19th"/>
    <x v="11"/>
    <x v="0"/>
    <x v="1"/>
  </r>
  <r>
    <s v="Vistara"/>
    <n v="10"/>
    <x v="2"/>
    <s v="&quot;Another flawless flight&quot;"/>
    <x v="1875"/>
    <x v="104"/>
    <s v="19th"/>
    <x v="11"/>
    <x v="0"/>
    <x v="0"/>
  </r>
  <r>
    <s v="Vistara"/>
    <n v="10"/>
    <x v="2"/>
    <s v="&quot;the finest premium experience&quot;"/>
    <x v="1875"/>
    <x v="104"/>
    <s v="19th"/>
    <x v="11"/>
    <x v="0"/>
    <x v="0"/>
  </r>
  <r>
    <s v="Vistara"/>
    <n v="2"/>
    <x v="1"/>
    <s v="&quot;experience was extremely disappointing&quot;"/>
    <x v="1911"/>
    <x v="104"/>
    <s v="19th"/>
    <x v="11"/>
    <x v="0"/>
    <x v="1"/>
  </r>
  <r>
    <s v="Vistara"/>
    <n v="8"/>
    <x v="2"/>
    <s v="&quot;Good experience&quot;"/>
    <x v="12"/>
    <x v="104"/>
    <s v="19th"/>
    <x v="11"/>
    <x v="0"/>
    <x v="0"/>
  </r>
  <r>
    <s v="Vistara"/>
    <n v="4"/>
    <x v="1"/>
    <s v="&quot;return flight was considerably better&quot;"/>
    <x v="1912"/>
    <x v="195"/>
    <s v="4th"/>
    <x v="0"/>
    <x v="1"/>
    <x v="1"/>
  </r>
  <r>
    <s v="Vistara"/>
    <n v="8"/>
    <x v="2"/>
    <s v="&quot;Good experience&quot;"/>
    <x v="12"/>
    <x v="195"/>
    <s v="4th"/>
    <x v="0"/>
    <x v="1"/>
    <x v="0"/>
  </r>
  <r>
    <s v="Vistara"/>
    <n v="8"/>
    <x v="2"/>
    <s v="&quot;Service was good&quot;"/>
    <x v="12"/>
    <x v="195"/>
    <s v="4th"/>
    <x v="0"/>
    <x v="1"/>
    <x v="0"/>
  </r>
  <r>
    <s v="Vistara"/>
    <n v="8"/>
    <x v="2"/>
    <s v="&quot;the experience was amazing&quot;"/>
    <x v="514"/>
    <x v="195"/>
    <s v="4th"/>
    <x v="0"/>
    <x v="1"/>
    <x v="0"/>
  </r>
  <r>
    <s v="Vistara"/>
    <n v="10"/>
    <x v="2"/>
    <s v="&quot;Overall a good experience&quot;"/>
    <x v="12"/>
    <x v="195"/>
    <s v="4th"/>
    <x v="0"/>
    <x v="1"/>
    <x v="0"/>
  </r>
  <r>
    <s v="Vistara"/>
    <n v="7"/>
    <x v="0"/>
    <s v="&quot;Good experience&quot;"/>
    <x v="12"/>
    <x v="195"/>
    <s v="4th"/>
    <x v="0"/>
    <x v="1"/>
    <x v="0"/>
  </r>
  <r>
    <s v="Vistara"/>
    <n v="7"/>
    <x v="0"/>
    <s v="&quot;overall good experience&quot;"/>
    <x v="12"/>
    <x v="195"/>
    <s v="4th"/>
    <x v="0"/>
    <x v="1"/>
    <x v="0"/>
  </r>
  <r>
    <s v="Vistara"/>
    <n v="9"/>
    <x v="2"/>
    <s v="&quot;I would definitely recommend it&quot;"/>
    <x v="1913"/>
    <x v="195"/>
    <s v="4th"/>
    <x v="0"/>
    <x v="1"/>
    <x v="0"/>
  </r>
  <r>
    <s v="Vistara"/>
    <n v="6"/>
    <x v="0"/>
    <s v="&quot;nothing to complain&quot;"/>
    <x v="12"/>
    <x v="195"/>
    <s v="4th"/>
    <x v="0"/>
    <x v="1"/>
    <x v="0"/>
  </r>
  <r>
    <s v="Vistara"/>
    <n v="5"/>
    <x v="0"/>
    <s v="&quot;Not a good experience&quot;"/>
    <x v="12"/>
    <x v="195"/>
    <s v="4th"/>
    <x v="0"/>
    <x v="1"/>
    <x v="1"/>
  </r>
  <r>
    <s v="Vistara"/>
    <n v="9"/>
    <x v="2"/>
    <s v="&quot;A really professional service&quot;"/>
    <x v="1914"/>
    <x v="196"/>
    <s v="4th"/>
    <x v="8"/>
    <x v="1"/>
    <x v="0"/>
  </r>
  <r>
    <s v="Vistara"/>
    <n v="2"/>
    <x v="1"/>
    <s v="&quot;had to shift weight from my hand baggage&quot;"/>
    <x v="1915"/>
    <x v="196"/>
    <s v="4th"/>
    <x v="8"/>
    <x v="1"/>
    <x v="1"/>
  </r>
  <r>
    <s v="Vistara"/>
    <n v="6"/>
    <x v="0"/>
    <s v="&quot;soft product was found to be wanting&quot;"/>
    <x v="1916"/>
    <x v="196"/>
    <s v="4th"/>
    <x v="8"/>
    <x v="1"/>
    <x v="0"/>
  </r>
  <r>
    <s v="Vistara"/>
    <n v="10"/>
    <x v="2"/>
    <s v="&quot;a very pleasant experience&quot;"/>
    <x v="1917"/>
    <x v="196"/>
    <s v="4th"/>
    <x v="8"/>
    <x v="1"/>
    <x v="0"/>
  </r>
  <r>
    <s v="Vistara"/>
    <n v="10"/>
    <x v="2"/>
    <s v="&quot;a completely wonderful experience&quot;"/>
    <x v="1918"/>
    <x v="196"/>
    <s v="4th"/>
    <x v="8"/>
    <x v="1"/>
    <x v="0"/>
  </r>
  <r>
    <s v="Vistara"/>
    <n v="1"/>
    <x v="1"/>
    <s v="&quot;don't travel on Vistara&quot;"/>
    <x v="1919"/>
    <x v="196"/>
    <s v="4th"/>
    <x v="8"/>
    <x v="1"/>
    <x v="1"/>
  </r>
  <r>
    <s v="Vistara"/>
    <n v="2"/>
    <x v="1"/>
    <s v="&quot;It was a joke&quot;"/>
    <x v="1920"/>
    <x v="196"/>
    <s v="4th"/>
    <x v="8"/>
    <x v="1"/>
    <x v="0"/>
  </r>
  <r>
    <s v="Vistara"/>
    <n v="2"/>
    <x v="1"/>
    <s v="&quot;I am dreading my flight back to London&quot;"/>
    <x v="1921"/>
    <x v="196"/>
    <s v="4th"/>
    <x v="8"/>
    <x v="1"/>
    <x v="1"/>
  </r>
  <r>
    <s v="Vistara"/>
    <n v="1"/>
    <x v="1"/>
    <s v="&quot;accidentally booked 15 kgs of extra Luggage&quot;"/>
    <x v="1922"/>
    <x v="196"/>
    <s v="4th"/>
    <x v="8"/>
    <x v="1"/>
    <x v="1"/>
  </r>
  <r>
    <s v="Vistara"/>
    <n v="10"/>
    <x v="2"/>
    <s v="&quot;Fly with Vistara, they are the best&quot;"/>
    <x v="1923"/>
    <x v="196"/>
    <s v="4th"/>
    <x v="8"/>
    <x v="1"/>
    <x v="0"/>
  </r>
  <r>
    <s v="Vistara"/>
    <n v="10"/>
    <x v="2"/>
    <s v="&quot;I loved the experience flying Vistara&quot;"/>
    <x v="1924"/>
    <x v="197"/>
    <s v="5th"/>
    <x v="3"/>
    <x v="1"/>
    <x v="0"/>
  </r>
  <r>
    <s v="Vistara"/>
    <n v="10"/>
    <x v="2"/>
    <s v="&quot;Got me to the check in counter in time&quot;"/>
    <x v="1925"/>
    <x v="197"/>
    <s v="5th"/>
    <x v="3"/>
    <x v="1"/>
    <x v="0"/>
  </r>
  <r>
    <s v="Vistara"/>
    <n v="6"/>
    <x v="0"/>
    <s v="&quot;interested in blame deflection&quot;"/>
    <x v="1926"/>
    <x v="197"/>
    <s v="5th"/>
    <x v="3"/>
    <x v="1"/>
    <x v="1"/>
  </r>
  <r>
    <s v="Vistara"/>
    <n v="3"/>
    <x v="1"/>
    <s v="&quot;Very poor website for check-in&quot;"/>
    <x v="1927"/>
    <x v="197"/>
    <s v="5th"/>
    <x v="3"/>
    <x v="1"/>
    <x v="1"/>
  </r>
  <r>
    <s v="Vistara"/>
    <n v="10"/>
    <x v="2"/>
    <s v="&quot;very helpful and informative&quot;"/>
    <x v="1928"/>
    <x v="197"/>
    <s v="5th"/>
    <x v="3"/>
    <x v="1"/>
    <x v="0"/>
  </r>
  <r>
    <s v="Vistara"/>
    <n v="9"/>
    <x v="2"/>
    <s v="&quot;really help a lot to get it clear&quot;"/>
    <x v="960"/>
    <x v="197"/>
    <s v="5th"/>
    <x v="3"/>
    <x v="1"/>
    <x v="0"/>
  </r>
  <r>
    <s v="Vistara"/>
    <n v="8"/>
    <x v="2"/>
    <s v="&quot;service was excellent and consistent&quot;"/>
    <x v="1929"/>
    <x v="197"/>
    <s v="5th"/>
    <x v="3"/>
    <x v="1"/>
    <x v="0"/>
  </r>
  <r>
    <s v="Vistara"/>
    <n v="5"/>
    <x v="0"/>
    <s v="&quot;crew members are amazingly well mannered&quot;"/>
    <x v="1930"/>
    <x v="197"/>
    <s v="5th"/>
    <x v="3"/>
    <x v="1"/>
    <x v="0"/>
  </r>
  <r>
    <s v="Vistara"/>
    <n v="8"/>
    <x v="2"/>
    <s v="&quot;Flight was good and staff excellent&quot;"/>
    <x v="1931"/>
    <x v="197"/>
    <s v="5th"/>
    <x v="3"/>
    <x v="1"/>
    <x v="0"/>
  </r>
  <r>
    <s v="Vistara"/>
    <n v="6"/>
    <x v="0"/>
    <s v="&quot;Service with a smile, lots of patience&quot;"/>
    <x v="1932"/>
    <x v="197"/>
    <s v="5th"/>
    <x v="3"/>
    <x v="1"/>
    <x v="0"/>
  </r>
  <r>
    <s v="Vistara"/>
    <n v="10"/>
    <x v="2"/>
    <s v="&quot;Very kind staff&quot;"/>
    <x v="1933"/>
    <x v="198"/>
    <s v="1st"/>
    <x v="1"/>
    <x v="1"/>
    <x v="0"/>
  </r>
  <r>
    <s v="Vistara"/>
    <n v="7"/>
    <x v="0"/>
    <s v="&quot;Overall good experience&quot;"/>
    <x v="12"/>
    <x v="198"/>
    <s v="1st"/>
    <x v="1"/>
    <x v="1"/>
    <x v="0"/>
  </r>
  <r>
    <s v="Vistara"/>
    <n v="3"/>
    <x v="1"/>
    <s v="&quot;avoid booking their B737&quot;"/>
    <x v="12"/>
    <x v="198"/>
    <s v="1st"/>
    <x v="1"/>
    <x v="1"/>
    <x v="1"/>
  </r>
  <r>
    <s v="Vistara"/>
    <n v="10"/>
    <x v="2"/>
    <s v="&quot;professional and welcoming&quot;"/>
    <x v="1934"/>
    <x v="198"/>
    <s v="1st"/>
    <x v="1"/>
    <x v="1"/>
    <x v="0"/>
  </r>
  <r>
    <s v="Vistara"/>
    <n v="9"/>
    <x v="2"/>
    <s v="&quot;onboard experience for these short flights is top notch&quot;"/>
    <x v="1875"/>
    <x v="198"/>
    <s v="1st"/>
    <x v="1"/>
    <x v="1"/>
    <x v="0"/>
  </r>
  <r>
    <s v="Vistara"/>
    <n v="1"/>
    <x v="1"/>
    <s v="&quot;Customer service is pathetic&quot;"/>
    <x v="1935"/>
    <x v="198"/>
    <s v="1st"/>
    <x v="1"/>
    <x v="1"/>
    <x v="1"/>
  </r>
  <r>
    <s v="Vistara"/>
    <n v="2"/>
    <x v="1"/>
    <s v="&quot;no welcome Champagne&quot;"/>
    <x v="1936"/>
    <x v="198"/>
    <s v="1st"/>
    <x v="1"/>
    <x v="1"/>
    <x v="1"/>
  </r>
  <r>
    <s v="Vistara"/>
    <n v="10"/>
    <x v="2"/>
    <s v="&quot;Best ever airline I have seen&quot;"/>
    <x v="1937"/>
    <x v="198"/>
    <s v="1st"/>
    <x v="1"/>
    <x v="1"/>
    <x v="0"/>
  </r>
  <r>
    <s v="Vistara"/>
    <n v="9"/>
    <x v="2"/>
    <s v="&quot; on-board experience is top notch&quot;"/>
    <x v="1875"/>
    <x v="198"/>
    <s v="1st"/>
    <x v="1"/>
    <x v="1"/>
    <x v="0"/>
  </r>
  <r>
    <s v="Vistara"/>
    <n v="10"/>
    <x v="2"/>
    <s v="&quot;These little gestures make the world just a bit more livable&quot;"/>
    <x v="1938"/>
    <x v="198"/>
    <s v="1st"/>
    <x v="1"/>
    <x v="1"/>
    <x v="0"/>
  </r>
  <r>
    <s v="Vistara"/>
    <n v="10"/>
    <x v="2"/>
    <s v="&quot;Awesome flight Experience&quot;"/>
    <x v="1939"/>
    <x v="199"/>
    <s v="26th"/>
    <x v="6"/>
    <x v="2"/>
    <x v="0"/>
  </r>
  <r>
    <s v="Vistara"/>
    <n v="1"/>
    <x v="1"/>
    <s v="&quot;Awful service experience&quot;"/>
    <x v="1940"/>
    <x v="199"/>
    <s v="26th"/>
    <x v="6"/>
    <x v="2"/>
    <x v="1"/>
  </r>
  <r>
    <s v="Vistara"/>
    <n v="9"/>
    <x v="2"/>
    <s v="&quot;flight was excellent&quot;"/>
    <x v="252"/>
    <x v="199"/>
    <s v="26th"/>
    <x v="6"/>
    <x v="2"/>
    <x v="0"/>
  </r>
  <r>
    <s v="Vistara"/>
    <n v="2"/>
    <x v="1"/>
    <s v="&quot;asked me to book a new ticket&quot;"/>
    <x v="1941"/>
    <x v="199"/>
    <s v="26th"/>
    <x v="6"/>
    <x v="2"/>
    <x v="1"/>
  </r>
  <r>
    <s v="Vistara"/>
    <n v="10"/>
    <x v="2"/>
    <s v="&quot;wonderful flying experience&quot;"/>
    <x v="1942"/>
    <x v="199"/>
    <s v="26th"/>
    <x v="6"/>
    <x v="2"/>
    <x v="0"/>
  </r>
  <r>
    <s v="Vistara"/>
    <n v="10"/>
    <x v="2"/>
    <s v="&quot;the crew was good&quot;"/>
    <x v="1943"/>
    <x v="199"/>
    <s v="26th"/>
    <x v="6"/>
    <x v="2"/>
    <x v="0"/>
  </r>
  <r>
    <s v="Vistara"/>
    <n v="10"/>
    <x v="2"/>
    <s v="&quot;Vistara was a fantastic experience&quot;"/>
    <x v="681"/>
    <x v="199"/>
    <s v="26th"/>
    <x v="6"/>
    <x v="2"/>
    <x v="0"/>
  </r>
  <r>
    <s v="Vistara"/>
    <n v="6"/>
    <x v="0"/>
    <s v="&quot;disappointed with Vistaraâ€™s in-flight food&quot;"/>
    <x v="1944"/>
    <x v="199"/>
    <s v="26th"/>
    <x v="6"/>
    <x v="2"/>
    <x v="1"/>
  </r>
  <r>
    <s v="Vistara"/>
    <n v="9"/>
    <x v="2"/>
    <s v="&quot;very pleasant travel experience&quot;"/>
    <x v="1945"/>
    <x v="199"/>
    <s v="26th"/>
    <x v="6"/>
    <x v="2"/>
    <x v="0"/>
  </r>
  <r>
    <s v="Vistara"/>
    <n v="1"/>
    <x v="1"/>
    <s v="&quot;insisted me to pay Â£160 to check it in&quot;"/>
    <x v="1946"/>
    <x v="199"/>
    <s v="26th"/>
    <x v="6"/>
    <x v="2"/>
    <x v="1"/>
  </r>
  <r>
    <s v="Vistara"/>
    <n v="1"/>
    <x v="1"/>
    <s v="&quot;Never again Vistara!&quot;"/>
    <x v="1947"/>
    <x v="200"/>
    <s v="15th"/>
    <x v="7"/>
    <x v="2"/>
    <x v="1"/>
  </r>
  <r>
    <s v="Vistara"/>
    <n v="9"/>
    <x v="2"/>
    <s v="&quot;eager to help and nothing was trouble at all&quot;"/>
    <x v="1948"/>
    <x v="200"/>
    <s v="15th"/>
    <x v="7"/>
    <x v="2"/>
    <x v="0"/>
  </r>
  <r>
    <s v="Vistara"/>
    <n v="2"/>
    <x v="1"/>
    <s v="&quot;I had missed my flight&quot;"/>
    <x v="1949"/>
    <x v="200"/>
    <s v="15th"/>
    <x v="7"/>
    <x v="2"/>
    <x v="1"/>
  </r>
  <r>
    <s v="Vistara"/>
    <n v="9"/>
    <x v="2"/>
    <s v="&quot;amazing service and new aircraft&quot;"/>
    <x v="1950"/>
    <x v="200"/>
    <s v="15th"/>
    <x v="7"/>
    <x v="2"/>
    <x v="0"/>
  </r>
  <r>
    <s v="Vistara"/>
    <n v="8"/>
    <x v="2"/>
    <s v="&quot;In flight service was good&quot;"/>
    <x v="12"/>
    <x v="200"/>
    <s v="15th"/>
    <x v="7"/>
    <x v="2"/>
    <x v="0"/>
  </r>
  <r>
    <s v="Vistara"/>
    <n v="9"/>
    <x v="2"/>
    <s v="&quot;Not a pleasant experience&quot;"/>
    <x v="12"/>
    <x v="200"/>
    <s v="15th"/>
    <x v="7"/>
    <x v="2"/>
    <x v="0"/>
  </r>
  <r>
    <s v="Vistara"/>
    <n v="1"/>
    <x v="1"/>
    <s v="&quot;no option other than to pay up&quot;"/>
    <x v="1951"/>
    <x v="200"/>
    <s v="15th"/>
    <x v="7"/>
    <x v="2"/>
    <x v="1"/>
  </r>
  <r>
    <s v="Vistara"/>
    <n v="9"/>
    <x v="2"/>
    <s v="&quot;expect an outstanding onboard experience&quot;"/>
    <x v="1875"/>
    <x v="200"/>
    <s v="15th"/>
    <x v="7"/>
    <x v="2"/>
    <x v="0"/>
  </r>
  <r>
    <s v="Vistara"/>
    <n v="8"/>
    <x v="2"/>
    <s v="&quot;service onboard was flawless&quot;"/>
    <x v="1875"/>
    <x v="200"/>
    <s v="15th"/>
    <x v="7"/>
    <x v="2"/>
    <x v="0"/>
  </r>
  <r>
    <s v="Vistara"/>
    <n v="10"/>
    <x v="2"/>
    <s v="&quot;I was very impressed&quot;"/>
    <x v="34"/>
    <x v="200"/>
    <s v="15th"/>
    <x v="7"/>
    <x v="2"/>
    <x v="0"/>
  </r>
  <r>
    <s v="Vistara"/>
    <n v="2"/>
    <x v="1"/>
    <s v="&quot;non availability of bus&quot;"/>
    <x v="1952"/>
    <x v="201"/>
    <s v="29th"/>
    <x v="6"/>
    <x v="3"/>
    <x v="1"/>
  </r>
  <r>
    <s v="Vistara"/>
    <n v="1"/>
    <x v="1"/>
    <s v="&quot;COVID test has to be provided&quot;"/>
    <x v="1953"/>
    <x v="201"/>
    <s v="29th"/>
    <x v="6"/>
    <x v="3"/>
    <x v="1"/>
  </r>
  <r>
    <s v="Vistara"/>
    <n v="10"/>
    <x v="2"/>
    <s v="&quot;customer service is superb&quot;"/>
    <x v="1954"/>
    <x v="201"/>
    <s v="29th"/>
    <x v="6"/>
    <x v="3"/>
    <x v="0"/>
  </r>
  <r>
    <s v="Vistara"/>
    <n v="1"/>
    <x v="1"/>
    <s v="&quot;had only 5 kg of excess luggage&quot;"/>
    <x v="1955"/>
    <x v="201"/>
    <s v="29th"/>
    <x v="6"/>
    <x v="3"/>
    <x v="1"/>
  </r>
  <r>
    <s v="Vistara"/>
    <n v="1"/>
    <x v="1"/>
    <s v="&quot;will not refund my money&quot;"/>
    <x v="1956"/>
    <x v="201"/>
    <s v="29th"/>
    <x v="6"/>
    <x v="3"/>
    <x v="1"/>
  </r>
  <r>
    <s v="Vistara"/>
    <n v="1"/>
    <x v="1"/>
    <s v="&quot;charged a fee for the refund&quot;"/>
    <x v="1957"/>
    <x v="201"/>
    <s v="29th"/>
    <x v="6"/>
    <x v="3"/>
    <x v="1"/>
  </r>
  <r>
    <s v="Vistara"/>
    <n v="1"/>
    <x v="1"/>
    <s v="&quot;don't give us our refund&quot;"/>
    <x v="1958"/>
    <x v="201"/>
    <s v="29th"/>
    <x v="6"/>
    <x v="3"/>
    <x v="1"/>
  </r>
  <r>
    <s v="Vistara"/>
    <n v="1"/>
    <x v="1"/>
    <s v="&quot;dont respond to mail and phone&quot;"/>
    <x v="1959"/>
    <x v="201"/>
    <s v="29th"/>
    <x v="6"/>
    <x v="3"/>
    <x v="1"/>
  </r>
  <r>
    <s v="Vistara"/>
    <n v="10"/>
    <x v="2"/>
    <s v="&quot;Really pleasant experience&quot;"/>
    <x v="1960"/>
    <x v="201"/>
    <s v="29th"/>
    <x v="6"/>
    <x v="3"/>
    <x v="0"/>
  </r>
  <r>
    <s v="Vistara"/>
    <n v="5"/>
    <x v="0"/>
    <s v="&quot;experience was not good&quot;"/>
    <x v="1961"/>
    <x v="201"/>
    <s v="29th"/>
    <x v="6"/>
    <x v="3"/>
    <x v="1"/>
  </r>
  <r>
    <s v="Vistara"/>
    <n v="1"/>
    <x v="1"/>
    <s v="&quot;late for the check in&quot;"/>
    <x v="1962"/>
    <x v="202"/>
    <s v="27th"/>
    <x v="5"/>
    <x v="3"/>
    <x v="1"/>
  </r>
  <r>
    <s v="Vistara"/>
    <n v="1"/>
    <x v="1"/>
    <s v="&quot;won't be travelling with them again&quot;"/>
    <x v="1963"/>
    <x v="202"/>
    <s v="27th"/>
    <x v="5"/>
    <x v="3"/>
    <x v="1"/>
  </r>
  <r>
    <s v="Vistara"/>
    <n v="10"/>
    <x v="2"/>
    <s v="&quot;delivered excellent service&quot;"/>
    <x v="1964"/>
    <x v="202"/>
    <s v="27th"/>
    <x v="5"/>
    <x v="3"/>
    <x v="0"/>
  </r>
  <r>
    <s v="Vistara"/>
    <n v="10"/>
    <x v="2"/>
    <s v="&quot;Amazing level of service&quot;"/>
    <x v="1965"/>
    <x v="202"/>
    <s v="27th"/>
    <x v="5"/>
    <x v="3"/>
    <x v="0"/>
  </r>
  <r>
    <s v="Vistara"/>
    <n v="2"/>
    <x v="1"/>
    <s v="&quot;didn't bother to listen&quot;"/>
    <x v="1966"/>
    <x v="202"/>
    <s v="27th"/>
    <x v="5"/>
    <x v="3"/>
    <x v="0"/>
  </r>
  <r>
    <s v="Vistara"/>
    <n v="1"/>
    <x v="1"/>
    <s v="&quot;a very bad experience&quot;"/>
    <x v="1967"/>
    <x v="202"/>
    <s v="27th"/>
    <x v="5"/>
    <x v="3"/>
    <x v="1"/>
  </r>
  <r>
    <s v="Vistara"/>
    <n v="10"/>
    <x v="2"/>
    <s v="&quot;Fantastic ground service&quot;"/>
    <x v="1968"/>
    <x v="202"/>
    <s v="27th"/>
    <x v="5"/>
    <x v="3"/>
    <x v="0"/>
  </r>
  <r>
    <s v="Vistara"/>
    <n v="10"/>
    <x v="2"/>
    <s v="&quot;a pleasant flying experience&quot;"/>
    <x v="1969"/>
    <x v="202"/>
    <s v="27th"/>
    <x v="5"/>
    <x v="3"/>
    <x v="0"/>
  </r>
  <r>
    <s v="Vistara"/>
    <n v="9"/>
    <x v="2"/>
    <s v="&quot;food options available at piers&quot;"/>
    <x v="1970"/>
    <x v="202"/>
    <s v="27th"/>
    <x v="5"/>
    <x v="3"/>
    <x v="0"/>
  </r>
  <r>
    <s v="Vistara"/>
    <n v="1"/>
    <x v="1"/>
    <s v="&quot;learnt that we had been overbooked&quot;"/>
    <x v="1971"/>
    <x v="202"/>
    <s v="27th"/>
    <x v="5"/>
    <x v="3"/>
    <x v="1"/>
  </r>
  <r>
    <s v="Vistara"/>
    <n v="1"/>
    <x v="1"/>
    <s v="&quot;reached airport 45 mins before flight&quot;"/>
    <x v="1972"/>
    <x v="203"/>
    <s v="10th"/>
    <x v="6"/>
    <x v="4"/>
    <x v="1"/>
  </r>
  <r>
    <s v="Vistara"/>
    <n v="10"/>
    <x v="2"/>
    <s v="&quot;a great airline to fly with&quot;"/>
    <x v="1973"/>
    <x v="203"/>
    <s v="10th"/>
    <x v="6"/>
    <x v="4"/>
    <x v="0"/>
  </r>
  <r>
    <s v="Vistara"/>
    <n v="1"/>
    <x v="1"/>
    <s v="&quot;My bag was tampered with&quot;"/>
    <x v="1974"/>
    <x v="203"/>
    <s v="10th"/>
    <x v="6"/>
    <x v="4"/>
    <x v="1"/>
  </r>
  <r>
    <s v="Vistara"/>
    <n v="10"/>
    <x v="2"/>
    <s v="&quot;Overall a great journey&quot;"/>
    <x v="1975"/>
    <x v="203"/>
    <s v="10th"/>
    <x v="6"/>
    <x v="4"/>
    <x v="0"/>
  </r>
  <r>
    <s v="Vistara"/>
    <n v="10"/>
    <x v="2"/>
    <s v="&quot;highly recommend this airline&quot;"/>
    <x v="1976"/>
    <x v="203"/>
    <s v="10th"/>
    <x v="6"/>
    <x v="4"/>
    <x v="0"/>
  </r>
  <r>
    <s v="Vistara"/>
    <n v="9"/>
    <x v="2"/>
    <s v="&quot;really wonderful experience&quot;"/>
    <x v="1977"/>
    <x v="203"/>
    <s v="10th"/>
    <x v="6"/>
    <x v="4"/>
    <x v="0"/>
  </r>
  <r>
    <s v="Vistara"/>
    <n v="10"/>
    <x v="2"/>
    <s v="&quot;Overall a very good flight&quot;"/>
    <x v="1978"/>
    <x v="203"/>
    <s v="10th"/>
    <x v="6"/>
    <x v="4"/>
    <x v="0"/>
  </r>
  <r>
    <s v="Vistara"/>
    <n v="10"/>
    <x v="2"/>
    <s v="&quot;best domestic airline in India&quot;"/>
    <x v="1979"/>
    <x v="203"/>
    <s v="10th"/>
    <x v="6"/>
    <x v="4"/>
    <x v="0"/>
  </r>
  <r>
    <s v="Vistara"/>
    <n v="1"/>
    <x v="1"/>
    <s v="&quot;stop flying this carrier&quot;"/>
    <x v="1980"/>
    <x v="203"/>
    <s v="10th"/>
    <x v="6"/>
    <x v="4"/>
    <x v="1"/>
  </r>
  <r>
    <s v="Vistara"/>
    <n v="10"/>
    <x v="2"/>
    <s v="&quot;wonderful experience&quot;"/>
    <x v="1147"/>
    <x v="203"/>
    <s v="10th"/>
    <x v="6"/>
    <x v="4"/>
    <x v="0"/>
  </r>
  <r>
    <s v="Vistara"/>
    <n v="10"/>
    <x v="2"/>
    <s v="&quot;a great experience with Vistara&quot;"/>
    <x v="1981"/>
    <x v="204"/>
    <s v="5th"/>
    <x v="8"/>
    <x v="4"/>
    <x v="0"/>
  </r>
  <r>
    <s v="Vistara"/>
    <n v="10"/>
    <x v="2"/>
    <s v="&quot;service has gotten better&quot;"/>
    <x v="1982"/>
    <x v="204"/>
    <s v="5th"/>
    <x v="8"/>
    <x v="4"/>
    <x v="0"/>
  </r>
  <r>
    <s v="Vistara"/>
    <n v="9"/>
    <x v="2"/>
    <s v="&quot;professional and helpful&quot;"/>
    <x v="1983"/>
    <x v="204"/>
    <s v="5th"/>
    <x v="8"/>
    <x v="4"/>
    <x v="0"/>
  </r>
  <r>
    <s v="Vistara"/>
    <n v="9"/>
    <x v="2"/>
    <s v="&quot;Vistara is much better&quot;"/>
    <x v="1984"/>
    <x v="204"/>
    <s v="5th"/>
    <x v="8"/>
    <x v="4"/>
    <x v="0"/>
  </r>
  <r>
    <s v="Vistara"/>
    <n v="10"/>
    <x v="2"/>
    <s v="&quot;definitely fly Vistara in the future&quot;"/>
    <x v="1985"/>
    <x v="204"/>
    <s v="5th"/>
    <x v="8"/>
    <x v="4"/>
    <x v="0"/>
  </r>
  <r>
    <s v="Vistara"/>
    <n v="2"/>
    <x v="1"/>
    <s v="&quot;seat belt without any instruction&quot;"/>
    <x v="1986"/>
    <x v="204"/>
    <s v="5th"/>
    <x v="8"/>
    <x v="4"/>
    <x v="1"/>
  </r>
  <r>
    <s v="Vistara"/>
    <n v="10"/>
    <x v="2"/>
    <s v="&quot;One of the best airline&quot;"/>
    <x v="1987"/>
    <x v="204"/>
    <s v="5th"/>
    <x v="8"/>
    <x v="4"/>
    <x v="0"/>
  </r>
  <r>
    <s v="Vistara"/>
    <n v="9"/>
    <x v="2"/>
    <s v="&quot;helpful cabin crew&quot;"/>
    <x v="1559"/>
    <x v="204"/>
    <s v="5th"/>
    <x v="8"/>
    <x v="4"/>
    <x v="0"/>
  </r>
  <r>
    <s v="Vistara"/>
    <n v="10"/>
    <x v="2"/>
    <s v="&quot;service are very helpful&quot;"/>
    <x v="1988"/>
    <x v="204"/>
    <s v="5th"/>
    <x v="8"/>
    <x v="4"/>
    <x v="0"/>
  </r>
  <r>
    <s v="Vistara"/>
    <n v="10"/>
    <x v="2"/>
    <s v="&quot;best airline by far&quot;"/>
    <x v="1989"/>
    <x v="204"/>
    <s v="5th"/>
    <x v="8"/>
    <x v="4"/>
    <x v="0"/>
  </r>
  <r>
    <s v="Vistara"/>
    <n v="10"/>
    <x v="2"/>
    <s v="&quot;Excellent flight&quot;"/>
    <x v="1990"/>
    <x v="205"/>
    <s v="22nd"/>
    <x v="10"/>
    <x v="4"/>
    <x v="0"/>
  </r>
  <r>
    <s v="Vistara"/>
    <n v="9"/>
    <x v="2"/>
    <s v="&quot;Highly recommended&quot;"/>
    <x v="1991"/>
    <x v="205"/>
    <s v="22nd"/>
    <x v="10"/>
    <x v="4"/>
    <x v="0"/>
  </r>
  <r>
    <s v="Vistara"/>
    <n v="3"/>
    <x v="1"/>
    <s v="&quot;ground staff was impolite&quot;"/>
    <x v="1992"/>
    <x v="205"/>
    <s v="22nd"/>
    <x v="10"/>
    <x v="4"/>
    <x v="1"/>
  </r>
  <r>
    <s v="Vistara"/>
    <n v="1"/>
    <x v="1"/>
    <s v="&quot;disappointed with Vistara&quot;"/>
    <x v="1993"/>
    <x v="205"/>
    <s v="22nd"/>
    <x v="10"/>
    <x v="4"/>
    <x v="1"/>
  </r>
  <r>
    <s v="Vistara"/>
    <n v="2"/>
    <x v="1"/>
    <s v="&quot;customer support is worst&quot;"/>
    <x v="1994"/>
    <x v="205"/>
    <s v="22nd"/>
    <x v="10"/>
    <x v="4"/>
    <x v="1"/>
  </r>
  <r>
    <s v="Vistara"/>
    <n v="10"/>
    <x v="2"/>
    <s v="&quot;definitely be flying them again&quot;"/>
    <x v="1995"/>
    <x v="205"/>
    <s v="22nd"/>
    <x v="10"/>
    <x v="4"/>
    <x v="0"/>
  </r>
  <r>
    <s v="Vistara"/>
    <n v="3"/>
    <x v="1"/>
    <s v="&quot;I wasn't able to upgrade&quot;"/>
    <x v="1996"/>
    <x v="205"/>
    <s v="22nd"/>
    <x v="10"/>
    <x v="4"/>
    <x v="1"/>
  </r>
  <r>
    <s v="Vistara"/>
    <n v="10"/>
    <x v="2"/>
    <s v="&quot;Food tasty and served hot&quot;"/>
    <x v="1997"/>
    <x v="205"/>
    <s v="22nd"/>
    <x v="10"/>
    <x v="4"/>
    <x v="0"/>
  </r>
  <r>
    <s v="Vistara"/>
    <n v="10"/>
    <x v="2"/>
    <s v="&quot;crew are the greatest asset&quot;"/>
    <x v="1998"/>
    <x v="205"/>
    <s v="22nd"/>
    <x v="10"/>
    <x v="4"/>
    <x v="0"/>
  </r>
  <r>
    <s v="Vistara"/>
    <n v="10"/>
    <x v="2"/>
    <s v="&quot;one of the best airlines&quot;"/>
    <x v="1294"/>
    <x v="205"/>
    <s v="22nd"/>
    <x v="10"/>
    <x v="4"/>
    <x v="0"/>
  </r>
  <r>
    <s v="Vistara"/>
    <n v="9"/>
    <x v="2"/>
    <s v="&quot;a worthy option to choose&quot;"/>
    <x v="1999"/>
    <x v="206"/>
    <s v="13th"/>
    <x v="2"/>
    <x v="5"/>
    <x v="0"/>
  </r>
  <r>
    <s v="Vistara"/>
    <n v="7"/>
    <x v="0"/>
    <s v="&quot;a good experience&quot;"/>
    <x v="2000"/>
    <x v="206"/>
    <s v="13th"/>
    <x v="2"/>
    <x v="5"/>
    <x v="0"/>
  </r>
  <r>
    <s v="Vistara"/>
    <n v="9"/>
    <x v="2"/>
    <s v="&quot;the best among all&quot;"/>
    <x v="2001"/>
    <x v="206"/>
    <s v="13th"/>
    <x v="2"/>
    <x v="5"/>
    <x v="0"/>
  </r>
  <r>
    <s v="Vistara"/>
    <n v="10"/>
    <x v="2"/>
    <s v="&quot;hope they maintain that standard&quot;"/>
    <x v="1321"/>
    <x v="206"/>
    <s v="13th"/>
    <x v="2"/>
    <x v="5"/>
    <x v="0"/>
  </r>
  <r>
    <s v="Vistara"/>
    <n v="8"/>
    <x v="2"/>
    <s v="&quot;had a great experience&quot;"/>
    <x v="2002"/>
    <x v="206"/>
    <s v="13th"/>
    <x v="2"/>
    <x v="5"/>
    <x v="0"/>
  </r>
  <r>
    <s v="Vistara"/>
    <n v="10"/>
    <x v="2"/>
    <s v="&quot;one of India' best airlines&quot;"/>
    <x v="2003"/>
    <x v="206"/>
    <s v="13th"/>
    <x v="2"/>
    <x v="5"/>
    <x v="0"/>
  </r>
  <r>
    <s v="Vistara"/>
    <n v="3"/>
    <x v="1"/>
    <s v="&quot;Such a poor experience&quot;"/>
    <x v="2004"/>
    <x v="206"/>
    <s v="13th"/>
    <x v="2"/>
    <x v="5"/>
    <x v="1"/>
  </r>
  <r>
    <s v="Vistara"/>
    <n v="9"/>
    <x v="2"/>
    <s v="&quot;once again excellent&quot;"/>
    <x v="85"/>
    <x v="206"/>
    <s v="13th"/>
    <x v="2"/>
    <x v="5"/>
    <x v="0"/>
  </r>
  <r>
    <s v="Vistara"/>
    <n v="10"/>
    <x v="2"/>
    <s v="&quot;received a personalised apology letter&quot;"/>
    <x v="2005"/>
    <x v="206"/>
    <s v="13th"/>
    <x v="2"/>
    <x v="5"/>
    <x v="0"/>
  </r>
  <r>
    <s v="Vistara"/>
    <n v="10"/>
    <x v="2"/>
    <s v="&quot;Vistara highly recommended&quot;"/>
    <x v="2006"/>
    <x v="206"/>
    <s v="13th"/>
    <x v="2"/>
    <x v="5"/>
    <x v="0"/>
  </r>
  <r>
    <s v="Vistara"/>
    <n v="10"/>
    <x v="2"/>
    <s v="&quot;one of the best experiences&quot;"/>
    <x v="2007"/>
    <x v="207"/>
    <s v="24th"/>
    <x v="10"/>
    <x v="5"/>
    <x v="0"/>
  </r>
  <r>
    <s v="Vistara"/>
    <n v="10"/>
    <x v="2"/>
    <s v="&quot;best inflight experience&quot;"/>
    <x v="2008"/>
    <x v="207"/>
    <s v="24th"/>
    <x v="10"/>
    <x v="5"/>
    <x v="0"/>
  </r>
  <r>
    <s v="Vistara"/>
    <n v="10"/>
    <x v="2"/>
    <s v="&quot;in-flight service superb&quot;"/>
    <x v="2009"/>
    <x v="207"/>
    <s v="24th"/>
    <x v="10"/>
    <x v="5"/>
    <x v="0"/>
  </r>
  <r>
    <s v="Vistara"/>
    <n v="9"/>
    <x v="2"/>
    <s v="&quot;overall I was impressed&quot;"/>
    <x v="2010"/>
    <x v="207"/>
    <s v="24th"/>
    <x v="10"/>
    <x v="5"/>
    <x v="0"/>
  </r>
  <r>
    <s v="Vistara"/>
    <n v="8"/>
    <x v="2"/>
    <s v="&quot;a different experience altogether&quot;"/>
    <x v="2011"/>
    <x v="207"/>
    <s v="24th"/>
    <x v="10"/>
    <x v="5"/>
    <x v="0"/>
  </r>
  <r>
    <s v="Vistara"/>
    <n v="10"/>
    <x v="2"/>
    <s v="&quot;really wonderful flight&quot;"/>
    <x v="2012"/>
    <x v="207"/>
    <s v="24th"/>
    <x v="10"/>
    <x v="5"/>
    <x v="0"/>
  </r>
  <r>
    <s v="Vistara"/>
    <n v="10"/>
    <x v="2"/>
    <s v="&quot;cabin crew members were co-operative throughout&quot;"/>
    <x v="2013"/>
    <x v="207"/>
    <s v="24th"/>
    <x v="10"/>
    <x v="5"/>
    <x v="0"/>
  </r>
  <r>
    <s v="Vistara"/>
    <n v="10"/>
    <x v="2"/>
    <s v="&quot;such nice experience&quot;"/>
    <x v="2014"/>
    <x v="207"/>
    <s v="24th"/>
    <x v="10"/>
    <x v="5"/>
    <x v="0"/>
  </r>
  <r>
    <s v="Vistara"/>
    <n v="8"/>
    <x v="2"/>
    <s v="Vistara customer review"/>
    <x v="2015"/>
    <x v="207"/>
    <s v="24th"/>
    <x v="10"/>
    <x v="5"/>
    <x v="0"/>
  </r>
  <r>
    <s v="Vistara"/>
    <n v="10"/>
    <x v="2"/>
    <s v="&quot;Hats off for such amazing support&quot;"/>
    <x v="2016"/>
    <x v="207"/>
    <s v="24th"/>
    <x v="10"/>
    <x v="5"/>
    <x v="0"/>
  </r>
  <r>
    <s v="Vistara"/>
    <n v="7"/>
    <x v="0"/>
    <s v="&quot;Overall it was good&quot;"/>
    <x v="2017"/>
    <x v="208"/>
    <s v="19th"/>
    <x v="0"/>
    <x v="6"/>
    <x v="0"/>
  </r>
  <r>
    <s v="Vistara"/>
    <n v="2"/>
    <x v="1"/>
    <s v="&quot;Vistara weigh check in baggage&quot;"/>
    <x v="2018"/>
    <x v="208"/>
    <s v="19th"/>
    <x v="0"/>
    <x v="6"/>
    <x v="1"/>
  </r>
  <r>
    <s v="Vistara"/>
    <n v="10"/>
    <x v="2"/>
    <s v="&quot;best domestic flight experience&quot;"/>
    <x v="2019"/>
    <x v="208"/>
    <s v="19th"/>
    <x v="0"/>
    <x v="6"/>
    <x v="0"/>
  </r>
  <r>
    <s v="Vistara"/>
    <n v="10"/>
    <x v="2"/>
    <s v="&quot;recommend to choose Vistara&quot;"/>
    <x v="2020"/>
    <x v="208"/>
    <s v="19th"/>
    <x v="0"/>
    <x v="6"/>
    <x v="0"/>
  </r>
  <r>
    <s v="Vistara"/>
    <n v="7"/>
    <x v="0"/>
    <s v="&quot;a good experience&quot;"/>
    <x v="2021"/>
    <x v="208"/>
    <s v="19th"/>
    <x v="0"/>
    <x v="6"/>
    <x v="0"/>
  </r>
  <r>
    <s v="Vistara"/>
    <n v="1"/>
    <x v="1"/>
    <s v="&quot;Vistara cancelled the flight&quot;"/>
    <x v="2022"/>
    <x v="208"/>
    <s v="19th"/>
    <x v="0"/>
    <x v="6"/>
    <x v="1"/>
  </r>
  <r>
    <s v="Vistara"/>
    <n v="5"/>
    <x v="0"/>
    <s v="&quot;avoid travelling by Vistara&quot;"/>
    <x v="2023"/>
    <x v="208"/>
    <s v="19th"/>
    <x v="0"/>
    <x v="6"/>
    <x v="1"/>
  </r>
  <r>
    <s v="Vistara"/>
    <n v="9"/>
    <x v="2"/>
    <s v="&quot;preferred domestic airline&quot;"/>
    <x v="2024"/>
    <x v="208"/>
    <s v="19th"/>
    <x v="0"/>
    <x v="6"/>
    <x v="0"/>
  </r>
  <r>
    <s v="Vistara"/>
    <n v="9"/>
    <x v="2"/>
    <s v="&quot;they should have IFE in premium economy&quot;"/>
    <x v="2025"/>
    <x v="208"/>
    <s v="19th"/>
    <x v="0"/>
    <x v="6"/>
    <x v="0"/>
  </r>
  <r>
    <s v="Vistara"/>
    <n v="10"/>
    <x v="2"/>
    <s v="&quot;we were warmly welcomed by the cabin crew&quot;"/>
    <x v="2026"/>
    <x v="208"/>
    <s v="19th"/>
    <x v="0"/>
    <x v="6"/>
    <x v="0"/>
  </r>
  <r>
    <s v="Vistara"/>
    <n v="7"/>
    <x v="0"/>
    <s v="&quot;wasn't greatest of experiences&quot;"/>
    <x v="2027"/>
    <x v="209"/>
    <s v="22nd"/>
    <x v="11"/>
    <x v="6"/>
    <x v="0"/>
  </r>
  <r>
    <s v="Vistara"/>
    <n v="10"/>
    <x v="2"/>
    <s v="&quot;A high quality product&quot;"/>
    <x v="1875"/>
    <x v="209"/>
    <s v="22nd"/>
    <x v="11"/>
    <x v="6"/>
    <x v="0"/>
  </r>
  <r>
    <s v="Vistara"/>
    <n v="10"/>
    <x v="2"/>
    <s v="&quot;every aspect was faultless&quot;"/>
    <x v="1875"/>
    <x v="209"/>
    <s v="22nd"/>
    <x v="11"/>
    <x v="6"/>
    <x v="0"/>
  </r>
  <r>
    <s v="Vistara"/>
    <n v="9"/>
    <x v="2"/>
    <s v="&quot;combines luxury with comfort&quot;"/>
    <x v="2028"/>
    <x v="209"/>
    <s v="22nd"/>
    <x v="11"/>
    <x v="6"/>
    <x v="0"/>
  </r>
  <r>
    <s v="Vistara"/>
    <n v="10"/>
    <x v="2"/>
    <s v="&quot;meal options were nice&quot;"/>
    <x v="2029"/>
    <x v="209"/>
    <s v="22nd"/>
    <x v="11"/>
    <x v="6"/>
    <x v="0"/>
  </r>
  <r>
    <s v="Vistara"/>
    <n v="9"/>
    <x v="2"/>
    <s v="&quot;refreshingly great airline&quot;"/>
    <x v="2030"/>
    <x v="209"/>
    <s v="22nd"/>
    <x v="11"/>
    <x v="6"/>
    <x v="0"/>
  </r>
  <r>
    <s v="Vistara"/>
    <n v="10"/>
    <x v="2"/>
    <s v="&quot;best 50 min flight i've taken&quot;"/>
    <x v="2031"/>
    <x v="209"/>
    <s v="22nd"/>
    <x v="11"/>
    <x v="6"/>
    <x v="0"/>
  </r>
  <r>
    <s v="Vistara"/>
    <n v="10"/>
    <x v="2"/>
    <s v="&quot;would fly Vistara again&quot;"/>
    <x v="2032"/>
    <x v="209"/>
    <s v="22nd"/>
    <x v="11"/>
    <x v="6"/>
    <x v="0"/>
  </r>
  <r>
    <s v="Vistara"/>
    <n v="6"/>
    <x v="0"/>
    <s v="&quot;crew friendly and welcoming&quot;"/>
    <x v="2033"/>
    <x v="209"/>
    <s v="22nd"/>
    <x v="11"/>
    <x v="6"/>
    <x v="0"/>
  </r>
  <r>
    <s v="Vistara"/>
    <n v="3"/>
    <x v="1"/>
    <s v="&quot;a really bad experience&quot;"/>
    <x v="2034"/>
    <x v="209"/>
    <s v="22nd"/>
    <x v="11"/>
    <x v="6"/>
    <x v="1"/>
  </r>
  <r>
    <s v="Vistara"/>
    <n v="10"/>
    <x v="2"/>
    <s v="&quot;maintaining their higher standard&quot;"/>
    <x v="2035"/>
    <x v="210"/>
    <s v="9th"/>
    <x v="0"/>
    <x v="9"/>
    <x v="0"/>
  </r>
  <r>
    <s v="Vistara"/>
    <n v="10"/>
    <x v="2"/>
    <s v="&quot;seats were unique and classy&quot;"/>
    <x v="2031"/>
    <x v="210"/>
    <s v="9th"/>
    <x v="0"/>
    <x v="9"/>
    <x v="0"/>
  </r>
  <r>
    <s v="Vistara"/>
    <n v="10"/>
    <x v="2"/>
    <s v="&quot;it a wonderful experience&quot;"/>
    <x v="2036"/>
    <x v="210"/>
    <s v="9th"/>
    <x v="0"/>
    <x v="9"/>
    <x v="0"/>
  </r>
  <r>
    <s v="Vistara"/>
    <n v="9"/>
    <x v="2"/>
    <s v="&quot;I enjoyed my journey&quot;"/>
    <x v="2037"/>
    <x v="210"/>
    <s v="9th"/>
    <x v="0"/>
    <x v="9"/>
    <x v="0"/>
  </r>
  <r>
    <s v="Vistara"/>
    <n v="10"/>
    <x v="2"/>
    <s v="&quot;between 33-36 inch legroom&quot;"/>
    <x v="2038"/>
    <x v="210"/>
    <s v="9th"/>
    <x v="0"/>
    <x v="9"/>
    <x v="0"/>
  </r>
  <r>
    <s v="Vistara"/>
    <n v="10"/>
    <x v="2"/>
    <s v="&quot;the product has been consistent&quot;"/>
    <x v="1875"/>
    <x v="210"/>
    <s v="9th"/>
    <x v="0"/>
    <x v="9"/>
    <x v="0"/>
  </r>
  <r>
    <s v="Vistara"/>
    <n v="10"/>
    <x v="2"/>
    <s v="&quot;the food was amazing&quot;"/>
    <x v="2039"/>
    <x v="210"/>
    <s v="9th"/>
    <x v="0"/>
    <x v="9"/>
    <x v="0"/>
  </r>
  <r>
    <s v="Vistara"/>
    <n v="10"/>
    <x v="2"/>
    <s v="&quot;best airline to fly in India&quot;"/>
    <x v="2040"/>
    <x v="210"/>
    <s v="9th"/>
    <x v="0"/>
    <x v="9"/>
    <x v="0"/>
  </r>
  <r>
    <s v="Vistara"/>
    <n v="8"/>
    <x v="2"/>
    <s v="&quot;turned out a pleasant experience&quot;"/>
    <x v="2041"/>
    <x v="210"/>
    <s v="9th"/>
    <x v="0"/>
    <x v="9"/>
    <x v="0"/>
  </r>
  <r>
    <s v="Vistara"/>
    <n v="9"/>
    <x v="2"/>
    <s v="&quot;my first experience was a good one&quot;"/>
    <x v="2042"/>
    <x v="210"/>
    <s v="9th"/>
    <x v="0"/>
    <x v="9"/>
    <x v="0"/>
  </r>
  <r>
    <s v="Vistara"/>
    <n v="10"/>
    <x v="2"/>
    <s v="&quot;provides an excellent service&quot;"/>
    <x v="2043"/>
    <x v="211"/>
    <s v="15th"/>
    <x v="3"/>
    <x v="9"/>
    <x v="0"/>
  </r>
  <r>
    <s v="Vistara"/>
    <n v="10"/>
    <x v="2"/>
    <s v="&quot;I really liked everything&quot;"/>
    <x v="2044"/>
    <x v="211"/>
    <s v="15th"/>
    <x v="3"/>
    <x v="9"/>
    <x v="0"/>
  </r>
  <r>
    <s v="Vistara"/>
    <n v="9"/>
    <x v="2"/>
    <s v="&quot;wish other airlines learn from them&quot;"/>
    <x v="2045"/>
    <x v="211"/>
    <s v="15th"/>
    <x v="3"/>
    <x v="9"/>
    <x v="0"/>
  </r>
  <r>
    <s v="Vistara"/>
    <n v="9"/>
    <x v="2"/>
    <s v="&quot;one of the best airlines in India&quot;"/>
    <x v="587"/>
    <x v="211"/>
    <s v="15th"/>
    <x v="3"/>
    <x v="9"/>
    <x v="0"/>
  </r>
  <r>
    <s v="Vistara"/>
    <n v="10"/>
    <x v="2"/>
    <s v="&quot;scores over other airlines&quot;"/>
    <x v="2046"/>
    <x v="211"/>
    <s v="15th"/>
    <x v="3"/>
    <x v="9"/>
    <x v="0"/>
  </r>
  <r>
    <s v="Vistara"/>
    <n v="8"/>
    <x v="2"/>
    <s v="&quot;Vistara was a good experience&quot;"/>
    <x v="2047"/>
    <x v="211"/>
    <s v="15th"/>
    <x v="3"/>
    <x v="9"/>
    <x v="0"/>
  </r>
  <r>
    <s v="Vistara"/>
    <n v="6"/>
    <x v="0"/>
    <s v="&quot;the journey was satisfactory&quot;"/>
    <x v="2048"/>
    <x v="211"/>
    <s v="15th"/>
    <x v="3"/>
    <x v="9"/>
    <x v="0"/>
  </r>
  <r>
    <s v="Vistara"/>
    <n v="10"/>
    <x v="2"/>
    <s v="&quot;value for money&quot;"/>
    <x v="2049"/>
    <x v="211"/>
    <s v="15th"/>
    <x v="3"/>
    <x v="9"/>
    <x v="0"/>
  </r>
  <r>
    <s v="Vistara"/>
    <n v="8"/>
    <x v="2"/>
    <s v="&quot;aircraft was new and fresh&quot;"/>
    <x v="2050"/>
    <x v="211"/>
    <s v="15th"/>
    <x v="3"/>
    <x v="9"/>
    <x v="0"/>
  </r>
  <r>
    <s v="Vistara"/>
    <n v="10"/>
    <x v="2"/>
    <s v="Vistara customer review"/>
    <x v="2029"/>
    <x v="211"/>
    <s v="15th"/>
    <x v="3"/>
    <x v="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0">
  <r>
    <x v="0"/>
    <x v="0"/>
    <x v="0"/>
    <x v="0"/>
    <x v="0"/>
    <s v="14th October 2023"/>
    <s v="14th"/>
    <x v="0"/>
    <x v="0"/>
    <x v="0"/>
  </r>
  <r>
    <x v="0"/>
    <x v="1"/>
    <x v="1"/>
    <x v="1"/>
    <x v="1"/>
    <s v="14th October 2023"/>
    <s v="14th"/>
    <x v="0"/>
    <x v="0"/>
    <x v="1"/>
  </r>
  <r>
    <x v="0"/>
    <x v="2"/>
    <x v="2"/>
    <x v="2"/>
    <x v="2"/>
    <s v="14th October 2023"/>
    <s v="14th"/>
    <x v="0"/>
    <x v="0"/>
    <x v="0"/>
  </r>
  <r>
    <x v="0"/>
    <x v="1"/>
    <x v="1"/>
    <x v="3"/>
    <x v="3"/>
    <s v="14th October 2023"/>
    <s v="14th"/>
    <x v="0"/>
    <x v="0"/>
    <x v="1"/>
  </r>
  <r>
    <x v="0"/>
    <x v="3"/>
    <x v="2"/>
    <x v="4"/>
    <x v="4"/>
    <s v="14th October 2023"/>
    <s v="14th"/>
    <x v="0"/>
    <x v="0"/>
    <x v="0"/>
  </r>
  <r>
    <x v="0"/>
    <x v="4"/>
    <x v="2"/>
    <x v="5"/>
    <x v="5"/>
    <s v="14th October 2023"/>
    <s v="14th"/>
    <x v="0"/>
    <x v="0"/>
    <x v="0"/>
  </r>
  <r>
    <x v="0"/>
    <x v="2"/>
    <x v="2"/>
    <x v="6"/>
    <x v="6"/>
    <s v="14th October 2023"/>
    <s v="14th"/>
    <x v="0"/>
    <x v="0"/>
    <x v="0"/>
  </r>
  <r>
    <x v="0"/>
    <x v="2"/>
    <x v="2"/>
    <x v="7"/>
    <x v="7"/>
    <s v="14th October 2023"/>
    <s v="14th"/>
    <x v="0"/>
    <x v="0"/>
    <x v="0"/>
  </r>
  <r>
    <x v="0"/>
    <x v="1"/>
    <x v="1"/>
    <x v="8"/>
    <x v="8"/>
    <s v="14th October 2023"/>
    <s v="14th"/>
    <x v="0"/>
    <x v="0"/>
    <x v="1"/>
  </r>
  <r>
    <x v="0"/>
    <x v="3"/>
    <x v="2"/>
    <x v="9"/>
    <x v="9"/>
    <s v="14th October 2023"/>
    <s v="14th"/>
    <x v="0"/>
    <x v="0"/>
    <x v="0"/>
  </r>
  <r>
    <x v="0"/>
    <x v="2"/>
    <x v="2"/>
    <x v="10"/>
    <x v="10"/>
    <s v="7th April 2023"/>
    <s v="7th"/>
    <x v="1"/>
    <x v="0"/>
    <x v="0"/>
  </r>
  <r>
    <x v="0"/>
    <x v="2"/>
    <x v="2"/>
    <x v="11"/>
    <x v="11"/>
    <s v="7th April 2023"/>
    <s v="7th"/>
    <x v="1"/>
    <x v="0"/>
    <x v="0"/>
  </r>
  <r>
    <x v="0"/>
    <x v="0"/>
    <x v="0"/>
    <x v="12"/>
    <x v="12"/>
    <s v="7th April 2023"/>
    <s v="7th"/>
    <x v="1"/>
    <x v="0"/>
    <x v="0"/>
  </r>
  <r>
    <x v="0"/>
    <x v="0"/>
    <x v="0"/>
    <x v="13"/>
    <x v="12"/>
    <s v="7th April 2023"/>
    <s v="7th"/>
    <x v="1"/>
    <x v="0"/>
    <x v="1"/>
  </r>
  <r>
    <x v="0"/>
    <x v="0"/>
    <x v="0"/>
    <x v="14"/>
    <x v="12"/>
    <s v="7th April 2023"/>
    <s v="7th"/>
    <x v="1"/>
    <x v="0"/>
    <x v="1"/>
  </r>
  <r>
    <x v="0"/>
    <x v="1"/>
    <x v="1"/>
    <x v="15"/>
    <x v="13"/>
    <s v="7th April 2023"/>
    <s v="7th"/>
    <x v="1"/>
    <x v="0"/>
    <x v="1"/>
  </r>
  <r>
    <x v="0"/>
    <x v="1"/>
    <x v="1"/>
    <x v="16"/>
    <x v="14"/>
    <s v="7th April 2023"/>
    <s v="7th"/>
    <x v="1"/>
    <x v="0"/>
    <x v="1"/>
  </r>
  <r>
    <x v="0"/>
    <x v="1"/>
    <x v="1"/>
    <x v="17"/>
    <x v="15"/>
    <s v="7th April 2023"/>
    <s v="7th"/>
    <x v="1"/>
    <x v="0"/>
    <x v="1"/>
  </r>
  <r>
    <x v="0"/>
    <x v="1"/>
    <x v="1"/>
    <x v="18"/>
    <x v="16"/>
    <s v="7th April 2023"/>
    <s v="7th"/>
    <x v="1"/>
    <x v="0"/>
    <x v="1"/>
  </r>
  <r>
    <x v="0"/>
    <x v="2"/>
    <x v="2"/>
    <x v="19"/>
    <x v="17"/>
    <s v="7th April 2023"/>
    <s v="7th"/>
    <x v="1"/>
    <x v="0"/>
    <x v="0"/>
  </r>
  <r>
    <x v="0"/>
    <x v="5"/>
    <x v="0"/>
    <x v="20"/>
    <x v="18"/>
    <s v="29th September 2022"/>
    <s v="29th"/>
    <x v="2"/>
    <x v="1"/>
    <x v="0"/>
  </r>
  <r>
    <x v="0"/>
    <x v="2"/>
    <x v="2"/>
    <x v="21"/>
    <x v="19"/>
    <s v="29th September 2022"/>
    <s v="29th"/>
    <x v="2"/>
    <x v="1"/>
    <x v="0"/>
  </r>
  <r>
    <x v="0"/>
    <x v="1"/>
    <x v="1"/>
    <x v="22"/>
    <x v="20"/>
    <s v="29th September 2022"/>
    <s v="29th"/>
    <x v="2"/>
    <x v="1"/>
    <x v="1"/>
  </r>
  <r>
    <x v="0"/>
    <x v="2"/>
    <x v="2"/>
    <x v="23"/>
    <x v="21"/>
    <s v="29th September 2022"/>
    <s v="29th"/>
    <x v="2"/>
    <x v="1"/>
    <x v="0"/>
  </r>
  <r>
    <x v="0"/>
    <x v="4"/>
    <x v="2"/>
    <x v="24"/>
    <x v="22"/>
    <s v="29th September 2022"/>
    <s v="29th"/>
    <x v="2"/>
    <x v="1"/>
    <x v="0"/>
  </r>
  <r>
    <x v="0"/>
    <x v="6"/>
    <x v="1"/>
    <x v="25"/>
    <x v="23"/>
    <s v="29th September 2022"/>
    <s v="29th"/>
    <x v="2"/>
    <x v="1"/>
    <x v="1"/>
  </r>
  <r>
    <x v="0"/>
    <x v="3"/>
    <x v="2"/>
    <x v="26"/>
    <x v="24"/>
    <s v="29th September 2022"/>
    <s v="29th"/>
    <x v="2"/>
    <x v="1"/>
    <x v="0"/>
  </r>
  <r>
    <x v="0"/>
    <x v="1"/>
    <x v="1"/>
    <x v="27"/>
    <x v="25"/>
    <s v="29th September 2022"/>
    <s v="29th"/>
    <x v="2"/>
    <x v="1"/>
    <x v="1"/>
  </r>
  <r>
    <x v="0"/>
    <x v="4"/>
    <x v="2"/>
    <x v="28"/>
    <x v="26"/>
    <s v="29th September 2022"/>
    <s v="29th"/>
    <x v="2"/>
    <x v="1"/>
    <x v="0"/>
  </r>
  <r>
    <x v="0"/>
    <x v="2"/>
    <x v="2"/>
    <x v="29"/>
    <x v="27"/>
    <s v="29th September 2022"/>
    <s v="29th"/>
    <x v="2"/>
    <x v="1"/>
    <x v="0"/>
  </r>
  <r>
    <x v="0"/>
    <x v="1"/>
    <x v="1"/>
    <x v="30"/>
    <x v="28"/>
    <s v="26th June 2022"/>
    <s v="26th"/>
    <x v="3"/>
    <x v="1"/>
    <x v="1"/>
  </r>
  <r>
    <x v="0"/>
    <x v="1"/>
    <x v="1"/>
    <x v="31"/>
    <x v="29"/>
    <s v="26th June 2022"/>
    <s v="26th"/>
    <x v="3"/>
    <x v="1"/>
    <x v="1"/>
  </r>
  <r>
    <x v="0"/>
    <x v="1"/>
    <x v="1"/>
    <x v="32"/>
    <x v="30"/>
    <s v="26th June 2022"/>
    <s v="26th"/>
    <x v="3"/>
    <x v="1"/>
    <x v="1"/>
  </r>
  <r>
    <x v="0"/>
    <x v="1"/>
    <x v="1"/>
    <x v="33"/>
    <x v="31"/>
    <s v="26th June 2022"/>
    <s v="26th"/>
    <x v="3"/>
    <x v="1"/>
    <x v="1"/>
  </r>
  <r>
    <x v="0"/>
    <x v="1"/>
    <x v="1"/>
    <x v="34"/>
    <x v="32"/>
    <s v="26th June 2022"/>
    <s v="26th"/>
    <x v="3"/>
    <x v="1"/>
    <x v="1"/>
  </r>
  <r>
    <x v="0"/>
    <x v="1"/>
    <x v="1"/>
    <x v="35"/>
    <x v="33"/>
    <s v="26th June 2022"/>
    <s v="26th"/>
    <x v="3"/>
    <x v="1"/>
    <x v="1"/>
  </r>
  <r>
    <x v="0"/>
    <x v="4"/>
    <x v="2"/>
    <x v="36"/>
    <x v="34"/>
    <s v="26th June 2022"/>
    <s v="26th"/>
    <x v="3"/>
    <x v="1"/>
    <x v="0"/>
  </r>
  <r>
    <x v="0"/>
    <x v="1"/>
    <x v="1"/>
    <x v="37"/>
    <x v="35"/>
    <s v="26th June 2022"/>
    <s v="26th"/>
    <x v="3"/>
    <x v="1"/>
    <x v="1"/>
  </r>
  <r>
    <x v="0"/>
    <x v="4"/>
    <x v="2"/>
    <x v="38"/>
    <x v="36"/>
    <s v="26th June 2022"/>
    <s v="26th"/>
    <x v="3"/>
    <x v="1"/>
    <x v="0"/>
  </r>
  <r>
    <x v="0"/>
    <x v="1"/>
    <x v="1"/>
    <x v="39"/>
    <x v="37"/>
    <s v="26th June 2022"/>
    <s v="26th"/>
    <x v="3"/>
    <x v="1"/>
    <x v="1"/>
  </r>
  <r>
    <x v="0"/>
    <x v="1"/>
    <x v="1"/>
    <x v="40"/>
    <x v="38"/>
    <s v="11th December 2021"/>
    <s v="11th"/>
    <x v="4"/>
    <x v="2"/>
    <x v="1"/>
  </r>
  <r>
    <x v="0"/>
    <x v="1"/>
    <x v="1"/>
    <x v="41"/>
    <x v="39"/>
    <s v="11th December 2021"/>
    <s v="11th"/>
    <x v="4"/>
    <x v="2"/>
    <x v="1"/>
  </r>
  <r>
    <x v="0"/>
    <x v="1"/>
    <x v="1"/>
    <x v="42"/>
    <x v="40"/>
    <s v="11th December 2021"/>
    <s v="11th"/>
    <x v="4"/>
    <x v="2"/>
    <x v="1"/>
  </r>
  <r>
    <x v="0"/>
    <x v="1"/>
    <x v="1"/>
    <x v="43"/>
    <x v="41"/>
    <s v="11th December 2021"/>
    <s v="11th"/>
    <x v="4"/>
    <x v="2"/>
    <x v="1"/>
  </r>
  <r>
    <x v="0"/>
    <x v="3"/>
    <x v="2"/>
    <x v="44"/>
    <x v="42"/>
    <s v="11th December 2021"/>
    <s v="11th"/>
    <x v="4"/>
    <x v="2"/>
    <x v="0"/>
  </r>
  <r>
    <x v="0"/>
    <x v="1"/>
    <x v="1"/>
    <x v="45"/>
    <x v="43"/>
    <s v="11th December 2021"/>
    <s v="11th"/>
    <x v="4"/>
    <x v="2"/>
    <x v="1"/>
  </r>
  <r>
    <x v="0"/>
    <x v="3"/>
    <x v="2"/>
    <x v="46"/>
    <x v="44"/>
    <s v="11th December 2021"/>
    <s v="11th"/>
    <x v="4"/>
    <x v="2"/>
    <x v="0"/>
  </r>
  <r>
    <x v="0"/>
    <x v="1"/>
    <x v="1"/>
    <x v="47"/>
    <x v="45"/>
    <s v="11th December 2021"/>
    <s v="11th"/>
    <x v="4"/>
    <x v="2"/>
    <x v="1"/>
  </r>
  <r>
    <x v="0"/>
    <x v="1"/>
    <x v="1"/>
    <x v="48"/>
    <x v="46"/>
    <s v="11th December 2021"/>
    <s v="11th"/>
    <x v="4"/>
    <x v="2"/>
    <x v="1"/>
  </r>
  <r>
    <x v="0"/>
    <x v="2"/>
    <x v="2"/>
    <x v="49"/>
    <x v="47"/>
    <s v="11th December 2021"/>
    <s v="11th"/>
    <x v="4"/>
    <x v="2"/>
    <x v="0"/>
  </r>
  <r>
    <x v="0"/>
    <x v="4"/>
    <x v="2"/>
    <x v="50"/>
    <x v="48"/>
    <s v="26th February 2021"/>
    <s v="26th"/>
    <x v="5"/>
    <x v="2"/>
    <x v="0"/>
  </r>
  <r>
    <x v="0"/>
    <x v="2"/>
    <x v="2"/>
    <x v="51"/>
    <x v="49"/>
    <s v="26th February 2021"/>
    <s v="26th"/>
    <x v="5"/>
    <x v="2"/>
    <x v="0"/>
  </r>
  <r>
    <x v="0"/>
    <x v="1"/>
    <x v="1"/>
    <x v="52"/>
    <x v="50"/>
    <s v="26th February 2021"/>
    <s v="26th"/>
    <x v="5"/>
    <x v="2"/>
    <x v="1"/>
  </r>
  <r>
    <x v="0"/>
    <x v="1"/>
    <x v="1"/>
    <x v="53"/>
    <x v="51"/>
    <s v="26th February 2021"/>
    <s v="26th"/>
    <x v="5"/>
    <x v="2"/>
    <x v="1"/>
  </r>
  <r>
    <x v="0"/>
    <x v="1"/>
    <x v="1"/>
    <x v="54"/>
    <x v="52"/>
    <s v="26th February 2021"/>
    <s v="26th"/>
    <x v="5"/>
    <x v="2"/>
    <x v="1"/>
  </r>
  <r>
    <x v="0"/>
    <x v="1"/>
    <x v="1"/>
    <x v="55"/>
    <x v="53"/>
    <s v="26th February 2021"/>
    <s v="26th"/>
    <x v="5"/>
    <x v="2"/>
    <x v="1"/>
  </r>
  <r>
    <x v="0"/>
    <x v="1"/>
    <x v="1"/>
    <x v="56"/>
    <x v="54"/>
    <s v="26th February 2021"/>
    <s v="26th"/>
    <x v="5"/>
    <x v="2"/>
    <x v="1"/>
  </r>
  <r>
    <x v="0"/>
    <x v="1"/>
    <x v="1"/>
    <x v="57"/>
    <x v="55"/>
    <s v="26th February 2021"/>
    <s v="26th"/>
    <x v="5"/>
    <x v="2"/>
    <x v="1"/>
  </r>
  <r>
    <x v="0"/>
    <x v="1"/>
    <x v="1"/>
    <x v="58"/>
    <x v="56"/>
    <s v="26th February 2021"/>
    <s v="26th"/>
    <x v="5"/>
    <x v="2"/>
    <x v="1"/>
  </r>
  <r>
    <x v="0"/>
    <x v="2"/>
    <x v="2"/>
    <x v="59"/>
    <x v="57"/>
    <s v="26th February 2021"/>
    <s v="26th"/>
    <x v="5"/>
    <x v="2"/>
    <x v="0"/>
  </r>
  <r>
    <x v="0"/>
    <x v="1"/>
    <x v="1"/>
    <x v="60"/>
    <x v="58"/>
    <s v="17th February 2020"/>
    <s v="17th"/>
    <x v="5"/>
    <x v="3"/>
    <x v="1"/>
  </r>
  <r>
    <x v="0"/>
    <x v="4"/>
    <x v="2"/>
    <x v="61"/>
    <x v="59"/>
    <s v="17th February 2020"/>
    <s v="17th"/>
    <x v="5"/>
    <x v="3"/>
    <x v="0"/>
  </r>
  <r>
    <x v="0"/>
    <x v="7"/>
    <x v="0"/>
    <x v="62"/>
    <x v="60"/>
    <s v="17th February 2020"/>
    <s v="17th"/>
    <x v="5"/>
    <x v="3"/>
    <x v="1"/>
  </r>
  <r>
    <x v="0"/>
    <x v="8"/>
    <x v="1"/>
    <x v="63"/>
    <x v="61"/>
    <s v="17th February 2020"/>
    <s v="17th"/>
    <x v="5"/>
    <x v="3"/>
    <x v="1"/>
  </r>
  <r>
    <x v="0"/>
    <x v="1"/>
    <x v="1"/>
    <x v="64"/>
    <x v="62"/>
    <s v="17th February 2020"/>
    <s v="17th"/>
    <x v="5"/>
    <x v="3"/>
    <x v="1"/>
  </r>
  <r>
    <x v="0"/>
    <x v="1"/>
    <x v="1"/>
    <x v="65"/>
    <x v="63"/>
    <s v="17th February 2020"/>
    <s v="17th"/>
    <x v="5"/>
    <x v="3"/>
    <x v="1"/>
  </r>
  <r>
    <x v="0"/>
    <x v="1"/>
    <x v="1"/>
    <x v="66"/>
    <x v="64"/>
    <s v="17th February 2020"/>
    <s v="17th"/>
    <x v="5"/>
    <x v="3"/>
    <x v="1"/>
  </r>
  <r>
    <x v="0"/>
    <x v="9"/>
    <x v="1"/>
    <x v="67"/>
    <x v="65"/>
    <s v="17th February 2020"/>
    <s v="17th"/>
    <x v="5"/>
    <x v="3"/>
    <x v="1"/>
  </r>
  <r>
    <x v="0"/>
    <x v="1"/>
    <x v="1"/>
    <x v="68"/>
    <x v="66"/>
    <s v="17th February 2020"/>
    <s v="17th"/>
    <x v="5"/>
    <x v="3"/>
    <x v="1"/>
  </r>
  <r>
    <x v="0"/>
    <x v="1"/>
    <x v="1"/>
    <x v="69"/>
    <x v="67"/>
    <s v="17th February 2020"/>
    <s v="17th"/>
    <x v="5"/>
    <x v="3"/>
    <x v="1"/>
  </r>
  <r>
    <x v="0"/>
    <x v="1"/>
    <x v="1"/>
    <x v="70"/>
    <x v="68"/>
    <s v="27th October 2019"/>
    <s v="27th"/>
    <x v="0"/>
    <x v="4"/>
    <x v="1"/>
  </r>
  <r>
    <x v="0"/>
    <x v="0"/>
    <x v="0"/>
    <x v="71"/>
    <x v="42"/>
    <s v="27th October 2019"/>
    <s v="27th"/>
    <x v="0"/>
    <x v="4"/>
    <x v="0"/>
  </r>
  <r>
    <x v="0"/>
    <x v="4"/>
    <x v="2"/>
    <x v="72"/>
    <x v="69"/>
    <s v="27th October 2019"/>
    <s v="27th"/>
    <x v="0"/>
    <x v="4"/>
    <x v="0"/>
  </r>
  <r>
    <x v="0"/>
    <x v="2"/>
    <x v="2"/>
    <x v="73"/>
    <x v="70"/>
    <s v="27th October 2019"/>
    <s v="27th"/>
    <x v="0"/>
    <x v="4"/>
    <x v="0"/>
  </r>
  <r>
    <x v="0"/>
    <x v="1"/>
    <x v="1"/>
    <x v="74"/>
    <x v="71"/>
    <s v="27th October 2019"/>
    <s v="27th"/>
    <x v="0"/>
    <x v="4"/>
    <x v="1"/>
  </r>
  <r>
    <x v="0"/>
    <x v="1"/>
    <x v="1"/>
    <x v="75"/>
    <x v="72"/>
    <s v="27th October 2019"/>
    <s v="27th"/>
    <x v="0"/>
    <x v="4"/>
    <x v="1"/>
  </r>
  <r>
    <x v="0"/>
    <x v="8"/>
    <x v="1"/>
    <x v="76"/>
    <x v="73"/>
    <s v="27th October 2019"/>
    <s v="27th"/>
    <x v="0"/>
    <x v="4"/>
    <x v="1"/>
  </r>
  <r>
    <x v="0"/>
    <x v="8"/>
    <x v="1"/>
    <x v="77"/>
    <x v="74"/>
    <s v="27th October 2019"/>
    <s v="27th"/>
    <x v="0"/>
    <x v="4"/>
    <x v="1"/>
  </r>
  <r>
    <x v="0"/>
    <x v="6"/>
    <x v="1"/>
    <x v="78"/>
    <x v="75"/>
    <s v="27th October 2019"/>
    <s v="27th"/>
    <x v="0"/>
    <x v="4"/>
    <x v="1"/>
  </r>
  <r>
    <x v="0"/>
    <x v="1"/>
    <x v="1"/>
    <x v="79"/>
    <x v="76"/>
    <s v="27th October 2019"/>
    <s v="27th"/>
    <x v="0"/>
    <x v="4"/>
    <x v="1"/>
  </r>
  <r>
    <x v="0"/>
    <x v="1"/>
    <x v="1"/>
    <x v="80"/>
    <x v="77"/>
    <s v="12th June 2019"/>
    <s v="12th"/>
    <x v="3"/>
    <x v="4"/>
    <x v="1"/>
  </r>
  <r>
    <x v="0"/>
    <x v="3"/>
    <x v="2"/>
    <x v="81"/>
    <x v="78"/>
    <s v="12th June 2019"/>
    <s v="12th"/>
    <x v="3"/>
    <x v="4"/>
    <x v="0"/>
  </r>
  <r>
    <x v="0"/>
    <x v="1"/>
    <x v="1"/>
    <x v="82"/>
    <x v="79"/>
    <s v="12th June 2019"/>
    <s v="12th"/>
    <x v="3"/>
    <x v="4"/>
    <x v="1"/>
  </r>
  <r>
    <x v="0"/>
    <x v="1"/>
    <x v="1"/>
    <x v="83"/>
    <x v="80"/>
    <s v="12th June 2019"/>
    <s v="12th"/>
    <x v="3"/>
    <x v="4"/>
    <x v="1"/>
  </r>
  <r>
    <x v="0"/>
    <x v="8"/>
    <x v="1"/>
    <x v="84"/>
    <x v="81"/>
    <s v="12th June 2019"/>
    <s v="12th"/>
    <x v="3"/>
    <x v="4"/>
    <x v="1"/>
  </r>
  <r>
    <x v="0"/>
    <x v="1"/>
    <x v="1"/>
    <x v="85"/>
    <x v="82"/>
    <s v="12th June 2019"/>
    <s v="12th"/>
    <x v="3"/>
    <x v="4"/>
    <x v="1"/>
  </r>
  <r>
    <x v="0"/>
    <x v="1"/>
    <x v="1"/>
    <x v="86"/>
    <x v="83"/>
    <s v="12th June 2019"/>
    <s v="12th"/>
    <x v="3"/>
    <x v="4"/>
    <x v="1"/>
  </r>
  <r>
    <x v="0"/>
    <x v="3"/>
    <x v="2"/>
    <x v="87"/>
    <x v="84"/>
    <s v="12th June 2019"/>
    <s v="12th"/>
    <x v="3"/>
    <x v="4"/>
    <x v="0"/>
  </r>
  <r>
    <x v="0"/>
    <x v="0"/>
    <x v="0"/>
    <x v="88"/>
    <x v="85"/>
    <s v="12th June 2019"/>
    <s v="12th"/>
    <x v="3"/>
    <x v="4"/>
    <x v="1"/>
  </r>
  <r>
    <x v="0"/>
    <x v="3"/>
    <x v="2"/>
    <x v="89"/>
    <x v="86"/>
    <s v="12th June 2019"/>
    <s v="12th"/>
    <x v="3"/>
    <x v="4"/>
    <x v="0"/>
  </r>
  <r>
    <x v="0"/>
    <x v="1"/>
    <x v="1"/>
    <x v="90"/>
    <x v="87"/>
    <s v="24th November 2018"/>
    <s v="24th"/>
    <x v="6"/>
    <x v="5"/>
    <x v="1"/>
  </r>
  <r>
    <x v="0"/>
    <x v="4"/>
    <x v="2"/>
    <x v="91"/>
    <x v="88"/>
    <s v="24th November 2018"/>
    <s v="24th"/>
    <x v="6"/>
    <x v="5"/>
    <x v="0"/>
  </r>
  <r>
    <x v="0"/>
    <x v="1"/>
    <x v="1"/>
    <x v="92"/>
    <x v="89"/>
    <s v="24th November 2018"/>
    <s v="24th"/>
    <x v="6"/>
    <x v="5"/>
    <x v="1"/>
  </r>
  <r>
    <x v="0"/>
    <x v="6"/>
    <x v="1"/>
    <x v="93"/>
    <x v="90"/>
    <s v="24th November 2018"/>
    <s v="24th"/>
    <x v="6"/>
    <x v="5"/>
    <x v="1"/>
  </r>
  <r>
    <x v="0"/>
    <x v="1"/>
    <x v="1"/>
    <x v="94"/>
    <x v="91"/>
    <s v="24th November 2018"/>
    <s v="24th"/>
    <x v="6"/>
    <x v="5"/>
    <x v="1"/>
  </r>
  <r>
    <x v="0"/>
    <x v="1"/>
    <x v="1"/>
    <x v="95"/>
    <x v="92"/>
    <s v="24th November 2018"/>
    <s v="24th"/>
    <x v="6"/>
    <x v="5"/>
    <x v="1"/>
  </r>
  <r>
    <x v="0"/>
    <x v="2"/>
    <x v="2"/>
    <x v="96"/>
    <x v="93"/>
    <s v="24th November 2018"/>
    <s v="24th"/>
    <x v="6"/>
    <x v="5"/>
    <x v="0"/>
  </r>
  <r>
    <x v="0"/>
    <x v="1"/>
    <x v="1"/>
    <x v="97"/>
    <x v="94"/>
    <s v="24th November 2018"/>
    <s v="24th"/>
    <x v="6"/>
    <x v="5"/>
    <x v="1"/>
  </r>
  <r>
    <x v="0"/>
    <x v="1"/>
    <x v="1"/>
    <x v="98"/>
    <x v="95"/>
    <s v="24th November 2018"/>
    <s v="24th"/>
    <x v="6"/>
    <x v="5"/>
    <x v="1"/>
  </r>
  <r>
    <x v="0"/>
    <x v="6"/>
    <x v="1"/>
    <x v="99"/>
    <x v="96"/>
    <s v="24th November 2018"/>
    <s v="24th"/>
    <x v="6"/>
    <x v="5"/>
    <x v="1"/>
  </r>
  <r>
    <x v="0"/>
    <x v="1"/>
    <x v="1"/>
    <x v="100"/>
    <x v="97"/>
    <s v="14th May 2018"/>
    <s v="14th"/>
    <x v="7"/>
    <x v="5"/>
    <x v="1"/>
  </r>
  <r>
    <x v="0"/>
    <x v="1"/>
    <x v="1"/>
    <x v="101"/>
    <x v="98"/>
    <s v="14th May 2018"/>
    <s v="14th"/>
    <x v="7"/>
    <x v="5"/>
    <x v="1"/>
  </r>
  <r>
    <x v="0"/>
    <x v="7"/>
    <x v="0"/>
    <x v="102"/>
    <x v="99"/>
    <s v="14th May 2018"/>
    <s v="14th"/>
    <x v="7"/>
    <x v="5"/>
    <x v="0"/>
  </r>
  <r>
    <x v="0"/>
    <x v="6"/>
    <x v="1"/>
    <x v="103"/>
    <x v="100"/>
    <s v="14th May 2018"/>
    <s v="14th"/>
    <x v="7"/>
    <x v="5"/>
    <x v="1"/>
  </r>
  <r>
    <x v="0"/>
    <x v="7"/>
    <x v="0"/>
    <x v="104"/>
    <x v="101"/>
    <s v="14th May 2018"/>
    <s v="14th"/>
    <x v="7"/>
    <x v="5"/>
    <x v="0"/>
  </r>
  <r>
    <x v="0"/>
    <x v="4"/>
    <x v="2"/>
    <x v="105"/>
    <x v="102"/>
    <s v="14th May 2018"/>
    <s v="14th"/>
    <x v="7"/>
    <x v="5"/>
    <x v="0"/>
  </r>
  <r>
    <x v="0"/>
    <x v="6"/>
    <x v="1"/>
    <x v="106"/>
    <x v="103"/>
    <s v="14th May 2018"/>
    <s v="14th"/>
    <x v="7"/>
    <x v="5"/>
    <x v="1"/>
  </r>
  <r>
    <x v="0"/>
    <x v="4"/>
    <x v="2"/>
    <x v="107"/>
    <x v="104"/>
    <s v="14th May 2018"/>
    <s v="14th"/>
    <x v="7"/>
    <x v="5"/>
    <x v="0"/>
  </r>
  <r>
    <x v="0"/>
    <x v="1"/>
    <x v="1"/>
    <x v="108"/>
    <x v="105"/>
    <s v="14th May 2018"/>
    <s v="14th"/>
    <x v="7"/>
    <x v="5"/>
    <x v="1"/>
  </r>
  <r>
    <x v="0"/>
    <x v="6"/>
    <x v="1"/>
    <x v="109"/>
    <x v="106"/>
    <s v="14th May 2018"/>
    <s v="14th"/>
    <x v="7"/>
    <x v="5"/>
    <x v="1"/>
  </r>
  <r>
    <x v="0"/>
    <x v="1"/>
    <x v="1"/>
    <x v="110"/>
    <x v="107"/>
    <s v="20th October 2017"/>
    <s v="20th"/>
    <x v="0"/>
    <x v="6"/>
    <x v="1"/>
  </r>
  <r>
    <x v="0"/>
    <x v="8"/>
    <x v="1"/>
    <x v="111"/>
    <x v="108"/>
    <s v="20th October 2017"/>
    <s v="20th"/>
    <x v="0"/>
    <x v="6"/>
    <x v="1"/>
  </r>
  <r>
    <x v="0"/>
    <x v="5"/>
    <x v="0"/>
    <x v="112"/>
    <x v="109"/>
    <s v="20th October 2017"/>
    <s v="20th"/>
    <x v="0"/>
    <x v="6"/>
    <x v="0"/>
  </r>
  <r>
    <x v="0"/>
    <x v="1"/>
    <x v="1"/>
    <x v="113"/>
    <x v="110"/>
    <s v="20th October 2017"/>
    <s v="20th"/>
    <x v="0"/>
    <x v="6"/>
    <x v="1"/>
  </r>
  <r>
    <x v="0"/>
    <x v="9"/>
    <x v="1"/>
    <x v="114"/>
    <x v="111"/>
    <s v="20th October 2017"/>
    <s v="20th"/>
    <x v="0"/>
    <x v="6"/>
    <x v="1"/>
  </r>
  <r>
    <x v="0"/>
    <x v="1"/>
    <x v="1"/>
    <x v="115"/>
    <x v="112"/>
    <s v="20th October 2017"/>
    <s v="20th"/>
    <x v="0"/>
    <x v="6"/>
    <x v="1"/>
  </r>
  <r>
    <x v="0"/>
    <x v="1"/>
    <x v="1"/>
    <x v="116"/>
    <x v="113"/>
    <s v="20th October 2017"/>
    <s v="20th"/>
    <x v="0"/>
    <x v="6"/>
    <x v="1"/>
  </r>
  <r>
    <x v="0"/>
    <x v="7"/>
    <x v="0"/>
    <x v="117"/>
    <x v="114"/>
    <s v="20th October 2017"/>
    <s v="20th"/>
    <x v="0"/>
    <x v="6"/>
    <x v="1"/>
  </r>
  <r>
    <x v="0"/>
    <x v="9"/>
    <x v="1"/>
    <x v="118"/>
    <x v="115"/>
    <s v="20th October 2017"/>
    <s v="20th"/>
    <x v="0"/>
    <x v="6"/>
    <x v="1"/>
  </r>
  <r>
    <x v="0"/>
    <x v="5"/>
    <x v="0"/>
    <x v="119"/>
    <x v="116"/>
    <s v="20th October 2017"/>
    <s v="20th"/>
    <x v="0"/>
    <x v="6"/>
    <x v="0"/>
  </r>
  <r>
    <x v="1"/>
    <x v="3"/>
    <x v="2"/>
    <x v="120"/>
    <x v="117"/>
    <s v="26th September 2024"/>
    <s v="26th"/>
    <x v="2"/>
    <x v="7"/>
    <x v="0"/>
  </r>
  <r>
    <x v="1"/>
    <x v="1"/>
    <x v="1"/>
    <x v="121"/>
    <x v="118"/>
    <s v="26th September 2024"/>
    <s v="26th"/>
    <x v="2"/>
    <x v="7"/>
    <x v="1"/>
  </r>
  <r>
    <x v="1"/>
    <x v="1"/>
    <x v="1"/>
    <x v="122"/>
    <x v="119"/>
    <s v="26th September 2024"/>
    <s v="26th"/>
    <x v="2"/>
    <x v="7"/>
    <x v="1"/>
  </r>
  <r>
    <x v="1"/>
    <x v="1"/>
    <x v="1"/>
    <x v="123"/>
    <x v="120"/>
    <s v="26th September 2024"/>
    <s v="26th"/>
    <x v="2"/>
    <x v="7"/>
    <x v="1"/>
  </r>
  <r>
    <x v="1"/>
    <x v="1"/>
    <x v="1"/>
    <x v="124"/>
    <x v="121"/>
    <s v="26th September 2024"/>
    <s v="26th"/>
    <x v="2"/>
    <x v="7"/>
    <x v="1"/>
  </r>
  <r>
    <x v="1"/>
    <x v="1"/>
    <x v="1"/>
    <x v="125"/>
    <x v="122"/>
    <s v="26th September 2024"/>
    <s v="26th"/>
    <x v="2"/>
    <x v="7"/>
    <x v="1"/>
  </r>
  <r>
    <x v="1"/>
    <x v="6"/>
    <x v="1"/>
    <x v="126"/>
    <x v="123"/>
    <s v="26th September 2024"/>
    <s v="26th"/>
    <x v="2"/>
    <x v="7"/>
    <x v="0"/>
  </r>
  <r>
    <x v="1"/>
    <x v="2"/>
    <x v="2"/>
    <x v="127"/>
    <x v="124"/>
    <s v="26th September 2024"/>
    <s v="26th"/>
    <x v="2"/>
    <x v="7"/>
    <x v="0"/>
  </r>
  <r>
    <x v="1"/>
    <x v="1"/>
    <x v="1"/>
    <x v="128"/>
    <x v="125"/>
    <s v="26th September 2024"/>
    <s v="26th"/>
    <x v="2"/>
    <x v="7"/>
    <x v="1"/>
  </r>
  <r>
    <x v="1"/>
    <x v="1"/>
    <x v="1"/>
    <x v="129"/>
    <x v="126"/>
    <s v="26th September 2024"/>
    <s v="26th"/>
    <x v="2"/>
    <x v="7"/>
    <x v="1"/>
  </r>
  <r>
    <x v="1"/>
    <x v="1"/>
    <x v="1"/>
    <x v="130"/>
    <x v="127"/>
    <s v="11th September 2024"/>
    <s v="11th"/>
    <x v="2"/>
    <x v="7"/>
    <x v="1"/>
  </r>
  <r>
    <x v="1"/>
    <x v="6"/>
    <x v="1"/>
    <x v="131"/>
    <x v="128"/>
    <s v="11th September 2024"/>
    <s v="11th"/>
    <x v="2"/>
    <x v="7"/>
    <x v="1"/>
  </r>
  <r>
    <x v="1"/>
    <x v="1"/>
    <x v="1"/>
    <x v="132"/>
    <x v="129"/>
    <s v="11th September 2024"/>
    <s v="11th"/>
    <x v="2"/>
    <x v="7"/>
    <x v="1"/>
  </r>
  <r>
    <x v="1"/>
    <x v="6"/>
    <x v="1"/>
    <x v="133"/>
    <x v="130"/>
    <s v="11th September 2024"/>
    <s v="11th"/>
    <x v="2"/>
    <x v="7"/>
    <x v="1"/>
  </r>
  <r>
    <x v="1"/>
    <x v="1"/>
    <x v="1"/>
    <x v="134"/>
    <x v="131"/>
    <s v="11th September 2024"/>
    <s v="11th"/>
    <x v="2"/>
    <x v="7"/>
    <x v="1"/>
  </r>
  <r>
    <x v="1"/>
    <x v="6"/>
    <x v="1"/>
    <x v="135"/>
    <x v="132"/>
    <s v="11th September 2024"/>
    <s v="11th"/>
    <x v="2"/>
    <x v="7"/>
    <x v="1"/>
  </r>
  <r>
    <x v="1"/>
    <x v="5"/>
    <x v="0"/>
    <x v="136"/>
    <x v="133"/>
    <s v="11th September 2024"/>
    <s v="11th"/>
    <x v="2"/>
    <x v="7"/>
    <x v="0"/>
  </r>
  <r>
    <x v="1"/>
    <x v="6"/>
    <x v="1"/>
    <x v="137"/>
    <x v="134"/>
    <s v="11th September 2024"/>
    <s v="11th"/>
    <x v="2"/>
    <x v="7"/>
    <x v="1"/>
  </r>
  <r>
    <x v="1"/>
    <x v="1"/>
    <x v="1"/>
    <x v="138"/>
    <x v="135"/>
    <s v="11th September 2024"/>
    <s v="11th"/>
    <x v="2"/>
    <x v="7"/>
    <x v="1"/>
  </r>
  <r>
    <x v="1"/>
    <x v="1"/>
    <x v="1"/>
    <x v="139"/>
    <x v="136"/>
    <s v="11th September 2024"/>
    <s v="11th"/>
    <x v="2"/>
    <x v="7"/>
    <x v="1"/>
  </r>
  <r>
    <x v="1"/>
    <x v="7"/>
    <x v="0"/>
    <x v="140"/>
    <x v="137"/>
    <s v="27th August 2024"/>
    <s v="27th"/>
    <x v="8"/>
    <x v="7"/>
    <x v="1"/>
  </r>
  <r>
    <x v="1"/>
    <x v="1"/>
    <x v="1"/>
    <x v="141"/>
    <x v="138"/>
    <s v="27th August 2024"/>
    <s v="27th"/>
    <x v="8"/>
    <x v="7"/>
    <x v="1"/>
  </r>
  <r>
    <x v="1"/>
    <x v="1"/>
    <x v="1"/>
    <x v="142"/>
    <x v="139"/>
    <s v="27th August 2024"/>
    <s v="27th"/>
    <x v="8"/>
    <x v="7"/>
    <x v="1"/>
  </r>
  <r>
    <x v="1"/>
    <x v="1"/>
    <x v="1"/>
    <x v="143"/>
    <x v="140"/>
    <s v="27th August 2024"/>
    <s v="27th"/>
    <x v="8"/>
    <x v="7"/>
    <x v="1"/>
  </r>
  <r>
    <x v="1"/>
    <x v="1"/>
    <x v="1"/>
    <x v="144"/>
    <x v="141"/>
    <s v="27th August 2024"/>
    <s v="27th"/>
    <x v="8"/>
    <x v="7"/>
    <x v="1"/>
  </r>
  <r>
    <x v="1"/>
    <x v="1"/>
    <x v="1"/>
    <x v="145"/>
    <x v="142"/>
    <s v="27th August 2024"/>
    <s v="27th"/>
    <x v="8"/>
    <x v="7"/>
    <x v="1"/>
  </r>
  <r>
    <x v="1"/>
    <x v="1"/>
    <x v="1"/>
    <x v="146"/>
    <x v="143"/>
    <s v="27th August 2024"/>
    <s v="27th"/>
    <x v="8"/>
    <x v="7"/>
    <x v="1"/>
  </r>
  <r>
    <x v="1"/>
    <x v="6"/>
    <x v="1"/>
    <x v="147"/>
    <x v="144"/>
    <s v="27th August 2024"/>
    <s v="27th"/>
    <x v="8"/>
    <x v="7"/>
    <x v="1"/>
  </r>
  <r>
    <x v="1"/>
    <x v="1"/>
    <x v="1"/>
    <x v="148"/>
    <x v="145"/>
    <s v="27th August 2024"/>
    <s v="27th"/>
    <x v="8"/>
    <x v="7"/>
    <x v="1"/>
  </r>
  <r>
    <x v="1"/>
    <x v="1"/>
    <x v="1"/>
    <x v="149"/>
    <x v="146"/>
    <s v="27th August 2024"/>
    <s v="27th"/>
    <x v="8"/>
    <x v="7"/>
    <x v="1"/>
  </r>
  <r>
    <x v="1"/>
    <x v="1"/>
    <x v="1"/>
    <x v="150"/>
    <x v="147"/>
    <s v="19th July 2024"/>
    <s v="19th"/>
    <x v="9"/>
    <x v="7"/>
    <x v="1"/>
  </r>
  <r>
    <x v="1"/>
    <x v="6"/>
    <x v="1"/>
    <x v="151"/>
    <x v="148"/>
    <s v="19th July 2024"/>
    <s v="19th"/>
    <x v="9"/>
    <x v="7"/>
    <x v="1"/>
  </r>
  <r>
    <x v="1"/>
    <x v="1"/>
    <x v="1"/>
    <x v="152"/>
    <x v="149"/>
    <s v="19th July 2024"/>
    <s v="19th"/>
    <x v="9"/>
    <x v="7"/>
    <x v="1"/>
  </r>
  <r>
    <x v="1"/>
    <x v="1"/>
    <x v="1"/>
    <x v="153"/>
    <x v="150"/>
    <s v="19th July 2024"/>
    <s v="19th"/>
    <x v="9"/>
    <x v="7"/>
    <x v="1"/>
  </r>
  <r>
    <x v="1"/>
    <x v="1"/>
    <x v="1"/>
    <x v="154"/>
    <x v="151"/>
    <s v="19th July 2024"/>
    <s v="19th"/>
    <x v="9"/>
    <x v="7"/>
    <x v="1"/>
  </r>
  <r>
    <x v="1"/>
    <x v="1"/>
    <x v="1"/>
    <x v="155"/>
    <x v="152"/>
    <s v="19th July 2024"/>
    <s v="19th"/>
    <x v="9"/>
    <x v="7"/>
    <x v="1"/>
  </r>
  <r>
    <x v="1"/>
    <x v="1"/>
    <x v="1"/>
    <x v="156"/>
    <x v="153"/>
    <s v="19th July 2024"/>
    <s v="19th"/>
    <x v="9"/>
    <x v="7"/>
    <x v="1"/>
  </r>
  <r>
    <x v="1"/>
    <x v="1"/>
    <x v="1"/>
    <x v="157"/>
    <x v="154"/>
    <s v="19th July 2024"/>
    <s v="19th"/>
    <x v="9"/>
    <x v="7"/>
    <x v="1"/>
  </r>
  <r>
    <x v="1"/>
    <x v="7"/>
    <x v="0"/>
    <x v="158"/>
    <x v="155"/>
    <s v="19th July 2024"/>
    <s v="19th"/>
    <x v="9"/>
    <x v="7"/>
    <x v="0"/>
  </r>
  <r>
    <x v="1"/>
    <x v="1"/>
    <x v="1"/>
    <x v="159"/>
    <x v="156"/>
    <s v="19th July 2024"/>
    <s v="19th"/>
    <x v="9"/>
    <x v="7"/>
    <x v="1"/>
  </r>
  <r>
    <x v="1"/>
    <x v="1"/>
    <x v="1"/>
    <x v="160"/>
    <x v="157"/>
    <s v="19th June 2024"/>
    <s v="19th"/>
    <x v="3"/>
    <x v="7"/>
    <x v="1"/>
  </r>
  <r>
    <x v="1"/>
    <x v="4"/>
    <x v="2"/>
    <x v="161"/>
    <x v="158"/>
    <s v="19th June 2024"/>
    <s v="19th"/>
    <x v="3"/>
    <x v="7"/>
    <x v="0"/>
  </r>
  <r>
    <x v="1"/>
    <x v="6"/>
    <x v="1"/>
    <x v="162"/>
    <x v="159"/>
    <s v="19th June 2024"/>
    <s v="19th"/>
    <x v="3"/>
    <x v="7"/>
    <x v="1"/>
  </r>
  <r>
    <x v="1"/>
    <x v="1"/>
    <x v="1"/>
    <x v="163"/>
    <x v="160"/>
    <s v="19th June 2024"/>
    <s v="19th"/>
    <x v="3"/>
    <x v="7"/>
    <x v="1"/>
  </r>
  <r>
    <x v="1"/>
    <x v="9"/>
    <x v="1"/>
    <x v="164"/>
    <x v="161"/>
    <s v="19th June 2024"/>
    <s v="19th"/>
    <x v="3"/>
    <x v="7"/>
    <x v="1"/>
  </r>
  <r>
    <x v="1"/>
    <x v="1"/>
    <x v="1"/>
    <x v="165"/>
    <x v="162"/>
    <s v="19th June 2024"/>
    <s v="19th"/>
    <x v="3"/>
    <x v="7"/>
    <x v="1"/>
  </r>
  <r>
    <x v="1"/>
    <x v="6"/>
    <x v="1"/>
    <x v="166"/>
    <x v="163"/>
    <s v="19th June 2024"/>
    <s v="19th"/>
    <x v="3"/>
    <x v="7"/>
    <x v="1"/>
  </r>
  <r>
    <x v="1"/>
    <x v="3"/>
    <x v="2"/>
    <x v="167"/>
    <x v="164"/>
    <s v="19th June 2024"/>
    <s v="19th"/>
    <x v="3"/>
    <x v="7"/>
    <x v="0"/>
  </r>
  <r>
    <x v="1"/>
    <x v="1"/>
    <x v="1"/>
    <x v="168"/>
    <x v="165"/>
    <s v="19th June 2024"/>
    <s v="19th"/>
    <x v="3"/>
    <x v="7"/>
    <x v="1"/>
  </r>
  <r>
    <x v="1"/>
    <x v="1"/>
    <x v="1"/>
    <x v="169"/>
    <x v="166"/>
    <s v="19th June 2024"/>
    <s v="19th"/>
    <x v="3"/>
    <x v="7"/>
    <x v="1"/>
  </r>
  <r>
    <x v="1"/>
    <x v="1"/>
    <x v="1"/>
    <x v="170"/>
    <x v="167"/>
    <s v="17th May 2024"/>
    <s v="17th"/>
    <x v="7"/>
    <x v="7"/>
    <x v="1"/>
  </r>
  <r>
    <x v="1"/>
    <x v="1"/>
    <x v="1"/>
    <x v="171"/>
    <x v="168"/>
    <s v="17th May 2024"/>
    <s v="17th"/>
    <x v="7"/>
    <x v="7"/>
    <x v="1"/>
  </r>
  <r>
    <x v="1"/>
    <x v="1"/>
    <x v="1"/>
    <x v="172"/>
    <x v="169"/>
    <s v="17th May 2024"/>
    <s v="17th"/>
    <x v="7"/>
    <x v="7"/>
    <x v="1"/>
  </r>
  <r>
    <x v="1"/>
    <x v="1"/>
    <x v="1"/>
    <x v="173"/>
    <x v="170"/>
    <s v="17th May 2024"/>
    <s v="17th"/>
    <x v="7"/>
    <x v="7"/>
    <x v="1"/>
  </r>
  <r>
    <x v="1"/>
    <x v="1"/>
    <x v="1"/>
    <x v="174"/>
    <x v="171"/>
    <s v="17th May 2024"/>
    <s v="17th"/>
    <x v="7"/>
    <x v="7"/>
    <x v="1"/>
  </r>
  <r>
    <x v="1"/>
    <x v="1"/>
    <x v="1"/>
    <x v="175"/>
    <x v="172"/>
    <s v="17th May 2024"/>
    <s v="17th"/>
    <x v="7"/>
    <x v="7"/>
    <x v="1"/>
  </r>
  <r>
    <x v="1"/>
    <x v="1"/>
    <x v="1"/>
    <x v="176"/>
    <x v="173"/>
    <s v="17th May 2024"/>
    <s v="17th"/>
    <x v="7"/>
    <x v="7"/>
    <x v="1"/>
  </r>
  <r>
    <x v="1"/>
    <x v="1"/>
    <x v="1"/>
    <x v="177"/>
    <x v="174"/>
    <s v="17th May 2024"/>
    <s v="17th"/>
    <x v="7"/>
    <x v="7"/>
    <x v="1"/>
  </r>
  <r>
    <x v="1"/>
    <x v="6"/>
    <x v="1"/>
    <x v="178"/>
    <x v="175"/>
    <s v="17th May 2024"/>
    <s v="17th"/>
    <x v="7"/>
    <x v="7"/>
    <x v="1"/>
  </r>
  <r>
    <x v="1"/>
    <x v="6"/>
    <x v="1"/>
    <x v="179"/>
    <x v="176"/>
    <s v="17th May 2024"/>
    <s v="17th"/>
    <x v="7"/>
    <x v="7"/>
    <x v="1"/>
  </r>
  <r>
    <x v="1"/>
    <x v="1"/>
    <x v="1"/>
    <x v="180"/>
    <x v="177"/>
    <s v="29th April 2024"/>
    <s v="29th"/>
    <x v="1"/>
    <x v="7"/>
    <x v="1"/>
  </r>
  <r>
    <x v="1"/>
    <x v="6"/>
    <x v="1"/>
    <x v="181"/>
    <x v="178"/>
    <s v="29th April 2024"/>
    <s v="29th"/>
    <x v="1"/>
    <x v="7"/>
    <x v="1"/>
  </r>
  <r>
    <x v="1"/>
    <x v="3"/>
    <x v="2"/>
    <x v="26"/>
    <x v="179"/>
    <s v="29th April 2024"/>
    <s v="29th"/>
    <x v="1"/>
    <x v="7"/>
    <x v="0"/>
  </r>
  <r>
    <x v="1"/>
    <x v="5"/>
    <x v="0"/>
    <x v="182"/>
    <x v="180"/>
    <s v="29th April 2024"/>
    <s v="29th"/>
    <x v="1"/>
    <x v="7"/>
    <x v="0"/>
  </r>
  <r>
    <x v="1"/>
    <x v="1"/>
    <x v="1"/>
    <x v="183"/>
    <x v="181"/>
    <s v="29th April 2024"/>
    <s v="29th"/>
    <x v="1"/>
    <x v="7"/>
    <x v="1"/>
  </r>
  <r>
    <x v="1"/>
    <x v="1"/>
    <x v="1"/>
    <x v="184"/>
    <x v="182"/>
    <s v="29th April 2024"/>
    <s v="29th"/>
    <x v="1"/>
    <x v="7"/>
    <x v="1"/>
  </r>
  <r>
    <x v="1"/>
    <x v="1"/>
    <x v="1"/>
    <x v="185"/>
    <x v="183"/>
    <s v="29th April 2024"/>
    <s v="29th"/>
    <x v="1"/>
    <x v="7"/>
    <x v="1"/>
  </r>
  <r>
    <x v="1"/>
    <x v="5"/>
    <x v="0"/>
    <x v="186"/>
    <x v="184"/>
    <s v="29th April 2024"/>
    <s v="29th"/>
    <x v="1"/>
    <x v="7"/>
    <x v="0"/>
  </r>
  <r>
    <x v="1"/>
    <x v="4"/>
    <x v="2"/>
    <x v="61"/>
    <x v="184"/>
    <s v="29th April 2024"/>
    <s v="29th"/>
    <x v="1"/>
    <x v="7"/>
    <x v="0"/>
  </r>
  <r>
    <x v="1"/>
    <x v="8"/>
    <x v="1"/>
    <x v="187"/>
    <x v="185"/>
    <s v="29th April 2024"/>
    <s v="29th"/>
    <x v="1"/>
    <x v="7"/>
    <x v="1"/>
  </r>
  <r>
    <x v="1"/>
    <x v="2"/>
    <x v="2"/>
    <x v="188"/>
    <x v="186"/>
    <s v="11th April 2024"/>
    <s v="11th"/>
    <x v="1"/>
    <x v="7"/>
    <x v="0"/>
  </r>
  <r>
    <x v="1"/>
    <x v="8"/>
    <x v="1"/>
    <x v="189"/>
    <x v="187"/>
    <s v="11th April 2024"/>
    <s v="11th"/>
    <x v="1"/>
    <x v="7"/>
    <x v="1"/>
  </r>
  <r>
    <x v="1"/>
    <x v="1"/>
    <x v="1"/>
    <x v="190"/>
    <x v="188"/>
    <s v="11th April 2024"/>
    <s v="11th"/>
    <x v="1"/>
    <x v="7"/>
    <x v="1"/>
  </r>
  <r>
    <x v="1"/>
    <x v="6"/>
    <x v="1"/>
    <x v="191"/>
    <x v="189"/>
    <s v="11th April 2024"/>
    <s v="11th"/>
    <x v="1"/>
    <x v="7"/>
    <x v="1"/>
  </r>
  <r>
    <x v="1"/>
    <x v="8"/>
    <x v="1"/>
    <x v="192"/>
    <x v="190"/>
    <s v="11th April 2024"/>
    <s v="11th"/>
    <x v="1"/>
    <x v="7"/>
    <x v="1"/>
  </r>
  <r>
    <x v="1"/>
    <x v="3"/>
    <x v="2"/>
    <x v="193"/>
    <x v="191"/>
    <s v="11th April 2024"/>
    <s v="11th"/>
    <x v="1"/>
    <x v="7"/>
    <x v="0"/>
  </r>
  <r>
    <x v="1"/>
    <x v="6"/>
    <x v="1"/>
    <x v="194"/>
    <x v="192"/>
    <s v="11th April 2024"/>
    <s v="11th"/>
    <x v="1"/>
    <x v="7"/>
    <x v="1"/>
  </r>
  <r>
    <x v="1"/>
    <x v="6"/>
    <x v="1"/>
    <x v="195"/>
    <x v="193"/>
    <s v="11th April 2024"/>
    <s v="11th"/>
    <x v="1"/>
    <x v="7"/>
    <x v="1"/>
  </r>
  <r>
    <x v="1"/>
    <x v="1"/>
    <x v="1"/>
    <x v="196"/>
    <x v="194"/>
    <s v="11th April 2024"/>
    <s v="11th"/>
    <x v="1"/>
    <x v="7"/>
    <x v="1"/>
  </r>
  <r>
    <x v="1"/>
    <x v="1"/>
    <x v="1"/>
    <x v="197"/>
    <x v="195"/>
    <s v="11th April 2024"/>
    <s v="11th"/>
    <x v="1"/>
    <x v="7"/>
    <x v="1"/>
  </r>
  <r>
    <x v="1"/>
    <x v="1"/>
    <x v="1"/>
    <x v="198"/>
    <x v="196"/>
    <s v="16th March 2024"/>
    <s v="16th"/>
    <x v="10"/>
    <x v="7"/>
    <x v="1"/>
  </r>
  <r>
    <x v="1"/>
    <x v="1"/>
    <x v="1"/>
    <x v="199"/>
    <x v="197"/>
    <s v="16th March 2024"/>
    <s v="16th"/>
    <x v="10"/>
    <x v="7"/>
    <x v="1"/>
  </r>
  <r>
    <x v="1"/>
    <x v="1"/>
    <x v="1"/>
    <x v="200"/>
    <x v="198"/>
    <s v="16th March 2024"/>
    <s v="16th"/>
    <x v="10"/>
    <x v="7"/>
    <x v="1"/>
  </r>
  <r>
    <x v="1"/>
    <x v="3"/>
    <x v="2"/>
    <x v="201"/>
    <x v="199"/>
    <s v="16th March 2024"/>
    <s v="16th"/>
    <x v="10"/>
    <x v="7"/>
    <x v="0"/>
  </r>
  <r>
    <x v="1"/>
    <x v="6"/>
    <x v="1"/>
    <x v="202"/>
    <x v="200"/>
    <s v="16th March 2024"/>
    <s v="16th"/>
    <x v="10"/>
    <x v="7"/>
    <x v="1"/>
  </r>
  <r>
    <x v="1"/>
    <x v="3"/>
    <x v="2"/>
    <x v="203"/>
    <x v="200"/>
    <s v="16th March 2024"/>
    <s v="16th"/>
    <x v="10"/>
    <x v="7"/>
    <x v="0"/>
  </r>
  <r>
    <x v="1"/>
    <x v="1"/>
    <x v="1"/>
    <x v="204"/>
    <x v="201"/>
    <s v="16th March 2024"/>
    <s v="16th"/>
    <x v="10"/>
    <x v="7"/>
    <x v="1"/>
  </r>
  <r>
    <x v="1"/>
    <x v="1"/>
    <x v="1"/>
    <x v="205"/>
    <x v="202"/>
    <s v="16th March 2024"/>
    <s v="16th"/>
    <x v="10"/>
    <x v="7"/>
    <x v="1"/>
  </r>
  <r>
    <x v="1"/>
    <x v="1"/>
    <x v="1"/>
    <x v="206"/>
    <x v="203"/>
    <s v="16th March 2024"/>
    <s v="16th"/>
    <x v="10"/>
    <x v="7"/>
    <x v="1"/>
  </r>
  <r>
    <x v="1"/>
    <x v="3"/>
    <x v="2"/>
    <x v="207"/>
    <x v="204"/>
    <s v="16th March 2024"/>
    <s v="16th"/>
    <x v="10"/>
    <x v="7"/>
    <x v="1"/>
  </r>
  <r>
    <x v="1"/>
    <x v="1"/>
    <x v="1"/>
    <x v="75"/>
    <x v="205"/>
    <s v="3rd March 2024"/>
    <s v="3rd"/>
    <x v="10"/>
    <x v="7"/>
    <x v="1"/>
  </r>
  <r>
    <x v="1"/>
    <x v="1"/>
    <x v="1"/>
    <x v="208"/>
    <x v="206"/>
    <s v="3rd March 2024"/>
    <s v="3rd"/>
    <x v="10"/>
    <x v="7"/>
    <x v="1"/>
  </r>
  <r>
    <x v="1"/>
    <x v="1"/>
    <x v="1"/>
    <x v="209"/>
    <x v="207"/>
    <s v="3rd March 2024"/>
    <s v="3rd"/>
    <x v="10"/>
    <x v="7"/>
    <x v="1"/>
  </r>
  <r>
    <x v="1"/>
    <x v="1"/>
    <x v="1"/>
    <x v="210"/>
    <x v="208"/>
    <s v="3rd March 2024"/>
    <s v="3rd"/>
    <x v="10"/>
    <x v="7"/>
    <x v="1"/>
  </r>
  <r>
    <x v="1"/>
    <x v="1"/>
    <x v="1"/>
    <x v="211"/>
    <x v="209"/>
    <s v="3rd March 2024"/>
    <s v="3rd"/>
    <x v="10"/>
    <x v="7"/>
    <x v="1"/>
  </r>
  <r>
    <x v="1"/>
    <x v="1"/>
    <x v="1"/>
    <x v="212"/>
    <x v="210"/>
    <s v="3rd March 2024"/>
    <s v="3rd"/>
    <x v="10"/>
    <x v="7"/>
    <x v="1"/>
  </r>
  <r>
    <x v="1"/>
    <x v="4"/>
    <x v="2"/>
    <x v="213"/>
    <x v="211"/>
    <s v="3rd March 2024"/>
    <s v="3rd"/>
    <x v="10"/>
    <x v="7"/>
    <x v="0"/>
  </r>
  <r>
    <x v="1"/>
    <x v="1"/>
    <x v="1"/>
    <x v="214"/>
    <x v="212"/>
    <s v="3rd March 2024"/>
    <s v="3rd"/>
    <x v="10"/>
    <x v="7"/>
    <x v="1"/>
  </r>
  <r>
    <x v="1"/>
    <x v="1"/>
    <x v="1"/>
    <x v="215"/>
    <x v="213"/>
    <s v="3rd March 2024"/>
    <s v="3rd"/>
    <x v="10"/>
    <x v="7"/>
    <x v="1"/>
  </r>
  <r>
    <x v="1"/>
    <x v="1"/>
    <x v="1"/>
    <x v="216"/>
    <x v="214"/>
    <s v="3rd March 2024"/>
    <s v="3rd"/>
    <x v="10"/>
    <x v="7"/>
    <x v="0"/>
  </r>
  <r>
    <x v="1"/>
    <x v="2"/>
    <x v="2"/>
    <x v="217"/>
    <x v="215"/>
    <s v="2nd February 2024"/>
    <s v="2nd"/>
    <x v="5"/>
    <x v="7"/>
    <x v="0"/>
  </r>
  <r>
    <x v="1"/>
    <x v="1"/>
    <x v="1"/>
    <x v="218"/>
    <x v="216"/>
    <s v="2nd February 2024"/>
    <s v="2nd"/>
    <x v="5"/>
    <x v="7"/>
    <x v="1"/>
  </r>
  <r>
    <x v="1"/>
    <x v="1"/>
    <x v="1"/>
    <x v="219"/>
    <x v="217"/>
    <s v="2nd February 2024"/>
    <s v="2nd"/>
    <x v="5"/>
    <x v="7"/>
    <x v="1"/>
  </r>
  <r>
    <x v="1"/>
    <x v="1"/>
    <x v="1"/>
    <x v="220"/>
    <x v="218"/>
    <s v="2nd February 2024"/>
    <s v="2nd"/>
    <x v="5"/>
    <x v="7"/>
    <x v="1"/>
  </r>
  <r>
    <x v="1"/>
    <x v="9"/>
    <x v="1"/>
    <x v="221"/>
    <x v="219"/>
    <s v="2nd February 2024"/>
    <s v="2nd"/>
    <x v="5"/>
    <x v="7"/>
    <x v="1"/>
  </r>
  <r>
    <x v="1"/>
    <x v="2"/>
    <x v="2"/>
    <x v="222"/>
    <x v="220"/>
    <s v="2nd February 2024"/>
    <s v="2nd"/>
    <x v="5"/>
    <x v="7"/>
    <x v="0"/>
  </r>
  <r>
    <x v="1"/>
    <x v="1"/>
    <x v="1"/>
    <x v="223"/>
    <x v="221"/>
    <s v="2nd February 2024"/>
    <s v="2nd"/>
    <x v="5"/>
    <x v="7"/>
    <x v="1"/>
  </r>
  <r>
    <x v="1"/>
    <x v="2"/>
    <x v="2"/>
    <x v="224"/>
    <x v="222"/>
    <s v="2nd February 2024"/>
    <s v="2nd"/>
    <x v="5"/>
    <x v="7"/>
    <x v="0"/>
  </r>
  <r>
    <x v="1"/>
    <x v="6"/>
    <x v="1"/>
    <x v="225"/>
    <x v="223"/>
    <s v="2nd February 2024"/>
    <s v="2nd"/>
    <x v="5"/>
    <x v="7"/>
    <x v="1"/>
  </r>
  <r>
    <x v="1"/>
    <x v="2"/>
    <x v="2"/>
    <x v="226"/>
    <x v="224"/>
    <s v="2nd February 2024"/>
    <s v="2nd"/>
    <x v="5"/>
    <x v="7"/>
    <x v="0"/>
  </r>
  <r>
    <x v="1"/>
    <x v="3"/>
    <x v="2"/>
    <x v="227"/>
    <x v="225"/>
    <s v="3rd January 2024"/>
    <s v="3rd"/>
    <x v="11"/>
    <x v="7"/>
    <x v="0"/>
  </r>
  <r>
    <x v="1"/>
    <x v="1"/>
    <x v="1"/>
    <x v="228"/>
    <x v="226"/>
    <s v="3rd January 2024"/>
    <s v="3rd"/>
    <x v="11"/>
    <x v="7"/>
    <x v="1"/>
  </r>
  <r>
    <x v="1"/>
    <x v="1"/>
    <x v="1"/>
    <x v="229"/>
    <x v="227"/>
    <s v="3rd January 2024"/>
    <s v="3rd"/>
    <x v="11"/>
    <x v="7"/>
    <x v="1"/>
  </r>
  <r>
    <x v="1"/>
    <x v="8"/>
    <x v="1"/>
    <x v="230"/>
    <x v="228"/>
    <s v="3rd January 2024"/>
    <s v="3rd"/>
    <x v="11"/>
    <x v="7"/>
    <x v="1"/>
  </r>
  <r>
    <x v="1"/>
    <x v="1"/>
    <x v="1"/>
    <x v="231"/>
    <x v="229"/>
    <s v="3rd January 2024"/>
    <s v="3rd"/>
    <x v="11"/>
    <x v="7"/>
    <x v="1"/>
  </r>
  <r>
    <x v="1"/>
    <x v="6"/>
    <x v="1"/>
    <x v="232"/>
    <x v="230"/>
    <s v="3rd January 2024"/>
    <s v="3rd"/>
    <x v="11"/>
    <x v="7"/>
    <x v="1"/>
  </r>
  <r>
    <x v="1"/>
    <x v="1"/>
    <x v="1"/>
    <x v="233"/>
    <x v="231"/>
    <s v="3rd January 2024"/>
    <s v="3rd"/>
    <x v="11"/>
    <x v="7"/>
    <x v="1"/>
  </r>
  <r>
    <x v="1"/>
    <x v="1"/>
    <x v="1"/>
    <x v="234"/>
    <x v="232"/>
    <s v="3rd January 2024"/>
    <s v="3rd"/>
    <x v="11"/>
    <x v="7"/>
    <x v="1"/>
  </r>
  <r>
    <x v="1"/>
    <x v="1"/>
    <x v="1"/>
    <x v="235"/>
    <x v="233"/>
    <s v="3rd January 2024"/>
    <s v="3rd"/>
    <x v="11"/>
    <x v="7"/>
    <x v="1"/>
  </r>
  <r>
    <x v="1"/>
    <x v="6"/>
    <x v="1"/>
    <x v="236"/>
    <x v="234"/>
    <s v="3rd January 2024"/>
    <s v="3rd"/>
    <x v="11"/>
    <x v="7"/>
    <x v="1"/>
  </r>
  <r>
    <x v="1"/>
    <x v="8"/>
    <x v="1"/>
    <x v="237"/>
    <x v="235"/>
    <s v="5th December 2023"/>
    <s v="5th"/>
    <x v="4"/>
    <x v="0"/>
    <x v="1"/>
  </r>
  <r>
    <x v="1"/>
    <x v="1"/>
    <x v="1"/>
    <x v="238"/>
    <x v="236"/>
    <s v="5th December 2023"/>
    <s v="5th"/>
    <x v="4"/>
    <x v="0"/>
    <x v="1"/>
  </r>
  <r>
    <x v="1"/>
    <x v="1"/>
    <x v="1"/>
    <x v="239"/>
    <x v="237"/>
    <s v="5th December 2023"/>
    <s v="5th"/>
    <x v="4"/>
    <x v="0"/>
    <x v="1"/>
  </r>
  <r>
    <x v="1"/>
    <x v="1"/>
    <x v="1"/>
    <x v="240"/>
    <x v="238"/>
    <s v="5th December 2023"/>
    <s v="5th"/>
    <x v="4"/>
    <x v="0"/>
    <x v="1"/>
  </r>
  <r>
    <x v="1"/>
    <x v="1"/>
    <x v="1"/>
    <x v="241"/>
    <x v="239"/>
    <s v="5th December 2023"/>
    <s v="5th"/>
    <x v="4"/>
    <x v="0"/>
    <x v="1"/>
  </r>
  <r>
    <x v="1"/>
    <x v="1"/>
    <x v="1"/>
    <x v="242"/>
    <x v="240"/>
    <s v="5th December 2023"/>
    <s v="5th"/>
    <x v="4"/>
    <x v="0"/>
    <x v="1"/>
  </r>
  <r>
    <x v="1"/>
    <x v="2"/>
    <x v="2"/>
    <x v="243"/>
    <x v="241"/>
    <s v="5th December 2023"/>
    <s v="5th"/>
    <x v="4"/>
    <x v="0"/>
    <x v="0"/>
  </r>
  <r>
    <x v="1"/>
    <x v="1"/>
    <x v="1"/>
    <x v="244"/>
    <x v="242"/>
    <s v="5th December 2023"/>
    <s v="5th"/>
    <x v="4"/>
    <x v="0"/>
    <x v="1"/>
  </r>
  <r>
    <x v="1"/>
    <x v="6"/>
    <x v="1"/>
    <x v="245"/>
    <x v="243"/>
    <s v="5th December 2023"/>
    <s v="5th"/>
    <x v="4"/>
    <x v="0"/>
    <x v="1"/>
  </r>
  <r>
    <x v="1"/>
    <x v="4"/>
    <x v="2"/>
    <x v="246"/>
    <x v="244"/>
    <s v="5th December 2023"/>
    <s v="5th"/>
    <x v="4"/>
    <x v="0"/>
    <x v="0"/>
  </r>
  <r>
    <x v="1"/>
    <x v="1"/>
    <x v="1"/>
    <x v="247"/>
    <x v="245"/>
    <s v="21st November 2023"/>
    <s v="21st"/>
    <x v="6"/>
    <x v="0"/>
    <x v="1"/>
  </r>
  <r>
    <x v="1"/>
    <x v="1"/>
    <x v="1"/>
    <x v="248"/>
    <x v="246"/>
    <s v="21st November 2023"/>
    <s v="21st"/>
    <x v="6"/>
    <x v="0"/>
    <x v="1"/>
  </r>
  <r>
    <x v="1"/>
    <x v="2"/>
    <x v="2"/>
    <x v="249"/>
    <x v="247"/>
    <s v="21st November 2023"/>
    <s v="21st"/>
    <x v="6"/>
    <x v="0"/>
    <x v="0"/>
  </r>
  <r>
    <x v="1"/>
    <x v="9"/>
    <x v="1"/>
    <x v="250"/>
    <x v="228"/>
    <s v="21st November 2023"/>
    <s v="21st"/>
    <x v="6"/>
    <x v="0"/>
    <x v="1"/>
  </r>
  <r>
    <x v="1"/>
    <x v="2"/>
    <x v="2"/>
    <x v="251"/>
    <x v="248"/>
    <s v="21st November 2023"/>
    <s v="21st"/>
    <x v="6"/>
    <x v="0"/>
    <x v="0"/>
  </r>
  <r>
    <x v="1"/>
    <x v="6"/>
    <x v="1"/>
    <x v="252"/>
    <x v="249"/>
    <s v="21st November 2023"/>
    <s v="21st"/>
    <x v="6"/>
    <x v="0"/>
    <x v="1"/>
  </r>
  <r>
    <x v="1"/>
    <x v="8"/>
    <x v="1"/>
    <x v="253"/>
    <x v="250"/>
    <s v="21st November 2023"/>
    <s v="21st"/>
    <x v="6"/>
    <x v="0"/>
    <x v="1"/>
  </r>
  <r>
    <x v="1"/>
    <x v="1"/>
    <x v="1"/>
    <x v="254"/>
    <x v="251"/>
    <s v="21st November 2023"/>
    <s v="21st"/>
    <x v="6"/>
    <x v="0"/>
    <x v="1"/>
  </r>
  <r>
    <x v="1"/>
    <x v="3"/>
    <x v="2"/>
    <x v="255"/>
    <x v="252"/>
    <s v="21st November 2023"/>
    <s v="21st"/>
    <x v="6"/>
    <x v="0"/>
    <x v="0"/>
  </r>
  <r>
    <x v="1"/>
    <x v="6"/>
    <x v="1"/>
    <x v="256"/>
    <x v="253"/>
    <s v="21st November 2023"/>
    <s v="21st"/>
    <x v="6"/>
    <x v="0"/>
    <x v="1"/>
  </r>
  <r>
    <x v="1"/>
    <x v="1"/>
    <x v="1"/>
    <x v="257"/>
    <x v="254"/>
    <s v="27th October 2023"/>
    <s v="27th"/>
    <x v="0"/>
    <x v="0"/>
    <x v="1"/>
  </r>
  <r>
    <x v="1"/>
    <x v="1"/>
    <x v="1"/>
    <x v="258"/>
    <x v="255"/>
    <s v="27th October 2023"/>
    <s v="27th"/>
    <x v="0"/>
    <x v="0"/>
    <x v="1"/>
  </r>
  <r>
    <x v="1"/>
    <x v="6"/>
    <x v="1"/>
    <x v="259"/>
    <x v="256"/>
    <s v="27th October 2023"/>
    <s v="27th"/>
    <x v="0"/>
    <x v="0"/>
    <x v="1"/>
  </r>
  <r>
    <x v="1"/>
    <x v="1"/>
    <x v="1"/>
    <x v="260"/>
    <x v="257"/>
    <s v="27th October 2023"/>
    <s v="27th"/>
    <x v="0"/>
    <x v="0"/>
    <x v="1"/>
  </r>
  <r>
    <x v="1"/>
    <x v="8"/>
    <x v="1"/>
    <x v="261"/>
    <x v="258"/>
    <s v="27th October 2023"/>
    <s v="27th"/>
    <x v="0"/>
    <x v="0"/>
    <x v="1"/>
  </r>
  <r>
    <x v="1"/>
    <x v="1"/>
    <x v="1"/>
    <x v="262"/>
    <x v="259"/>
    <s v="27th October 2023"/>
    <s v="27th"/>
    <x v="0"/>
    <x v="0"/>
    <x v="1"/>
  </r>
  <r>
    <x v="1"/>
    <x v="1"/>
    <x v="1"/>
    <x v="263"/>
    <x v="260"/>
    <s v="27th October 2023"/>
    <s v="27th"/>
    <x v="0"/>
    <x v="0"/>
    <x v="1"/>
  </r>
  <r>
    <x v="1"/>
    <x v="6"/>
    <x v="1"/>
    <x v="264"/>
    <x v="261"/>
    <s v="27th October 2023"/>
    <s v="27th"/>
    <x v="0"/>
    <x v="0"/>
    <x v="1"/>
  </r>
  <r>
    <x v="1"/>
    <x v="6"/>
    <x v="1"/>
    <x v="265"/>
    <x v="262"/>
    <s v="27th October 2023"/>
    <s v="27th"/>
    <x v="0"/>
    <x v="0"/>
    <x v="1"/>
  </r>
  <r>
    <x v="1"/>
    <x v="1"/>
    <x v="1"/>
    <x v="266"/>
    <x v="263"/>
    <s v="27th October 2023"/>
    <s v="27th"/>
    <x v="0"/>
    <x v="0"/>
    <x v="1"/>
  </r>
  <r>
    <x v="1"/>
    <x v="1"/>
    <x v="1"/>
    <x v="267"/>
    <x v="264"/>
    <s v="9th October 2023"/>
    <s v="9th"/>
    <x v="0"/>
    <x v="0"/>
    <x v="1"/>
  </r>
  <r>
    <x v="1"/>
    <x v="1"/>
    <x v="1"/>
    <x v="268"/>
    <x v="265"/>
    <s v="9th October 2023"/>
    <s v="9th"/>
    <x v="0"/>
    <x v="0"/>
    <x v="1"/>
  </r>
  <r>
    <x v="1"/>
    <x v="1"/>
    <x v="1"/>
    <x v="269"/>
    <x v="266"/>
    <s v="9th October 2023"/>
    <s v="9th"/>
    <x v="0"/>
    <x v="0"/>
    <x v="1"/>
  </r>
  <r>
    <x v="1"/>
    <x v="8"/>
    <x v="1"/>
    <x v="270"/>
    <x v="267"/>
    <s v="9th October 2023"/>
    <s v="9th"/>
    <x v="0"/>
    <x v="0"/>
    <x v="1"/>
  </r>
  <r>
    <x v="1"/>
    <x v="1"/>
    <x v="1"/>
    <x v="271"/>
    <x v="268"/>
    <s v="9th October 2023"/>
    <s v="9th"/>
    <x v="0"/>
    <x v="0"/>
    <x v="1"/>
  </r>
  <r>
    <x v="1"/>
    <x v="6"/>
    <x v="1"/>
    <x v="272"/>
    <x v="269"/>
    <s v="9th October 2023"/>
    <s v="9th"/>
    <x v="0"/>
    <x v="0"/>
    <x v="1"/>
  </r>
  <r>
    <x v="1"/>
    <x v="1"/>
    <x v="1"/>
    <x v="273"/>
    <x v="270"/>
    <s v="9th October 2023"/>
    <s v="9th"/>
    <x v="0"/>
    <x v="0"/>
    <x v="1"/>
  </r>
  <r>
    <x v="1"/>
    <x v="1"/>
    <x v="1"/>
    <x v="274"/>
    <x v="271"/>
    <s v="9th October 2023"/>
    <s v="9th"/>
    <x v="0"/>
    <x v="0"/>
    <x v="1"/>
  </r>
  <r>
    <x v="1"/>
    <x v="8"/>
    <x v="1"/>
    <x v="275"/>
    <x v="272"/>
    <s v="9th October 2023"/>
    <s v="9th"/>
    <x v="0"/>
    <x v="0"/>
    <x v="1"/>
  </r>
  <r>
    <x v="1"/>
    <x v="6"/>
    <x v="1"/>
    <x v="276"/>
    <x v="273"/>
    <s v="9th October 2023"/>
    <s v="9th"/>
    <x v="0"/>
    <x v="0"/>
    <x v="1"/>
  </r>
  <r>
    <x v="1"/>
    <x v="6"/>
    <x v="1"/>
    <x v="277"/>
    <x v="274"/>
    <s v="26th September 2023"/>
    <s v="26th"/>
    <x v="2"/>
    <x v="0"/>
    <x v="1"/>
  </r>
  <r>
    <x v="1"/>
    <x v="1"/>
    <x v="1"/>
    <x v="278"/>
    <x v="275"/>
    <s v="26th September 2023"/>
    <s v="26th"/>
    <x v="2"/>
    <x v="0"/>
    <x v="1"/>
  </r>
  <r>
    <x v="1"/>
    <x v="1"/>
    <x v="1"/>
    <x v="279"/>
    <x v="276"/>
    <s v="26th September 2023"/>
    <s v="26th"/>
    <x v="2"/>
    <x v="0"/>
    <x v="1"/>
  </r>
  <r>
    <x v="1"/>
    <x v="1"/>
    <x v="1"/>
    <x v="280"/>
    <x v="277"/>
    <s v="26th September 2023"/>
    <s v="26th"/>
    <x v="2"/>
    <x v="0"/>
    <x v="1"/>
  </r>
  <r>
    <x v="1"/>
    <x v="9"/>
    <x v="1"/>
    <x v="281"/>
    <x v="278"/>
    <s v="26th September 2023"/>
    <s v="26th"/>
    <x v="2"/>
    <x v="0"/>
    <x v="0"/>
  </r>
  <r>
    <x v="1"/>
    <x v="6"/>
    <x v="1"/>
    <x v="282"/>
    <x v="279"/>
    <s v="26th September 2023"/>
    <s v="26th"/>
    <x v="2"/>
    <x v="0"/>
    <x v="1"/>
  </r>
  <r>
    <x v="1"/>
    <x v="6"/>
    <x v="1"/>
    <x v="283"/>
    <x v="280"/>
    <s v="26th September 2023"/>
    <s v="26th"/>
    <x v="2"/>
    <x v="0"/>
    <x v="1"/>
  </r>
  <r>
    <x v="1"/>
    <x v="1"/>
    <x v="1"/>
    <x v="284"/>
    <x v="281"/>
    <s v="26th September 2023"/>
    <s v="26th"/>
    <x v="2"/>
    <x v="0"/>
    <x v="1"/>
  </r>
  <r>
    <x v="1"/>
    <x v="8"/>
    <x v="1"/>
    <x v="285"/>
    <x v="282"/>
    <s v="26th September 2023"/>
    <s v="26th"/>
    <x v="2"/>
    <x v="0"/>
    <x v="1"/>
  </r>
  <r>
    <x v="1"/>
    <x v="2"/>
    <x v="2"/>
    <x v="286"/>
    <x v="283"/>
    <s v="26th September 2023"/>
    <s v="26th"/>
    <x v="2"/>
    <x v="0"/>
    <x v="0"/>
  </r>
  <r>
    <x v="1"/>
    <x v="5"/>
    <x v="0"/>
    <x v="287"/>
    <x v="284"/>
    <s v="11th September 2023"/>
    <s v="11th"/>
    <x v="2"/>
    <x v="0"/>
    <x v="0"/>
  </r>
  <r>
    <x v="1"/>
    <x v="3"/>
    <x v="2"/>
    <x v="288"/>
    <x v="252"/>
    <s v="11th September 2023"/>
    <s v="11th"/>
    <x v="2"/>
    <x v="0"/>
    <x v="0"/>
  </r>
  <r>
    <x v="1"/>
    <x v="1"/>
    <x v="1"/>
    <x v="289"/>
    <x v="285"/>
    <s v="11th September 2023"/>
    <s v="11th"/>
    <x v="2"/>
    <x v="0"/>
    <x v="1"/>
  </r>
  <r>
    <x v="1"/>
    <x v="1"/>
    <x v="1"/>
    <x v="290"/>
    <x v="286"/>
    <s v="11th September 2023"/>
    <s v="11th"/>
    <x v="2"/>
    <x v="0"/>
    <x v="1"/>
  </r>
  <r>
    <x v="1"/>
    <x v="8"/>
    <x v="1"/>
    <x v="291"/>
    <x v="287"/>
    <s v="11th September 2023"/>
    <s v="11th"/>
    <x v="2"/>
    <x v="0"/>
    <x v="1"/>
  </r>
  <r>
    <x v="1"/>
    <x v="6"/>
    <x v="1"/>
    <x v="292"/>
    <x v="288"/>
    <s v="11th September 2023"/>
    <s v="11th"/>
    <x v="2"/>
    <x v="0"/>
    <x v="1"/>
  </r>
  <r>
    <x v="1"/>
    <x v="8"/>
    <x v="1"/>
    <x v="293"/>
    <x v="289"/>
    <s v="11th September 2023"/>
    <s v="11th"/>
    <x v="2"/>
    <x v="0"/>
    <x v="1"/>
  </r>
  <r>
    <x v="1"/>
    <x v="2"/>
    <x v="2"/>
    <x v="294"/>
    <x v="290"/>
    <s v="11th September 2023"/>
    <s v="11th"/>
    <x v="2"/>
    <x v="0"/>
    <x v="0"/>
  </r>
  <r>
    <x v="1"/>
    <x v="1"/>
    <x v="1"/>
    <x v="295"/>
    <x v="291"/>
    <s v="11th September 2023"/>
    <s v="11th"/>
    <x v="2"/>
    <x v="0"/>
    <x v="1"/>
  </r>
  <r>
    <x v="1"/>
    <x v="1"/>
    <x v="1"/>
    <x v="154"/>
    <x v="292"/>
    <s v="11th September 2023"/>
    <s v="11th"/>
    <x v="2"/>
    <x v="0"/>
    <x v="1"/>
  </r>
  <r>
    <x v="1"/>
    <x v="9"/>
    <x v="1"/>
    <x v="296"/>
    <x v="293"/>
    <s v="19th August 2023"/>
    <s v="19th"/>
    <x v="8"/>
    <x v="0"/>
    <x v="1"/>
  </r>
  <r>
    <x v="1"/>
    <x v="6"/>
    <x v="1"/>
    <x v="297"/>
    <x v="294"/>
    <s v="19th August 2023"/>
    <s v="19th"/>
    <x v="8"/>
    <x v="0"/>
    <x v="1"/>
  </r>
  <r>
    <x v="1"/>
    <x v="6"/>
    <x v="1"/>
    <x v="298"/>
    <x v="295"/>
    <s v="19th August 2023"/>
    <s v="19th"/>
    <x v="8"/>
    <x v="0"/>
    <x v="1"/>
  </r>
  <r>
    <x v="1"/>
    <x v="6"/>
    <x v="1"/>
    <x v="299"/>
    <x v="296"/>
    <s v="19th August 2023"/>
    <s v="19th"/>
    <x v="8"/>
    <x v="0"/>
    <x v="1"/>
  </r>
  <r>
    <x v="1"/>
    <x v="1"/>
    <x v="1"/>
    <x v="300"/>
    <x v="297"/>
    <s v="19th August 2023"/>
    <s v="19th"/>
    <x v="8"/>
    <x v="0"/>
    <x v="1"/>
  </r>
  <r>
    <x v="1"/>
    <x v="1"/>
    <x v="1"/>
    <x v="301"/>
    <x v="298"/>
    <s v="19th August 2023"/>
    <s v="19th"/>
    <x v="8"/>
    <x v="0"/>
    <x v="1"/>
  </r>
  <r>
    <x v="1"/>
    <x v="6"/>
    <x v="1"/>
    <x v="302"/>
    <x v="299"/>
    <s v="19th August 2023"/>
    <s v="19th"/>
    <x v="8"/>
    <x v="0"/>
    <x v="1"/>
  </r>
  <r>
    <x v="1"/>
    <x v="8"/>
    <x v="1"/>
    <x v="303"/>
    <x v="300"/>
    <s v="19th August 2023"/>
    <s v="19th"/>
    <x v="8"/>
    <x v="0"/>
    <x v="1"/>
  </r>
  <r>
    <x v="1"/>
    <x v="2"/>
    <x v="2"/>
    <x v="304"/>
    <x v="301"/>
    <s v="19th August 2023"/>
    <s v="19th"/>
    <x v="8"/>
    <x v="0"/>
    <x v="0"/>
  </r>
  <r>
    <x v="1"/>
    <x v="1"/>
    <x v="1"/>
    <x v="305"/>
    <x v="302"/>
    <s v="19th August 2023"/>
    <s v="19th"/>
    <x v="8"/>
    <x v="0"/>
    <x v="1"/>
  </r>
  <r>
    <x v="1"/>
    <x v="8"/>
    <x v="1"/>
    <x v="306"/>
    <x v="303"/>
    <s v="7th August 2023"/>
    <s v="7th"/>
    <x v="8"/>
    <x v="0"/>
    <x v="1"/>
  </r>
  <r>
    <x v="1"/>
    <x v="1"/>
    <x v="1"/>
    <x v="307"/>
    <x v="304"/>
    <s v="7th August 2023"/>
    <s v="7th"/>
    <x v="8"/>
    <x v="0"/>
    <x v="1"/>
  </r>
  <r>
    <x v="1"/>
    <x v="1"/>
    <x v="1"/>
    <x v="308"/>
    <x v="305"/>
    <s v="7th August 2023"/>
    <s v="7th"/>
    <x v="8"/>
    <x v="0"/>
    <x v="1"/>
  </r>
  <r>
    <x v="1"/>
    <x v="7"/>
    <x v="0"/>
    <x v="309"/>
    <x v="306"/>
    <s v="7th August 2023"/>
    <s v="7th"/>
    <x v="8"/>
    <x v="0"/>
    <x v="0"/>
  </r>
  <r>
    <x v="1"/>
    <x v="1"/>
    <x v="1"/>
    <x v="310"/>
    <x v="307"/>
    <s v="7th August 2023"/>
    <s v="7th"/>
    <x v="8"/>
    <x v="0"/>
    <x v="1"/>
  </r>
  <r>
    <x v="1"/>
    <x v="8"/>
    <x v="1"/>
    <x v="311"/>
    <x v="308"/>
    <s v="7th August 2023"/>
    <s v="7th"/>
    <x v="8"/>
    <x v="0"/>
    <x v="1"/>
  </r>
  <r>
    <x v="1"/>
    <x v="8"/>
    <x v="1"/>
    <x v="312"/>
    <x v="309"/>
    <s v="7th August 2023"/>
    <s v="7th"/>
    <x v="8"/>
    <x v="0"/>
    <x v="1"/>
  </r>
  <r>
    <x v="1"/>
    <x v="1"/>
    <x v="1"/>
    <x v="313"/>
    <x v="310"/>
    <s v="7th August 2023"/>
    <s v="7th"/>
    <x v="8"/>
    <x v="0"/>
    <x v="1"/>
  </r>
  <r>
    <x v="1"/>
    <x v="1"/>
    <x v="1"/>
    <x v="314"/>
    <x v="311"/>
    <s v="7th August 2023"/>
    <s v="7th"/>
    <x v="8"/>
    <x v="0"/>
    <x v="1"/>
  </r>
  <r>
    <x v="1"/>
    <x v="1"/>
    <x v="1"/>
    <x v="315"/>
    <x v="312"/>
    <s v="7th August 2023"/>
    <s v="7th"/>
    <x v="8"/>
    <x v="0"/>
    <x v="1"/>
  </r>
  <r>
    <x v="1"/>
    <x v="1"/>
    <x v="1"/>
    <x v="316"/>
    <x v="313"/>
    <s v="18th July 2023"/>
    <s v="18th"/>
    <x v="9"/>
    <x v="0"/>
    <x v="1"/>
  </r>
  <r>
    <x v="1"/>
    <x v="6"/>
    <x v="1"/>
    <x v="317"/>
    <x v="314"/>
    <s v="18th July 2023"/>
    <s v="18th"/>
    <x v="9"/>
    <x v="0"/>
    <x v="1"/>
  </r>
  <r>
    <x v="1"/>
    <x v="5"/>
    <x v="0"/>
    <x v="318"/>
    <x v="315"/>
    <s v="18th July 2023"/>
    <s v="18th"/>
    <x v="9"/>
    <x v="0"/>
    <x v="0"/>
  </r>
  <r>
    <x v="1"/>
    <x v="1"/>
    <x v="1"/>
    <x v="319"/>
    <x v="316"/>
    <s v="18th July 2023"/>
    <s v="18th"/>
    <x v="9"/>
    <x v="0"/>
    <x v="1"/>
  </r>
  <r>
    <x v="1"/>
    <x v="3"/>
    <x v="2"/>
    <x v="320"/>
    <x v="317"/>
    <s v="18th July 2023"/>
    <s v="18th"/>
    <x v="9"/>
    <x v="0"/>
    <x v="1"/>
  </r>
  <r>
    <x v="1"/>
    <x v="6"/>
    <x v="1"/>
    <x v="321"/>
    <x v="318"/>
    <s v="18th July 2023"/>
    <s v="18th"/>
    <x v="9"/>
    <x v="0"/>
    <x v="1"/>
  </r>
  <r>
    <x v="1"/>
    <x v="1"/>
    <x v="1"/>
    <x v="322"/>
    <x v="319"/>
    <s v="18th July 2023"/>
    <s v="18th"/>
    <x v="9"/>
    <x v="0"/>
    <x v="1"/>
  </r>
  <r>
    <x v="1"/>
    <x v="0"/>
    <x v="0"/>
    <x v="323"/>
    <x v="320"/>
    <s v="18th July 2023"/>
    <s v="18th"/>
    <x v="9"/>
    <x v="0"/>
    <x v="0"/>
  </r>
  <r>
    <x v="1"/>
    <x v="1"/>
    <x v="1"/>
    <x v="324"/>
    <x v="255"/>
    <s v="18th July 2023"/>
    <s v="18th"/>
    <x v="9"/>
    <x v="0"/>
    <x v="1"/>
  </r>
  <r>
    <x v="1"/>
    <x v="6"/>
    <x v="1"/>
    <x v="325"/>
    <x v="321"/>
    <s v="18th July 2023"/>
    <s v="18th"/>
    <x v="9"/>
    <x v="0"/>
    <x v="1"/>
  </r>
  <r>
    <x v="1"/>
    <x v="1"/>
    <x v="1"/>
    <x v="326"/>
    <x v="322"/>
    <s v="5th July 2023"/>
    <s v="5th"/>
    <x v="9"/>
    <x v="0"/>
    <x v="1"/>
  </r>
  <r>
    <x v="1"/>
    <x v="1"/>
    <x v="1"/>
    <x v="327"/>
    <x v="323"/>
    <s v="5th July 2023"/>
    <s v="5th"/>
    <x v="9"/>
    <x v="0"/>
    <x v="1"/>
  </r>
  <r>
    <x v="1"/>
    <x v="1"/>
    <x v="1"/>
    <x v="328"/>
    <x v="324"/>
    <s v="5th July 2023"/>
    <s v="5th"/>
    <x v="9"/>
    <x v="0"/>
    <x v="1"/>
  </r>
  <r>
    <x v="1"/>
    <x v="1"/>
    <x v="1"/>
    <x v="329"/>
    <x v="325"/>
    <s v="5th July 2023"/>
    <s v="5th"/>
    <x v="9"/>
    <x v="0"/>
    <x v="1"/>
  </r>
  <r>
    <x v="1"/>
    <x v="1"/>
    <x v="1"/>
    <x v="330"/>
    <x v="326"/>
    <s v="5th July 2023"/>
    <s v="5th"/>
    <x v="9"/>
    <x v="0"/>
    <x v="1"/>
  </r>
  <r>
    <x v="1"/>
    <x v="1"/>
    <x v="1"/>
    <x v="331"/>
    <x v="327"/>
    <s v="5th July 2023"/>
    <s v="5th"/>
    <x v="9"/>
    <x v="0"/>
    <x v="1"/>
  </r>
  <r>
    <x v="1"/>
    <x v="8"/>
    <x v="1"/>
    <x v="332"/>
    <x v="328"/>
    <s v="5th July 2023"/>
    <s v="5th"/>
    <x v="9"/>
    <x v="0"/>
    <x v="1"/>
  </r>
  <r>
    <x v="1"/>
    <x v="2"/>
    <x v="2"/>
    <x v="333"/>
    <x v="329"/>
    <s v="5th July 2023"/>
    <s v="5th"/>
    <x v="9"/>
    <x v="0"/>
    <x v="0"/>
  </r>
  <r>
    <x v="1"/>
    <x v="6"/>
    <x v="1"/>
    <x v="334"/>
    <x v="330"/>
    <s v="5th July 2023"/>
    <s v="5th"/>
    <x v="9"/>
    <x v="0"/>
    <x v="1"/>
  </r>
  <r>
    <x v="1"/>
    <x v="1"/>
    <x v="1"/>
    <x v="335"/>
    <x v="331"/>
    <s v="5th July 2023"/>
    <s v="5th"/>
    <x v="9"/>
    <x v="0"/>
    <x v="1"/>
  </r>
  <r>
    <x v="1"/>
    <x v="6"/>
    <x v="1"/>
    <x v="336"/>
    <x v="332"/>
    <s v="27th June 2023"/>
    <s v="27th"/>
    <x v="3"/>
    <x v="0"/>
    <x v="0"/>
  </r>
  <r>
    <x v="1"/>
    <x v="1"/>
    <x v="1"/>
    <x v="337"/>
    <x v="333"/>
    <s v="27th June 2023"/>
    <s v="27th"/>
    <x v="3"/>
    <x v="0"/>
    <x v="1"/>
  </r>
  <r>
    <x v="1"/>
    <x v="1"/>
    <x v="1"/>
    <x v="338"/>
    <x v="334"/>
    <s v="27th June 2023"/>
    <s v="27th"/>
    <x v="3"/>
    <x v="0"/>
    <x v="1"/>
  </r>
  <r>
    <x v="1"/>
    <x v="1"/>
    <x v="1"/>
    <x v="339"/>
    <x v="335"/>
    <s v="27th June 2023"/>
    <s v="27th"/>
    <x v="3"/>
    <x v="0"/>
    <x v="1"/>
  </r>
  <r>
    <x v="1"/>
    <x v="9"/>
    <x v="1"/>
    <x v="340"/>
    <x v="336"/>
    <s v="27th June 2023"/>
    <s v="27th"/>
    <x v="3"/>
    <x v="0"/>
    <x v="1"/>
  </r>
  <r>
    <x v="1"/>
    <x v="3"/>
    <x v="2"/>
    <x v="341"/>
    <x v="337"/>
    <s v="27th June 2023"/>
    <s v="27th"/>
    <x v="3"/>
    <x v="0"/>
    <x v="0"/>
  </r>
  <r>
    <x v="1"/>
    <x v="6"/>
    <x v="1"/>
    <x v="342"/>
    <x v="338"/>
    <s v="27th June 2023"/>
    <s v="27th"/>
    <x v="3"/>
    <x v="0"/>
    <x v="1"/>
  </r>
  <r>
    <x v="1"/>
    <x v="6"/>
    <x v="1"/>
    <x v="343"/>
    <x v="339"/>
    <s v="27th June 2023"/>
    <s v="27th"/>
    <x v="3"/>
    <x v="0"/>
    <x v="1"/>
  </r>
  <r>
    <x v="1"/>
    <x v="1"/>
    <x v="1"/>
    <x v="344"/>
    <x v="340"/>
    <s v="27th June 2023"/>
    <s v="27th"/>
    <x v="3"/>
    <x v="0"/>
    <x v="1"/>
  </r>
  <r>
    <x v="1"/>
    <x v="1"/>
    <x v="1"/>
    <x v="345"/>
    <x v="341"/>
    <s v="27th June 2023"/>
    <s v="27th"/>
    <x v="3"/>
    <x v="0"/>
    <x v="1"/>
  </r>
  <r>
    <x v="1"/>
    <x v="4"/>
    <x v="2"/>
    <x v="346"/>
    <x v="342"/>
    <s v="20th June 2023"/>
    <s v="20th"/>
    <x v="3"/>
    <x v="0"/>
    <x v="0"/>
  </r>
  <r>
    <x v="1"/>
    <x v="1"/>
    <x v="1"/>
    <x v="347"/>
    <x v="343"/>
    <s v="20th June 2023"/>
    <s v="20th"/>
    <x v="3"/>
    <x v="0"/>
    <x v="1"/>
  </r>
  <r>
    <x v="1"/>
    <x v="1"/>
    <x v="1"/>
    <x v="348"/>
    <x v="344"/>
    <s v="20th June 2023"/>
    <s v="20th"/>
    <x v="3"/>
    <x v="0"/>
    <x v="1"/>
  </r>
  <r>
    <x v="1"/>
    <x v="2"/>
    <x v="2"/>
    <x v="349"/>
    <x v="345"/>
    <s v="20th June 2023"/>
    <s v="20th"/>
    <x v="3"/>
    <x v="0"/>
    <x v="0"/>
  </r>
  <r>
    <x v="1"/>
    <x v="6"/>
    <x v="1"/>
    <x v="350"/>
    <x v="346"/>
    <s v="20th June 2023"/>
    <s v="20th"/>
    <x v="3"/>
    <x v="0"/>
    <x v="1"/>
  </r>
  <r>
    <x v="1"/>
    <x v="1"/>
    <x v="1"/>
    <x v="351"/>
    <x v="347"/>
    <s v="20th June 2023"/>
    <s v="20th"/>
    <x v="3"/>
    <x v="0"/>
    <x v="1"/>
  </r>
  <r>
    <x v="1"/>
    <x v="4"/>
    <x v="2"/>
    <x v="352"/>
    <x v="348"/>
    <s v="20th June 2023"/>
    <s v="20th"/>
    <x v="3"/>
    <x v="0"/>
    <x v="0"/>
  </r>
  <r>
    <x v="1"/>
    <x v="1"/>
    <x v="1"/>
    <x v="353"/>
    <x v="349"/>
    <s v="20th June 2023"/>
    <s v="20th"/>
    <x v="3"/>
    <x v="0"/>
    <x v="1"/>
  </r>
  <r>
    <x v="1"/>
    <x v="1"/>
    <x v="1"/>
    <x v="354"/>
    <x v="350"/>
    <s v="20th June 2023"/>
    <s v="20th"/>
    <x v="3"/>
    <x v="0"/>
    <x v="1"/>
  </r>
  <r>
    <x v="1"/>
    <x v="1"/>
    <x v="1"/>
    <x v="355"/>
    <x v="351"/>
    <s v="20th June 2023"/>
    <s v="20th"/>
    <x v="3"/>
    <x v="0"/>
    <x v="1"/>
  </r>
  <r>
    <x v="1"/>
    <x v="7"/>
    <x v="0"/>
    <x v="356"/>
    <x v="352"/>
    <s v="14th June 2023"/>
    <s v="14th"/>
    <x v="3"/>
    <x v="0"/>
    <x v="1"/>
  </r>
  <r>
    <x v="1"/>
    <x v="5"/>
    <x v="0"/>
    <x v="357"/>
    <x v="353"/>
    <s v="14th June 2023"/>
    <s v="14th"/>
    <x v="3"/>
    <x v="0"/>
    <x v="1"/>
  </r>
  <r>
    <x v="1"/>
    <x v="1"/>
    <x v="1"/>
    <x v="358"/>
    <x v="354"/>
    <s v="14th June 2023"/>
    <s v="14th"/>
    <x v="3"/>
    <x v="0"/>
    <x v="1"/>
  </r>
  <r>
    <x v="1"/>
    <x v="1"/>
    <x v="1"/>
    <x v="359"/>
    <x v="355"/>
    <s v="14th June 2023"/>
    <s v="14th"/>
    <x v="3"/>
    <x v="0"/>
    <x v="0"/>
  </r>
  <r>
    <x v="1"/>
    <x v="1"/>
    <x v="1"/>
    <x v="360"/>
    <x v="356"/>
    <s v="14th June 2023"/>
    <s v="14th"/>
    <x v="3"/>
    <x v="0"/>
    <x v="1"/>
  </r>
  <r>
    <x v="1"/>
    <x v="1"/>
    <x v="1"/>
    <x v="361"/>
    <x v="357"/>
    <s v="14th June 2023"/>
    <s v="14th"/>
    <x v="3"/>
    <x v="0"/>
    <x v="1"/>
  </r>
  <r>
    <x v="1"/>
    <x v="6"/>
    <x v="1"/>
    <x v="362"/>
    <x v="358"/>
    <s v="14th June 2023"/>
    <s v="14th"/>
    <x v="3"/>
    <x v="0"/>
    <x v="1"/>
  </r>
  <r>
    <x v="1"/>
    <x v="1"/>
    <x v="1"/>
    <x v="363"/>
    <x v="359"/>
    <s v="14th June 2023"/>
    <s v="14th"/>
    <x v="3"/>
    <x v="0"/>
    <x v="1"/>
  </r>
  <r>
    <x v="1"/>
    <x v="4"/>
    <x v="2"/>
    <x v="364"/>
    <x v="360"/>
    <s v="14th June 2023"/>
    <s v="14th"/>
    <x v="3"/>
    <x v="0"/>
    <x v="0"/>
  </r>
  <r>
    <x v="1"/>
    <x v="1"/>
    <x v="1"/>
    <x v="334"/>
    <x v="361"/>
    <s v="14th June 2023"/>
    <s v="14th"/>
    <x v="3"/>
    <x v="0"/>
    <x v="1"/>
  </r>
  <r>
    <x v="1"/>
    <x v="4"/>
    <x v="2"/>
    <x v="334"/>
    <x v="362"/>
    <s v="9th June 2023"/>
    <s v="9th"/>
    <x v="3"/>
    <x v="0"/>
    <x v="1"/>
  </r>
  <r>
    <x v="1"/>
    <x v="8"/>
    <x v="1"/>
    <x v="365"/>
    <x v="363"/>
    <s v="9th June 2023"/>
    <s v="9th"/>
    <x v="3"/>
    <x v="0"/>
    <x v="1"/>
  </r>
  <r>
    <x v="1"/>
    <x v="1"/>
    <x v="1"/>
    <x v="366"/>
    <x v="364"/>
    <s v="9th June 2023"/>
    <s v="9th"/>
    <x v="3"/>
    <x v="0"/>
    <x v="1"/>
  </r>
  <r>
    <x v="1"/>
    <x v="6"/>
    <x v="1"/>
    <x v="367"/>
    <x v="365"/>
    <s v="9th June 2023"/>
    <s v="9th"/>
    <x v="3"/>
    <x v="0"/>
    <x v="1"/>
  </r>
  <r>
    <x v="1"/>
    <x v="1"/>
    <x v="1"/>
    <x v="368"/>
    <x v="366"/>
    <s v="9th June 2023"/>
    <s v="9th"/>
    <x v="3"/>
    <x v="0"/>
    <x v="1"/>
  </r>
  <r>
    <x v="1"/>
    <x v="1"/>
    <x v="1"/>
    <x v="369"/>
    <x v="367"/>
    <s v="9th June 2023"/>
    <s v="9th"/>
    <x v="3"/>
    <x v="0"/>
    <x v="1"/>
  </r>
  <r>
    <x v="1"/>
    <x v="6"/>
    <x v="1"/>
    <x v="370"/>
    <x v="368"/>
    <s v="9th June 2023"/>
    <s v="9th"/>
    <x v="3"/>
    <x v="0"/>
    <x v="1"/>
  </r>
  <r>
    <x v="1"/>
    <x v="1"/>
    <x v="1"/>
    <x v="371"/>
    <x v="369"/>
    <s v="9th June 2023"/>
    <s v="9th"/>
    <x v="3"/>
    <x v="0"/>
    <x v="1"/>
  </r>
  <r>
    <x v="1"/>
    <x v="1"/>
    <x v="1"/>
    <x v="372"/>
    <x v="370"/>
    <s v="9th June 2023"/>
    <s v="9th"/>
    <x v="3"/>
    <x v="0"/>
    <x v="1"/>
  </r>
  <r>
    <x v="1"/>
    <x v="1"/>
    <x v="1"/>
    <x v="373"/>
    <x v="371"/>
    <s v="9th June 2023"/>
    <s v="9th"/>
    <x v="3"/>
    <x v="0"/>
    <x v="1"/>
  </r>
  <r>
    <x v="1"/>
    <x v="1"/>
    <x v="1"/>
    <x v="374"/>
    <x v="372"/>
    <s v="26th May 2023"/>
    <s v="26th"/>
    <x v="7"/>
    <x v="0"/>
    <x v="1"/>
  </r>
  <r>
    <x v="1"/>
    <x v="1"/>
    <x v="1"/>
    <x v="375"/>
    <x v="373"/>
    <s v="26th May 2023"/>
    <s v="26th"/>
    <x v="7"/>
    <x v="0"/>
    <x v="1"/>
  </r>
  <r>
    <x v="1"/>
    <x v="9"/>
    <x v="1"/>
    <x v="376"/>
    <x v="374"/>
    <s v="26th May 2023"/>
    <s v="26th"/>
    <x v="7"/>
    <x v="0"/>
    <x v="1"/>
  </r>
  <r>
    <x v="1"/>
    <x v="6"/>
    <x v="1"/>
    <x v="377"/>
    <x v="375"/>
    <s v="26th May 2023"/>
    <s v="26th"/>
    <x v="7"/>
    <x v="0"/>
    <x v="1"/>
  </r>
  <r>
    <x v="1"/>
    <x v="1"/>
    <x v="1"/>
    <x v="378"/>
    <x v="376"/>
    <s v="26th May 2023"/>
    <s v="26th"/>
    <x v="7"/>
    <x v="0"/>
    <x v="1"/>
  </r>
  <r>
    <x v="1"/>
    <x v="7"/>
    <x v="0"/>
    <x v="379"/>
    <x v="377"/>
    <s v="26th May 2023"/>
    <s v="26th"/>
    <x v="7"/>
    <x v="0"/>
    <x v="0"/>
  </r>
  <r>
    <x v="1"/>
    <x v="6"/>
    <x v="1"/>
    <x v="380"/>
    <x v="378"/>
    <s v="26th May 2023"/>
    <s v="26th"/>
    <x v="7"/>
    <x v="0"/>
    <x v="1"/>
  </r>
  <r>
    <x v="1"/>
    <x v="1"/>
    <x v="1"/>
    <x v="116"/>
    <x v="379"/>
    <s v="26th May 2023"/>
    <s v="26th"/>
    <x v="7"/>
    <x v="0"/>
    <x v="1"/>
  </r>
  <r>
    <x v="1"/>
    <x v="8"/>
    <x v="1"/>
    <x v="381"/>
    <x v="380"/>
    <s v="26th May 2023"/>
    <s v="26th"/>
    <x v="7"/>
    <x v="0"/>
    <x v="1"/>
  </r>
  <r>
    <x v="1"/>
    <x v="3"/>
    <x v="2"/>
    <x v="382"/>
    <x v="381"/>
    <s v="26th May 2023"/>
    <s v="26th"/>
    <x v="7"/>
    <x v="0"/>
    <x v="0"/>
  </r>
  <r>
    <x v="1"/>
    <x v="3"/>
    <x v="2"/>
    <x v="383"/>
    <x v="382"/>
    <s v="3rd May 2023"/>
    <s v="3rd"/>
    <x v="7"/>
    <x v="0"/>
    <x v="0"/>
  </r>
  <r>
    <x v="1"/>
    <x v="9"/>
    <x v="1"/>
    <x v="384"/>
    <x v="383"/>
    <s v="3rd May 2023"/>
    <s v="3rd"/>
    <x v="7"/>
    <x v="0"/>
    <x v="1"/>
  </r>
  <r>
    <x v="1"/>
    <x v="7"/>
    <x v="0"/>
    <x v="385"/>
    <x v="384"/>
    <s v="3rd May 2023"/>
    <s v="3rd"/>
    <x v="7"/>
    <x v="0"/>
    <x v="1"/>
  </r>
  <r>
    <x v="1"/>
    <x v="1"/>
    <x v="1"/>
    <x v="386"/>
    <x v="385"/>
    <s v="3rd May 2023"/>
    <s v="3rd"/>
    <x v="7"/>
    <x v="0"/>
    <x v="1"/>
  </r>
  <r>
    <x v="1"/>
    <x v="6"/>
    <x v="1"/>
    <x v="387"/>
    <x v="386"/>
    <s v="3rd May 2023"/>
    <s v="3rd"/>
    <x v="7"/>
    <x v="0"/>
    <x v="0"/>
  </r>
  <r>
    <x v="1"/>
    <x v="8"/>
    <x v="1"/>
    <x v="388"/>
    <x v="387"/>
    <s v="3rd May 2023"/>
    <s v="3rd"/>
    <x v="7"/>
    <x v="0"/>
    <x v="1"/>
  </r>
  <r>
    <x v="1"/>
    <x v="1"/>
    <x v="1"/>
    <x v="389"/>
    <x v="388"/>
    <s v="3rd May 2023"/>
    <s v="3rd"/>
    <x v="7"/>
    <x v="0"/>
    <x v="1"/>
  </r>
  <r>
    <x v="1"/>
    <x v="8"/>
    <x v="1"/>
    <x v="390"/>
    <x v="389"/>
    <s v="3rd May 2023"/>
    <s v="3rd"/>
    <x v="7"/>
    <x v="0"/>
    <x v="1"/>
  </r>
  <r>
    <x v="1"/>
    <x v="1"/>
    <x v="1"/>
    <x v="391"/>
    <x v="390"/>
    <s v="3rd May 2023"/>
    <s v="3rd"/>
    <x v="7"/>
    <x v="0"/>
    <x v="1"/>
  </r>
  <r>
    <x v="1"/>
    <x v="5"/>
    <x v="0"/>
    <x v="392"/>
    <x v="391"/>
    <s v="3rd May 2023"/>
    <s v="3rd"/>
    <x v="7"/>
    <x v="0"/>
    <x v="0"/>
  </r>
  <r>
    <x v="1"/>
    <x v="3"/>
    <x v="2"/>
    <x v="393"/>
    <x v="392"/>
    <s v="19th April 2023"/>
    <s v="19th"/>
    <x v="1"/>
    <x v="0"/>
    <x v="0"/>
  </r>
  <r>
    <x v="1"/>
    <x v="7"/>
    <x v="0"/>
    <x v="394"/>
    <x v="393"/>
    <s v="19th April 2023"/>
    <s v="19th"/>
    <x v="1"/>
    <x v="0"/>
    <x v="1"/>
  </r>
  <r>
    <x v="1"/>
    <x v="1"/>
    <x v="1"/>
    <x v="395"/>
    <x v="394"/>
    <s v="19th April 2023"/>
    <s v="19th"/>
    <x v="1"/>
    <x v="0"/>
    <x v="1"/>
  </r>
  <r>
    <x v="1"/>
    <x v="7"/>
    <x v="0"/>
    <x v="396"/>
    <x v="395"/>
    <s v="19th April 2023"/>
    <s v="19th"/>
    <x v="1"/>
    <x v="0"/>
    <x v="1"/>
  </r>
  <r>
    <x v="1"/>
    <x v="6"/>
    <x v="1"/>
    <x v="397"/>
    <x v="396"/>
    <s v="19th April 2023"/>
    <s v="19th"/>
    <x v="1"/>
    <x v="0"/>
    <x v="1"/>
  </r>
  <r>
    <x v="1"/>
    <x v="7"/>
    <x v="0"/>
    <x v="398"/>
    <x v="397"/>
    <s v="19th April 2023"/>
    <s v="19th"/>
    <x v="1"/>
    <x v="0"/>
    <x v="0"/>
  </r>
  <r>
    <x v="1"/>
    <x v="1"/>
    <x v="1"/>
    <x v="399"/>
    <x v="398"/>
    <s v="19th April 2023"/>
    <s v="19th"/>
    <x v="1"/>
    <x v="0"/>
    <x v="1"/>
  </r>
  <r>
    <x v="1"/>
    <x v="1"/>
    <x v="1"/>
    <x v="400"/>
    <x v="399"/>
    <s v="19th April 2023"/>
    <s v="19th"/>
    <x v="1"/>
    <x v="0"/>
    <x v="1"/>
  </r>
  <r>
    <x v="1"/>
    <x v="8"/>
    <x v="1"/>
    <x v="401"/>
    <x v="400"/>
    <s v="19th April 2023"/>
    <s v="19th"/>
    <x v="1"/>
    <x v="0"/>
    <x v="1"/>
  </r>
  <r>
    <x v="1"/>
    <x v="1"/>
    <x v="1"/>
    <x v="402"/>
    <x v="401"/>
    <s v="19th April 2023"/>
    <s v="19th"/>
    <x v="1"/>
    <x v="0"/>
    <x v="1"/>
  </r>
  <r>
    <x v="1"/>
    <x v="6"/>
    <x v="1"/>
    <x v="403"/>
    <x v="402"/>
    <s v="4th April 2023"/>
    <s v="4th"/>
    <x v="1"/>
    <x v="0"/>
    <x v="1"/>
  </r>
  <r>
    <x v="1"/>
    <x v="1"/>
    <x v="1"/>
    <x v="404"/>
    <x v="403"/>
    <s v="4th April 2023"/>
    <s v="4th"/>
    <x v="1"/>
    <x v="0"/>
    <x v="1"/>
  </r>
  <r>
    <x v="1"/>
    <x v="8"/>
    <x v="1"/>
    <x v="405"/>
    <x v="404"/>
    <s v="4th April 2023"/>
    <s v="4th"/>
    <x v="1"/>
    <x v="0"/>
    <x v="1"/>
  </r>
  <r>
    <x v="1"/>
    <x v="7"/>
    <x v="0"/>
    <x v="406"/>
    <x v="405"/>
    <s v="4th April 2023"/>
    <s v="4th"/>
    <x v="1"/>
    <x v="0"/>
    <x v="0"/>
  </r>
  <r>
    <x v="1"/>
    <x v="1"/>
    <x v="1"/>
    <x v="407"/>
    <x v="406"/>
    <s v="4th April 2023"/>
    <s v="4th"/>
    <x v="1"/>
    <x v="0"/>
    <x v="1"/>
  </r>
  <r>
    <x v="1"/>
    <x v="5"/>
    <x v="0"/>
    <x v="408"/>
    <x v="407"/>
    <s v="4th April 2023"/>
    <s v="4th"/>
    <x v="1"/>
    <x v="0"/>
    <x v="0"/>
  </r>
  <r>
    <x v="1"/>
    <x v="1"/>
    <x v="1"/>
    <x v="409"/>
    <x v="408"/>
    <s v="4th April 2023"/>
    <s v="4th"/>
    <x v="1"/>
    <x v="0"/>
    <x v="1"/>
  </r>
  <r>
    <x v="1"/>
    <x v="4"/>
    <x v="2"/>
    <x v="410"/>
    <x v="409"/>
    <s v="4th April 2023"/>
    <s v="4th"/>
    <x v="1"/>
    <x v="0"/>
    <x v="0"/>
  </r>
  <r>
    <x v="1"/>
    <x v="2"/>
    <x v="2"/>
    <x v="411"/>
    <x v="410"/>
    <s v="4th April 2023"/>
    <s v="4th"/>
    <x v="1"/>
    <x v="0"/>
    <x v="0"/>
  </r>
  <r>
    <x v="1"/>
    <x v="6"/>
    <x v="1"/>
    <x v="412"/>
    <x v="411"/>
    <s v="4th April 2023"/>
    <s v="4th"/>
    <x v="1"/>
    <x v="0"/>
    <x v="1"/>
  </r>
  <r>
    <x v="1"/>
    <x v="1"/>
    <x v="1"/>
    <x v="413"/>
    <x v="412"/>
    <s v="18th March 2023"/>
    <s v="18th"/>
    <x v="10"/>
    <x v="0"/>
    <x v="1"/>
  </r>
  <r>
    <x v="1"/>
    <x v="1"/>
    <x v="1"/>
    <x v="334"/>
    <x v="413"/>
    <s v="18th March 2023"/>
    <s v="18th"/>
    <x v="10"/>
    <x v="0"/>
    <x v="1"/>
  </r>
  <r>
    <x v="1"/>
    <x v="1"/>
    <x v="1"/>
    <x v="414"/>
    <x v="414"/>
    <s v="18th March 2023"/>
    <s v="18th"/>
    <x v="10"/>
    <x v="0"/>
    <x v="1"/>
  </r>
  <r>
    <x v="1"/>
    <x v="9"/>
    <x v="1"/>
    <x v="415"/>
    <x v="415"/>
    <s v="18th March 2023"/>
    <s v="18th"/>
    <x v="10"/>
    <x v="0"/>
    <x v="1"/>
  </r>
  <r>
    <x v="1"/>
    <x v="2"/>
    <x v="2"/>
    <x v="416"/>
    <x v="416"/>
    <s v="18th March 2023"/>
    <s v="18th"/>
    <x v="10"/>
    <x v="0"/>
    <x v="0"/>
  </r>
  <r>
    <x v="1"/>
    <x v="1"/>
    <x v="1"/>
    <x v="417"/>
    <x v="417"/>
    <s v="18th March 2023"/>
    <s v="18th"/>
    <x v="10"/>
    <x v="0"/>
    <x v="1"/>
  </r>
  <r>
    <x v="1"/>
    <x v="1"/>
    <x v="1"/>
    <x v="418"/>
    <x v="418"/>
    <s v="18th March 2023"/>
    <s v="18th"/>
    <x v="10"/>
    <x v="0"/>
    <x v="1"/>
  </r>
  <r>
    <x v="1"/>
    <x v="8"/>
    <x v="1"/>
    <x v="419"/>
    <x v="419"/>
    <s v="18th March 2023"/>
    <s v="18th"/>
    <x v="10"/>
    <x v="0"/>
    <x v="1"/>
  </r>
  <r>
    <x v="1"/>
    <x v="1"/>
    <x v="1"/>
    <x v="420"/>
    <x v="420"/>
    <s v="18th March 2023"/>
    <s v="18th"/>
    <x v="10"/>
    <x v="0"/>
    <x v="1"/>
  </r>
  <r>
    <x v="1"/>
    <x v="7"/>
    <x v="0"/>
    <x v="421"/>
    <x v="421"/>
    <s v="18th March 2023"/>
    <s v="18th"/>
    <x v="10"/>
    <x v="0"/>
    <x v="0"/>
  </r>
  <r>
    <x v="1"/>
    <x v="1"/>
    <x v="1"/>
    <x v="308"/>
    <x v="422"/>
    <s v="5th March 2023"/>
    <s v="5th"/>
    <x v="10"/>
    <x v="0"/>
    <x v="1"/>
  </r>
  <r>
    <x v="1"/>
    <x v="1"/>
    <x v="1"/>
    <x v="422"/>
    <x v="423"/>
    <s v="5th March 2023"/>
    <s v="5th"/>
    <x v="10"/>
    <x v="0"/>
    <x v="1"/>
  </r>
  <r>
    <x v="1"/>
    <x v="6"/>
    <x v="1"/>
    <x v="423"/>
    <x v="424"/>
    <s v="5th March 2023"/>
    <s v="5th"/>
    <x v="10"/>
    <x v="0"/>
    <x v="1"/>
  </r>
  <r>
    <x v="1"/>
    <x v="7"/>
    <x v="0"/>
    <x v="424"/>
    <x v="425"/>
    <s v="5th March 2023"/>
    <s v="5th"/>
    <x v="10"/>
    <x v="0"/>
    <x v="0"/>
  </r>
  <r>
    <x v="1"/>
    <x v="8"/>
    <x v="1"/>
    <x v="425"/>
    <x v="426"/>
    <s v="5th March 2023"/>
    <s v="5th"/>
    <x v="10"/>
    <x v="0"/>
    <x v="1"/>
  </r>
  <r>
    <x v="1"/>
    <x v="8"/>
    <x v="1"/>
    <x v="426"/>
    <x v="427"/>
    <s v="5th March 2023"/>
    <s v="5th"/>
    <x v="10"/>
    <x v="0"/>
    <x v="0"/>
  </r>
  <r>
    <x v="1"/>
    <x v="1"/>
    <x v="1"/>
    <x v="427"/>
    <x v="428"/>
    <s v="5th March 2023"/>
    <s v="5th"/>
    <x v="10"/>
    <x v="0"/>
    <x v="1"/>
  </r>
  <r>
    <x v="1"/>
    <x v="3"/>
    <x v="2"/>
    <x v="428"/>
    <x v="429"/>
    <s v="5th March 2023"/>
    <s v="5th"/>
    <x v="10"/>
    <x v="0"/>
    <x v="0"/>
  </r>
  <r>
    <x v="1"/>
    <x v="1"/>
    <x v="1"/>
    <x v="429"/>
    <x v="430"/>
    <s v="5th March 2023"/>
    <s v="5th"/>
    <x v="10"/>
    <x v="0"/>
    <x v="1"/>
  </r>
  <r>
    <x v="1"/>
    <x v="1"/>
    <x v="1"/>
    <x v="399"/>
    <x v="431"/>
    <s v="5th March 2023"/>
    <s v="5th"/>
    <x v="10"/>
    <x v="0"/>
    <x v="1"/>
  </r>
  <r>
    <x v="1"/>
    <x v="1"/>
    <x v="1"/>
    <x v="430"/>
    <x v="432"/>
    <s v="25th February 2023"/>
    <s v="25th"/>
    <x v="5"/>
    <x v="0"/>
    <x v="1"/>
  </r>
  <r>
    <x v="1"/>
    <x v="9"/>
    <x v="1"/>
    <x v="431"/>
    <x v="433"/>
    <s v="25th February 2023"/>
    <s v="25th"/>
    <x v="5"/>
    <x v="0"/>
    <x v="1"/>
  </r>
  <r>
    <x v="1"/>
    <x v="1"/>
    <x v="1"/>
    <x v="432"/>
    <x v="434"/>
    <s v="25th February 2023"/>
    <s v="25th"/>
    <x v="5"/>
    <x v="0"/>
    <x v="1"/>
  </r>
  <r>
    <x v="1"/>
    <x v="1"/>
    <x v="1"/>
    <x v="433"/>
    <x v="435"/>
    <s v="25th February 2023"/>
    <s v="25th"/>
    <x v="5"/>
    <x v="0"/>
    <x v="1"/>
  </r>
  <r>
    <x v="1"/>
    <x v="6"/>
    <x v="1"/>
    <x v="434"/>
    <x v="436"/>
    <s v="25th February 2023"/>
    <s v="25th"/>
    <x v="5"/>
    <x v="0"/>
    <x v="1"/>
  </r>
  <r>
    <x v="1"/>
    <x v="1"/>
    <x v="1"/>
    <x v="435"/>
    <x v="437"/>
    <s v="25th February 2023"/>
    <s v="25th"/>
    <x v="5"/>
    <x v="0"/>
    <x v="1"/>
  </r>
  <r>
    <x v="1"/>
    <x v="9"/>
    <x v="1"/>
    <x v="436"/>
    <x v="438"/>
    <s v="25th February 2023"/>
    <s v="25th"/>
    <x v="5"/>
    <x v="0"/>
    <x v="1"/>
  </r>
  <r>
    <x v="1"/>
    <x v="6"/>
    <x v="1"/>
    <x v="437"/>
    <x v="439"/>
    <s v="25th February 2023"/>
    <s v="25th"/>
    <x v="5"/>
    <x v="0"/>
    <x v="1"/>
  </r>
  <r>
    <x v="1"/>
    <x v="1"/>
    <x v="1"/>
    <x v="438"/>
    <x v="440"/>
    <s v="25th February 2023"/>
    <s v="25th"/>
    <x v="5"/>
    <x v="0"/>
    <x v="1"/>
  </r>
  <r>
    <x v="1"/>
    <x v="1"/>
    <x v="1"/>
    <x v="439"/>
    <x v="441"/>
    <s v="25th February 2023"/>
    <s v="25th"/>
    <x v="5"/>
    <x v="0"/>
    <x v="1"/>
  </r>
  <r>
    <x v="1"/>
    <x v="1"/>
    <x v="1"/>
    <x v="440"/>
    <x v="442"/>
    <s v="18th February 2023"/>
    <s v="18th"/>
    <x v="5"/>
    <x v="0"/>
    <x v="1"/>
  </r>
  <r>
    <x v="1"/>
    <x v="9"/>
    <x v="1"/>
    <x v="441"/>
    <x v="443"/>
    <s v="18th February 2023"/>
    <s v="18th"/>
    <x v="5"/>
    <x v="0"/>
    <x v="1"/>
  </r>
  <r>
    <x v="1"/>
    <x v="1"/>
    <x v="1"/>
    <x v="442"/>
    <x v="444"/>
    <s v="18th February 2023"/>
    <s v="18th"/>
    <x v="5"/>
    <x v="0"/>
    <x v="1"/>
  </r>
  <r>
    <x v="1"/>
    <x v="6"/>
    <x v="1"/>
    <x v="443"/>
    <x v="445"/>
    <s v="18th February 2023"/>
    <s v="18th"/>
    <x v="5"/>
    <x v="0"/>
    <x v="1"/>
  </r>
  <r>
    <x v="1"/>
    <x v="6"/>
    <x v="1"/>
    <x v="444"/>
    <x v="446"/>
    <s v="18th February 2023"/>
    <s v="18th"/>
    <x v="5"/>
    <x v="0"/>
    <x v="1"/>
  </r>
  <r>
    <x v="1"/>
    <x v="1"/>
    <x v="1"/>
    <x v="445"/>
    <x v="447"/>
    <s v="18th February 2023"/>
    <s v="18th"/>
    <x v="5"/>
    <x v="0"/>
    <x v="1"/>
  </r>
  <r>
    <x v="1"/>
    <x v="8"/>
    <x v="1"/>
    <x v="446"/>
    <x v="448"/>
    <s v="18th February 2023"/>
    <s v="18th"/>
    <x v="5"/>
    <x v="0"/>
    <x v="1"/>
  </r>
  <r>
    <x v="1"/>
    <x v="6"/>
    <x v="1"/>
    <x v="447"/>
    <x v="449"/>
    <s v="18th February 2023"/>
    <s v="18th"/>
    <x v="5"/>
    <x v="0"/>
    <x v="1"/>
  </r>
  <r>
    <x v="1"/>
    <x v="1"/>
    <x v="1"/>
    <x v="448"/>
    <x v="450"/>
    <s v="18th February 2023"/>
    <s v="18th"/>
    <x v="5"/>
    <x v="0"/>
    <x v="1"/>
  </r>
  <r>
    <x v="1"/>
    <x v="3"/>
    <x v="2"/>
    <x v="449"/>
    <x v="451"/>
    <s v="18th February 2023"/>
    <s v="18th"/>
    <x v="5"/>
    <x v="0"/>
    <x v="0"/>
  </r>
  <r>
    <x v="1"/>
    <x v="1"/>
    <x v="1"/>
    <x v="450"/>
    <x v="452"/>
    <s v="27th January 2023"/>
    <s v="27th"/>
    <x v="11"/>
    <x v="0"/>
    <x v="1"/>
  </r>
  <r>
    <x v="1"/>
    <x v="8"/>
    <x v="1"/>
    <x v="451"/>
    <x v="453"/>
    <s v="27th January 2023"/>
    <s v="27th"/>
    <x v="11"/>
    <x v="0"/>
    <x v="1"/>
  </r>
  <r>
    <x v="1"/>
    <x v="1"/>
    <x v="1"/>
    <x v="452"/>
    <x v="454"/>
    <s v="27th January 2023"/>
    <s v="27th"/>
    <x v="11"/>
    <x v="0"/>
    <x v="1"/>
  </r>
  <r>
    <x v="1"/>
    <x v="3"/>
    <x v="2"/>
    <x v="453"/>
    <x v="12"/>
    <s v="27th January 2023"/>
    <s v="27th"/>
    <x v="11"/>
    <x v="0"/>
    <x v="0"/>
  </r>
  <r>
    <x v="1"/>
    <x v="1"/>
    <x v="1"/>
    <x v="454"/>
    <x v="455"/>
    <s v="27th January 2023"/>
    <s v="27th"/>
    <x v="11"/>
    <x v="0"/>
    <x v="1"/>
  </r>
  <r>
    <x v="1"/>
    <x v="9"/>
    <x v="1"/>
    <x v="455"/>
    <x v="456"/>
    <s v="27th January 2023"/>
    <s v="27th"/>
    <x v="11"/>
    <x v="0"/>
    <x v="1"/>
  </r>
  <r>
    <x v="1"/>
    <x v="5"/>
    <x v="0"/>
    <x v="456"/>
    <x v="12"/>
    <s v="27th January 2023"/>
    <s v="27th"/>
    <x v="11"/>
    <x v="0"/>
    <x v="0"/>
  </r>
  <r>
    <x v="1"/>
    <x v="1"/>
    <x v="1"/>
    <x v="457"/>
    <x v="457"/>
    <s v="27th January 2023"/>
    <s v="27th"/>
    <x v="11"/>
    <x v="0"/>
    <x v="1"/>
  </r>
  <r>
    <x v="1"/>
    <x v="1"/>
    <x v="1"/>
    <x v="458"/>
    <x v="458"/>
    <s v="27th January 2023"/>
    <s v="27th"/>
    <x v="11"/>
    <x v="0"/>
    <x v="1"/>
  </r>
  <r>
    <x v="1"/>
    <x v="1"/>
    <x v="1"/>
    <x v="459"/>
    <x v="459"/>
    <s v="27th January 2023"/>
    <s v="27th"/>
    <x v="11"/>
    <x v="0"/>
    <x v="1"/>
  </r>
  <r>
    <x v="1"/>
    <x v="6"/>
    <x v="1"/>
    <x v="300"/>
    <x v="460"/>
    <s v="14th January 2023"/>
    <s v="14th"/>
    <x v="11"/>
    <x v="0"/>
    <x v="1"/>
  </r>
  <r>
    <x v="1"/>
    <x v="1"/>
    <x v="1"/>
    <x v="460"/>
    <x v="461"/>
    <s v="14th January 2023"/>
    <s v="14th"/>
    <x v="11"/>
    <x v="0"/>
    <x v="1"/>
  </r>
  <r>
    <x v="1"/>
    <x v="1"/>
    <x v="1"/>
    <x v="461"/>
    <x v="462"/>
    <s v="14th January 2023"/>
    <s v="14th"/>
    <x v="11"/>
    <x v="0"/>
    <x v="1"/>
  </r>
  <r>
    <x v="1"/>
    <x v="4"/>
    <x v="2"/>
    <x v="462"/>
    <x v="463"/>
    <s v="14th January 2023"/>
    <s v="14th"/>
    <x v="11"/>
    <x v="0"/>
    <x v="0"/>
  </r>
  <r>
    <x v="1"/>
    <x v="1"/>
    <x v="1"/>
    <x v="463"/>
    <x v="464"/>
    <s v="14th January 2023"/>
    <s v="14th"/>
    <x v="11"/>
    <x v="0"/>
    <x v="1"/>
  </r>
  <r>
    <x v="1"/>
    <x v="1"/>
    <x v="1"/>
    <x v="464"/>
    <x v="465"/>
    <s v="14th January 2023"/>
    <s v="14th"/>
    <x v="11"/>
    <x v="0"/>
    <x v="1"/>
  </r>
  <r>
    <x v="1"/>
    <x v="7"/>
    <x v="0"/>
    <x v="465"/>
    <x v="252"/>
    <s v="14th January 2023"/>
    <s v="14th"/>
    <x v="11"/>
    <x v="0"/>
    <x v="1"/>
  </r>
  <r>
    <x v="1"/>
    <x v="1"/>
    <x v="1"/>
    <x v="466"/>
    <x v="466"/>
    <s v="14th January 2023"/>
    <s v="14th"/>
    <x v="11"/>
    <x v="0"/>
    <x v="1"/>
  </r>
  <r>
    <x v="1"/>
    <x v="5"/>
    <x v="0"/>
    <x v="467"/>
    <x v="467"/>
    <s v="14th January 2023"/>
    <s v="14th"/>
    <x v="11"/>
    <x v="0"/>
    <x v="0"/>
  </r>
  <r>
    <x v="1"/>
    <x v="7"/>
    <x v="0"/>
    <x v="468"/>
    <x v="468"/>
    <s v="14th January 2023"/>
    <s v="14th"/>
    <x v="11"/>
    <x v="0"/>
    <x v="1"/>
  </r>
  <r>
    <x v="1"/>
    <x v="1"/>
    <x v="1"/>
    <x v="469"/>
    <x v="450"/>
    <s v="2nd January 2023"/>
    <s v="2nd"/>
    <x v="11"/>
    <x v="0"/>
    <x v="1"/>
  </r>
  <r>
    <x v="1"/>
    <x v="4"/>
    <x v="2"/>
    <x v="470"/>
    <x v="469"/>
    <s v="2nd January 2023"/>
    <s v="2nd"/>
    <x v="11"/>
    <x v="0"/>
    <x v="0"/>
  </r>
  <r>
    <x v="1"/>
    <x v="1"/>
    <x v="1"/>
    <x v="471"/>
    <x v="470"/>
    <s v="2nd January 2023"/>
    <s v="2nd"/>
    <x v="11"/>
    <x v="0"/>
    <x v="1"/>
  </r>
  <r>
    <x v="1"/>
    <x v="1"/>
    <x v="1"/>
    <x v="472"/>
    <x v="471"/>
    <s v="2nd January 2023"/>
    <s v="2nd"/>
    <x v="11"/>
    <x v="0"/>
    <x v="1"/>
  </r>
  <r>
    <x v="1"/>
    <x v="1"/>
    <x v="1"/>
    <x v="473"/>
    <x v="472"/>
    <s v="2nd January 2023"/>
    <s v="2nd"/>
    <x v="11"/>
    <x v="0"/>
    <x v="1"/>
  </r>
  <r>
    <x v="1"/>
    <x v="1"/>
    <x v="1"/>
    <x v="300"/>
    <x v="473"/>
    <s v="2nd January 2023"/>
    <s v="2nd"/>
    <x v="11"/>
    <x v="0"/>
    <x v="1"/>
  </r>
  <r>
    <x v="1"/>
    <x v="1"/>
    <x v="1"/>
    <x v="474"/>
    <x v="220"/>
    <s v="2nd January 2023"/>
    <s v="2nd"/>
    <x v="11"/>
    <x v="0"/>
    <x v="1"/>
  </r>
  <r>
    <x v="1"/>
    <x v="2"/>
    <x v="2"/>
    <x v="475"/>
    <x v="474"/>
    <s v="2nd January 2023"/>
    <s v="2nd"/>
    <x v="11"/>
    <x v="0"/>
    <x v="0"/>
  </r>
  <r>
    <x v="1"/>
    <x v="8"/>
    <x v="1"/>
    <x v="476"/>
    <x v="475"/>
    <s v="2nd January 2023"/>
    <s v="2nd"/>
    <x v="11"/>
    <x v="0"/>
    <x v="1"/>
  </r>
  <r>
    <x v="1"/>
    <x v="2"/>
    <x v="2"/>
    <x v="477"/>
    <x v="476"/>
    <s v="2nd January 2023"/>
    <s v="2nd"/>
    <x v="11"/>
    <x v="0"/>
    <x v="0"/>
  </r>
  <r>
    <x v="1"/>
    <x v="5"/>
    <x v="0"/>
    <x v="478"/>
    <x v="477"/>
    <s v="11th December 2022"/>
    <s v="11th"/>
    <x v="4"/>
    <x v="1"/>
    <x v="0"/>
  </r>
  <r>
    <x v="1"/>
    <x v="1"/>
    <x v="1"/>
    <x v="479"/>
    <x v="478"/>
    <s v="11th December 2022"/>
    <s v="11th"/>
    <x v="4"/>
    <x v="1"/>
    <x v="1"/>
  </r>
  <r>
    <x v="1"/>
    <x v="1"/>
    <x v="1"/>
    <x v="480"/>
    <x v="479"/>
    <s v="11th December 2022"/>
    <s v="11th"/>
    <x v="4"/>
    <x v="1"/>
    <x v="1"/>
  </r>
  <r>
    <x v="1"/>
    <x v="6"/>
    <x v="1"/>
    <x v="481"/>
    <x v="480"/>
    <s v="11th December 2022"/>
    <s v="11th"/>
    <x v="4"/>
    <x v="1"/>
    <x v="1"/>
  </r>
  <r>
    <x v="1"/>
    <x v="0"/>
    <x v="0"/>
    <x v="482"/>
    <x v="481"/>
    <s v="11th December 2022"/>
    <s v="11th"/>
    <x v="4"/>
    <x v="1"/>
    <x v="1"/>
  </r>
  <r>
    <x v="1"/>
    <x v="4"/>
    <x v="2"/>
    <x v="483"/>
    <x v="482"/>
    <s v="11th December 2022"/>
    <s v="11th"/>
    <x v="4"/>
    <x v="1"/>
    <x v="0"/>
  </r>
  <r>
    <x v="1"/>
    <x v="0"/>
    <x v="0"/>
    <x v="484"/>
    <x v="483"/>
    <s v="11th December 2022"/>
    <s v="11th"/>
    <x v="4"/>
    <x v="1"/>
    <x v="0"/>
  </r>
  <r>
    <x v="1"/>
    <x v="4"/>
    <x v="2"/>
    <x v="485"/>
    <x v="484"/>
    <s v="11th December 2022"/>
    <s v="11th"/>
    <x v="4"/>
    <x v="1"/>
    <x v="0"/>
  </r>
  <r>
    <x v="1"/>
    <x v="6"/>
    <x v="1"/>
    <x v="486"/>
    <x v="485"/>
    <s v="11th December 2022"/>
    <s v="11th"/>
    <x v="4"/>
    <x v="1"/>
    <x v="1"/>
  </r>
  <r>
    <x v="1"/>
    <x v="7"/>
    <x v="0"/>
    <x v="487"/>
    <x v="486"/>
    <s v="11th December 2022"/>
    <s v="11th"/>
    <x v="4"/>
    <x v="1"/>
    <x v="1"/>
  </r>
  <r>
    <x v="1"/>
    <x v="1"/>
    <x v="1"/>
    <x v="488"/>
    <x v="487"/>
    <s v="19th November 2022"/>
    <s v="19th"/>
    <x v="6"/>
    <x v="1"/>
    <x v="1"/>
  </r>
  <r>
    <x v="1"/>
    <x v="6"/>
    <x v="1"/>
    <x v="489"/>
    <x v="488"/>
    <s v="19th November 2022"/>
    <s v="19th"/>
    <x v="6"/>
    <x v="1"/>
    <x v="0"/>
  </r>
  <r>
    <x v="1"/>
    <x v="1"/>
    <x v="1"/>
    <x v="490"/>
    <x v="489"/>
    <s v="19th November 2022"/>
    <s v="19th"/>
    <x v="6"/>
    <x v="1"/>
    <x v="1"/>
  </r>
  <r>
    <x v="1"/>
    <x v="1"/>
    <x v="1"/>
    <x v="491"/>
    <x v="490"/>
    <s v="19th November 2022"/>
    <s v="19th"/>
    <x v="6"/>
    <x v="1"/>
    <x v="1"/>
  </r>
  <r>
    <x v="1"/>
    <x v="6"/>
    <x v="1"/>
    <x v="365"/>
    <x v="491"/>
    <s v="19th November 2022"/>
    <s v="19th"/>
    <x v="6"/>
    <x v="1"/>
    <x v="1"/>
  </r>
  <r>
    <x v="1"/>
    <x v="5"/>
    <x v="0"/>
    <x v="492"/>
    <x v="492"/>
    <s v="19th November 2022"/>
    <s v="19th"/>
    <x v="6"/>
    <x v="1"/>
    <x v="0"/>
  </r>
  <r>
    <x v="1"/>
    <x v="5"/>
    <x v="0"/>
    <x v="493"/>
    <x v="12"/>
    <s v="19th November 2022"/>
    <s v="19th"/>
    <x v="6"/>
    <x v="1"/>
    <x v="0"/>
  </r>
  <r>
    <x v="1"/>
    <x v="5"/>
    <x v="0"/>
    <x v="494"/>
    <x v="493"/>
    <s v="19th November 2022"/>
    <s v="19th"/>
    <x v="6"/>
    <x v="1"/>
    <x v="0"/>
  </r>
  <r>
    <x v="1"/>
    <x v="3"/>
    <x v="2"/>
    <x v="495"/>
    <x v="494"/>
    <s v="19th November 2022"/>
    <s v="19th"/>
    <x v="6"/>
    <x v="1"/>
    <x v="0"/>
  </r>
  <r>
    <x v="1"/>
    <x v="1"/>
    <x v="1"/>
    <x v="496"/>
    <x v="495"/>
    <s v="19th November 2022"/>
    <s v="19th"/>
    <x v="6"/>
    <x v="1"/>
    <x v="1"/>
  </r>
  <r>
    <x v="1"/>
    <x v="1"/>
    <x v="1"/>
    <x v="438"/>
    <x v="496"/>
    <s v="25th October 2022"/>
    <s v="25th"/>
    <x v="0"/>
    <x v="1"/>
    <x v="1"/>
  </r>
  <r>
    <x v="1"/>
    <x v="1"/>
    <x v="1"/>
    <x v="497"/>
    <x v="497"/>
    <s v="25th October 2022"/>
    <s v="25th"/>
    <x v="0"/>
    <x v="1"/>
    <x v="1"/>
  </r>
  <r>
    <x v="1"/>
    <x v="8"/>
    <x v="1"/>
    <x v="498"/>
    <x v="498"/>
    <s v="25th October 2022"/>
    <s v="25th"/>
    <x v="0"/>
    <x v="1"/>
    <x v="1"/>
  </r>
  <r>
    <x v="1"/>
    <x v="6"/>
    <x v="1"/>
    <x v="499"/>
    <x v="499"/>
    <s v="25th October 2022"/>
    <s v="25th"/>
    <x v="0"/>
    <x v="1"/>
    <x v="1"/>
  </r>
  <r>
    <x v="1"/>
    <x v="6"/>
    <x v="1"/>
    <x v="500"/>
    <x v="500"/>
    <s v="25th October 2022"/>
    <s v="25th"/>
    <x v="0"/>
    <x v="1"/>
    <x v="1"/>
  </r>
  <r>
    <x v="1"/>
    <x v="4"/>
    <x v="2"/>
    <x v="501"/>
    <x v="501"/>
    <s v="25th October 2022"/>
    <s v="25th"/>
    <x v="0"/>
    <x v="1"/>
    <x v="0"/>
  </r>
  <r>
    <x v="1"/>
    <x v="2"/>
    <x v="2"/>
    <x v="502"/>
    <x v="502"/>
    <s v="25th October 2022"/>
    <s v="25th"/>
    <x v="0"/>
    <x v="1"/>
    <x v="0"/>
  </r>
  <r>
    <x v="1"/>
    <x v="1"/>
    <x v="1"/>
    <x v="503"/>
    <x v="503"/>
    <s v="25th October 2022"/>
    <s v="25th"/>
    <x v="0"/>
    <x v="1"/>
    <x v="1"/>
  </r>
  <r>
    <x v="1"/>
    <x v="8"/>
    <x v="1"/>
    <x v="504"/>
    <x v="504"/>
    <s v="25th October 2022"/>
    <s v="25th"/>
    <x v="0"/>
    <x v="1"/>
    <x v="1"/>
  </r>
  <r>
    <x v="1"/>
    <x v="4"/>
    <x v="2"/>
    <x v="505"/>
    <x v="505"/>
    <s v="25th October 2022"/>
    <s v="25th"/>
    <x v="0"/>
    <x v="1"/>
    <x v="0"/>
  </r>
  <r>
    <x v="1"/>
    <x v="4"/>
    <x v="2"/>
    <x v="506"/>
    <x v="506"/>
    <s v="30th September 2022"/>
    <s v="30th"/>
    <x v="2"/>
    <x v="1"/>
    <x v="0"/>
  </r>
  <r>
    <x v="1"/>
    <x v="3"/>
    <x v="2"/>
    <x v="507"/>
    <x v="507"/>
    <s v="30th September 2022"/>
    <s v="30th"/>
    <x v="2"/>
    <x v="1"/>
    <x v="0"/>
  </r>
  <r>
    <x v="1"/>
    <x v="9"/>
    <x v="1"/>
    <x v="508"/>
    <x v="508"/>
    <s v="30th September 2022"/>
    <s v="30th"/>
    <x v="2"/>
    <x v="1"/>
    <x v="1"/>
  </r>
  <r>
    <x v="1"/>
    <x v="5"/>
    <x v="0"/>
    <x v="509"/>
    <x v="509"/>
    <s v="30th September 2022"/>
    <s v="30th"/>
    <x v="2"/>
    <x v="1"/>
    <x v="0"/>
  </r>
  <r>
    <x v="1"/>
    <x v="3"/>
    <x v="2"/>
    <x v="510"/>
    <x v="12"/>
    <s v="30th September 2022"/>
    <s v="30th"/>
    <x v="2"/>
    <x v="1"/>
    <x v="0"/>
  </r>
  <r>
    <x v="1"/>
    <x v="5"/>
    <x v="0"/>
    <x v="511"/>
    <x v="12"/>
    <s v="30th September 2022"/>
    <s v="30th"/>
    <x v="2"/>
    <x v="1"/>
    <x v="0"/>
  </r>
  <r>
    <x v="1"/>
    <x v="1"/>
    <x v="1"/>
    <x v="512"/>
    <x v="510"/>
    <s v="30th September 2022"/>
    <s v="30th"/>
    <x v="2"/>
    <x v="1"/>
    <x v="1"/>
  </r>
  <r>
    <x v="1"/>
    <x v="3"/>
    <x v="2"/>
    <x v="513"/>
    <x v="511"/>
    <s v="30th September 2022"/>
    <s v="30th"/>
    <x v="2"/>
    <x v="1"/>
    <x v="0"/>
  </r>
  <r>
    <x v="1"/>
    <x v="8"/>
    <x v="1"/>
    <x v="514"/>
    <x v="512"/>
    <s v="30th September 2022"/>
    <s v="30th"/>
    <x v="2"/>
    <x v="1"/>
    <x v="1"/>
  </r>
  <r>
    <x v="1"/>
    <x v="1"/>
    <x v="1"/>
    <x v="515"/>
    <x v="513"/>
    <s v="30th September 2022"/>
    <s v="30th"/>
    <x v="2"/>
    <x v="1"/>
    <x v="1"/>
  </r>
  <r>
    <x v="1"/>
    <x v="1"/>
    <x v="1"/>
    <x v="516"/>
    <x v="514"/>
    <s v="15th September 2022"/>
    <s v="15th"/>
    <x v="2"/>
    <x v="1"/>
    <x v="1"/>
  </r>
  <r>
    <x v="1"/>
    <x v="0"/>
    <x v="0"/>
    <x v="517"/>
    <x v="515"/>
    <s v="15th September 2022"/>
    <s v="15th"/>
    <x v="2"/>
    <x v="1"/>
    <x v="0"/>
  </r>
  <r>
    <x v="1"/>
    <x v="1"/>
    <x v="1"/>
    <x v="518"/>
    <x v="516"/>
    <s v="15th September 2022"/>
    <s v="15th"/>
    <x v="2"/>
    <x v="1"/>
    <x v="1"/>
  </r>
  <r>
    <x v="1"/>
    <x v="8"/>
    <x v="1"/>
    <x v="519"/>
    <x v="517"/>
    <s v="15th September 2022"/>
    <s v="15th"/>
    <x v="2"/>
    <x v="1"/>
    <x v="1"/>
  </r>
  <r>
    <x v="1"/>
    <x v="1"/>
    <x v="1"/>
    <x v="520"/>
    <x v="518"/>
    <s v="15th September 2022"/>
    <s v="15th"/>
    <x v="2"/>
    <x v="1"/>
    <x v="1"/>
  </r>
  <r>
    <x v="1"/>
    <x v="1"/>
    <x v="1"/>
    <x v="521"/>
    <x v="519"/>
    <s v="15th September 2022"/>
    <s v="15th"/>
    <x v="2"/>
    <x v="1"/>
    <x v="1"/>
  </r>
  <r>
    <x v="1"/>
    <x v="9"/>
    <x v="1"/>
    <x v="522"/>
    <x v="520"/>
    <s v="15th September 2022"/>
    <s v="15th"/>
    <x v="2"/>
    <x v="1"/>
    <x v="1"/>
  </r>
  <r>
    <x v="1"/>
    <x v="8"/>
    <x v="1"/>
    <x v="523"/>
    <x v="521"/>
    <s v="15th September 2022"/>
    <s v="15th"/>
    <x v="2"/>
    <x v="1"/>
    <x v="1"/>
  </r>
  <r>
    <x v="1"/>
    <x v="1"/>
    <x v="1"/>
    <x v="524"/>
    <x v="522"/>
    <s v="15th September 2022"/>
    <s v="15th"/>
    <x v="2"/>
    <x v="1"/>
    <x v="1"/>
  </r>
  <r>
    <x v="1"/>
    <x v="3"/>
    <x v="2"/>
    <x v="525"/>
    <x v="523"/>
    <s v="15th September 2022"/>
    <s v="15th"/>
    <x v="2"/>
    <x v="1"/>
    <x v="0"/>
  </r>
  <r>
    <x v="1"/>
    <x v="3"/>
    <x v="2"/>
    <x v="526"/>
    <x v="12"/>
    <s v="20th August 2022"/>
    <s v="20th"/>
    <x v="8"/>
    <x v="1"/>
    <x v="0"/>
  </r>
  <r>
    <x v="1"/>
    <x v="9"/>
    <x v="1"/>
    <x v="527"/>
    <x v="524"/>
    <s v="20th August 2022"/>
    <s v="20th"/>
    <x v="8"/>
    <x v="1"/>
    <x v="1"/>
  </r>
  <r>
    <x v="1"/>
    <x v="3"/>
    <x v="2"/>
    <x v="528"/>
    <x v="525"/>
    <s v="20th August 2022"/>
    <s v="20th"/>
    <x v="8"/>
    <x v="1"/>
    <x v="0"/>
  </r>
  <r>
    <x v="1"/>
    <x v="1"/>
    <x v="1"/>
    <x v="529"/>
    <x v="526"/>
    <s v="20th August 2022"/>
    <s v="20th"/>
    <x v="8"/>
    <x v="1"/>
    <x v="1"/>
  </r>
  <r>
    <x v="1"/>
    <x v="3"/>
    <x v="2"/>
    <x v="530"/>
    <x v="527"/>
    <s v="20th August 2022"/>
    <s v="20th"/>
    <x v="8"/>
    <x v="1"/>
    <x v="0"/>
  </r>
  <r>
    <x v="1"/>
    <x v="1"/>
    <x v="1"/>
    <x v="531"/>
    <x v="528"/>
    <s v="20th August 2022"/>
    <s v="20th"/>
    <x v="8"/>
    <x v="1"/>
    <x v="1"/>
  </r>
  <r>
    <x v="1"/>
    <x v="2"/>
    <x v="2"/>
    <x v="532"/>
    <x v="523"/>
    <s v="20th August 2022"/>
    <s v="20th"/>
    <x v="8"/>
    <x v="1"/>
    <x v="0"/>
  </r>
  <r>
    <x v="1"/>
    <x v="1"/>
    <x v="1"/>
    <x v="533"/>
    <x v="529"/>
    <s v="20th August 2022"/>
    <s v="20th"/>
    <x v="8"/>
    <x v="1"/>
    <x v="1"/>
  </r>
  <r>
    <x v="1"/>
    <x v="6"/>
    <x v="1"/>
    <x v="534"/>
    <x v="523"/>
    <s v="20th August 2022"/>
    <s v="20th"/>
    <x v="8"/>
    <x v="1"/>
    <x v="1"/>
  </r>
  <r>
    <x v="1"/>
    <x v="1"/>
    <x v="1"/>
    <x v="535"/>
    <x v="530"/>
    <s v="20th August 2022"/>
    <s v="20th"/>
    <x v="8"/>
    <x v="1"/>
    <x v="1"/>
  </r>
  <r>
    <x v="1"/>
    <x v="1"/>
    <x v="1"/>
    <x v="536"/>
    <x v="531"/>
    <s v="7th August 2022"/>
    <s v="7th"/>
    <x v="8"/>
    <x v="1"/>
    <x v="1"/>
  </r>
  <r>
    <x v="1"/>
    <x v="1"/>
    <x v="1"/>
    <x v="537"/>
    <x v="532"/>
    <s v="7th August 2022"/>
    <s v="7th"/>
    <x v="8"/>
    <x v="1"/>
    <x v="1"/>
  </r>
  <r>
    <x v="1"/>
    <x v="1"/>
    <x v="1"/>
    <x v="538"/>
    <x v="533"/>
    <s v="7th August 2022"/>
    <s v="7th"/>
    <x v="8"/>
    <x v="1"/>
    <x v="1"/>
  </r>
  <r>
    <x v="1"/>
    <x v="6"/>
    <x v="1"/>
    <x v="479"/>
    <x v="534"/>
    <s v="7th August 2022"/>
    <s v="7th"/>
    <x v="8"/>
    <x v="1"/>
    <x v="1"/>
  </r>
  <r>
    <x v="1"/>
    <x v="6"/>
    <x v="1"/>
    <x v="539"/>
    <x v="535"/>
    <s v="7th August 2022"/>
    <s v="7th"/>
    <x v="8"/>
    <x v="1"/>
    <x v="1"/>
  </r>
  <r>
    <x v="1"/>
    <x v="1"/>
    <x v="1"/>
    <x v="540"/>
    <x v="536"/>
    <s v="7th August 2022"/>
    <s v="7th"/>
    <x v="8"/>
    <x v="1"/>
    <x v="1"/>
  </r>
  <r>
    <x v="1"/>
    <x v="6"/>
    <x v="1"/>
    <x v="541"/>
    <x v="537"/>
    <s v="7th August 2022"/>
    <s v="7th"/>
    <x v="8"/>
    <x v="1"/>
    <x v="1"/>
  </r>
  <r>
    <x v="1"/>
    <x v="1"/>
    <x v="1"/>
    <x v="542"/>
    <x v="538"/>
    <s v="7th August 2022"/>
    <s v="7th"/>
    <x v="8"/>
    <x v="1"/>
    <x v="1"/>
  </r>
  <r>
    <x v="1"/>
    <x v="1"/>
    <x v="1"/>
    <x v="543"/>
    <x v="539"/>
    <s v="7th August 2022"/>
    <s v="7th"/>
    <x v="8"/>
    <x v="1"/>
    <x v="1"/>
  </r>
  <r>
    <x v="1"/>
    <x v="6"/>
    <x v="1"/>
    <x v="544"/>
    <x v="540"/>
    <s v="7th August 2022"/>
    <s v="7th"/>
    <x v="8"/>
    <x v="1"/>
    <x v="1"/>
  </r>
  <r>
    <x v="1"/>
    <x v="5"/>
    <x v="0"/>
    <x v="545"/>
    <x v="541"/>
    <s v="9th July 2022"/>
    <s v="9th"/>
    <x v="9"/>
    <x v="1"/>
    <x v="0"/>
  </r>
  <r>
    <x v="1"/>
    <x v="3"/>
    <x v="2"/>
    <x v="546"/>
    <x v="542"/>
    <s v="9th July 2022"/>
    <s v="9th"/>
    <x v="9"/>
    <x v="1"/>
    <x v="0"/>
  </r>
  <r>
    <x v="1"/>
    <x v="6"/>
    <x v="1"/>
    <x v="547"/>
    <x v="543"/>
    <s v="9th July 2022"/>
    <s v="9th"/>
    <x v="9"/>
    <x v="1"/>
    <x v="1"/>
  </r>
  <r>
    <x v="1"/>
    <x v="1"/>
    <x v="1"/>
    <x v="548"/>
    <x v="544"/>
    <s v="9th July 2022"/>
    <s v="9th"/>
    <x v="9"/>
    <x v="1"/>
    <x v="1"/>
  </r>
  <r>
    <x v="1"/>
    <x v="1"/>
    <x v="1"/>
    <x v="549"/>
    <x v="545"/>
    <s v="9th July 2022"/>
    <s v="9th"/>
    <x v="9"/>
    <x v="1"/>
    <x v="1"/>
  </r>
  <r>
    <x v="1"/>
    <x v="1"/>
    <x v="1"/>
    <x v="550"/>
    <x v="546"/>
    <s v="9th July 2022"/>
    <s v="9th"/>
    <x v="9"/>
    <x v="1"/>
    <x v="1"/>
  </r>
  <r>
    <x v="1"/>
    <x v="6"/>
    <x v="1"/>
    <x v="551"/>
    <x v="547"/>
    <s v="9th July 2022"/>
    <s v="9th"/>
    <x v="9"/>
    <x v="1"/>
    <x v="1"/>
  </r>
  <r>
    <x v="1"/>
    <x v="1"/>
    <x v="1"/>
    <x v="552"/>
    <x v="548"/>
    <s v="9th July 2022"/>
    <s v="9th"/>
    <x v="9"/>
    <x v="1"/>
    <x v="1"/>
  </r>
  <r>
    <x v="1"/>
    <x v="1"/>
    <x v="1"/>
    <x v="553"/>
    <x v="549"/>
    <s v="9th July 2022"/>
    <s v="9th"/>
    <x v="9"/>
    <x v="1"/>
    <x v="1"/>
  </r>
  <r>
    <x v="1"/>
    <x v="1"/>
    <x v="1"/>
    <x v="554"/>
    <x v="550"/>
    <s v="9th July 2022"/>
    <s v="9th"/>
    <x v="9"/>
    <x v="1"/>
    <x v="1"/>
  </r>
  <r>
    <x v="1"/>
    <x v="1"/>
    <x v="1"/>
    <x v="555"/>
    <x v="551"/>
    <s v="21st May 2022"/>
    <s v="21st"/>
    <x v="7"/>
    <x v="1"/>
    <x v="1"/>
  </r>
  <r>
    <x v="1"/>
    <x v="1"/>
    <x v="1"/>
    <x v="556"/>
    <x v="552"/>
    <s v="21st May 2022"/>
    <s v="21st"/>
    <x v="7"/>
    <x v="1"/>
    <x v="1"/>
  </r>
  <r>
    <x v="1"/>
    <x v="1"/>
    <x v="1"/>
    <x v="557"/>
    <x v="523"/>
    <s v="21st May 2022"/>
    <s v="21st"/>
    <x v="7"/>
    <x v="1"/>
    <x v="1"/>
  </r>
  <r>
    <x v="1"/>
    <x v="1"/>
    <x v="1"/>
    <x v="558"/>
    <x v="553"/>
    <s v="21st May 2022"/>
    <s v="21st"/>
    <x v="7"/>
    <x v="1"/>
    <x v="1"/>
  </r>
  <r>
    <x v="1"/>
    <x v="3"/>
    <x v="2"/>
    <x v="559"/>
    <x v="554"/>
    <s v="21st May 2022"/>
    <s v="21st"/>
    <x v="7"/>
    <x v="1"/>
    <x v="0"/>
  </r>
  <r>
    <x v="1"/>
    <x v="1"/>
    <x v="1"/>
    <x v="560"/>
    <x v="555"/>
    <s v="21st May 2022"/>
    <s v="21st"/>
    <x v="7"/>
    <x v="1"/>
    <x v="1"/>
  </r>
  <r>
    <x v="1"/>
    <x v="1"/>
    <x v="1"/>
    <x v="561"/>
    <x v="556"/>
    <s v="21st May 2022"/>
    <s v="21st"/>
    <x v="7"/>
    <x v="1"/>
    <x v="1"/>
  </r>
  <r>
    <x v="1"/>
    <x v="6"/>
    <x v="1"/>
    <x v="562"/>
    <x v="557"/>
    <s v="21st May 2022"/>
    <s v="21st"/>
    <x v="7"/>
    <x v="1"/>
    <x v="1"/>
  </r>
  <r>
    <x v="1"/>
    <x v="8"/>
    <x v="1"/>
    <x v="563"/>
    <x v="558"/>
    <s v="21st May 2022"/>
    <s v="21st"/>
    <x v="7"/>
    <x v="1"/>
    <x v="1"/>
  </r>
  <r>
    <x v="1"/>
    <x v="1"/>
    <x v="1"/>
    <x v="564"/>
    <x v="559"/>
    <s v="21st May 2022"/>
    <s v="21st"/>
    <x v="7"/>
    <x v="1"/>
    <x v="1"/>
  </r>
  <r>
    <x v="1"/>
    <x v="1"/>
    <x v="1"/>
    <x v="565"/>
    <x v="560"/>
    <s v="30th April 2022"/>
    <s v="30th"/>
    <x v="1"/>
    <x v="1"/>
    <x v="1"/>
  </r>
  <r>
    <x v="1"/>
    <x v="1"/>
    <x v="1"/>
    <x v="566"/>
    <x v="561"/>
    <s v="30th April 2022"/>
    <s v="30th"/>
    <x v="1"/>
    <x v="1"/>
    <x v="1"/>
  </r>
  <r>
    <x v="1"/>
    <x v="1"/>
    <x v="1"/>
    <x v="567"/>
    <x v="562"/>
    <s v="30th April 2022"/>
    <s v="30th"/>
    <x v="1"/>
    <x v="1"/>
    <x v="1"/>
  </r>
  <r>
    <x v="1"/>
    <x v="1"/>
    <x v="1"/>
    <x v="568"/>
    <x v="563"/>
    <s v="30th April 2022"/>
    <s v="30th"/>
    <x v="1"/>
    <x v="1"/>
    <x v="1"/>
  </r>
  <r>
    <x v="1"/>
    <x v="1"/>
    <x v="1"/>
    <x v="569"/>
    <x v="564"/>
    <s v="30th April 2022"/>
    <s v="30th"/>
    <x v="1"/>
    <x v="1"/>
    <x v="1"/>
  </r>
  <r>
    <x v="1"/>
    <x v="1"/>
    <x v="1"/>
    <x v="570"/>
    <x v="565"/>
    <s v="30th April 2022"/>
    <s v="30th"/>
    <x v="1"/>
    <x v="1"/>
    <x v="1"/>
  </r>
  <r>
    <x v="1"/>
    <x v="8"/>
    <x v="1"/>
    <x v="571"/>
    <x v="566"/>
    <s v="30th April 2022"/>
    <s v="30th"/>
    <x v="1"/>
    <x v="1"/>
    <x v="1"/>
  </r>
  <r>
    <x v="1"/>
    <x v="2"/>
    <x v="2"/>
    <x v="572"/>
    <x v="567"/>
    <s v="30th April 2022"/>
    <s v="30th"/>
    <x v="1"/>
    <x v="1"/>
    <x v="0"/>
  </r>
  <r>
    <x v="1"/>
    <x v="6"/>
    <x v="1"/>
    <x v="573"/>
    <x v="568"/>
    <s v="30th April 2022"/>
    <s v="30th"/>
    <x v="1"/>
    <x v="1"/>
    <x v="1"/>
  </r>
  <r>
    <x v="1"/>
    <x v="1"/>
    <x v="1"/>
    <x v="574"/>
    <x v="569"/>
    <s v="30th April 2022"/>
    <s v="30th"/>
    <x v="1"/>
    <x v="1"/>
    <x v="1"/>
  </r>
  <r>
    <x v="1"/>
    <x v="1"/>
    <x v="1"/>
    <x v="291"/>
    <x v="570"/>
    <s v="4th April 2022"/>
    <s v="4th"/>
    <x v="1"/>
    <x v="1"/>
    <x v="1"/>
  </r>
  <r>
    <x v="1"/>
    <x v="6"/>
    <x v="1"/>
    <x v="575"/>
    <x v="571"/>
    <s v="4th April 2022"/>
    <s v="4th"/>
    <x v="1"/>
    <x v="1"/>
    <x v="1"/>
  </r>
  <r>
    <x v="1"/>
    <x v="8"/>
    <x v="1"/>
    <x v="576"/>
    <x v="572"/>
    <s v="4th April 2022"/>
    <s v="4th"/>
    <x v="1"/>
    <x v="1"/>
    <x v="1"/>
  </r>
  <r>
    <x v="1"/>
    <x v="1"/>
    <x v="1"/>
    <x v="577"/>
    <x v="573"/>
    <s v="4th April 2022"/>
    <s v="4th"/>
    <x v="1"/>
    <x v="1"/>
    <x v="1"/>
  </r>
  <r>
    <x v="1"/>
    <x v="1"/>
    <x v="1"/>
    <x v="578"/>
    <x v="574"/>
    <s v="4th April 2022"/>
    <s v="4th"/>
    <x v="1"/>
    <x v="1"/>
    <x v="1"/>
  </r>
  <r>
    <x v="1"/>
    <x v="7"/>
    <x v="0"/>
    <x v="579"/>
    <x v="575"/>
    <s v="4th April 2022"/>
    <s v="4th"/>
    <x v="1"/>
    <x v="1"/>
    <x v="0"/>
  </r>
  <r>
    <x v="1"/>
    <x v="1"/>
    <x v="1"/>
    <x v="580"/>
    <x v="576"/>
    <s v="4th April 2022"/>
    <s v="4th"/>
    <x v="1"/>
    <x v="1"/>
    <x v="1"/>
  </r>
  <r>
    <x v="1"/>
    <x v="1"/>
    <x v="1"/>
    <x v="581"/>
    <x v="577"/>
    <s v="4th April 2022"/>
    <s v="4th"/>
    <x v="1"/>
    <x v="1"/>
    <x v="1"/>
  </r>
  <r>
    <x v="1"/>
    <x v="8"/>
    <x v="1"/>
    <x v="582"/>
    <x v="578"/>
    <s v="4th April 2022"/>
    <s v="4th"/>
    <x v="1"/>
    <x v="1"/>
    <x v="1"/>
  </r>
  <r>
    <x v="1"/>
    <x v="1"/>
    <x v="1"/>
    <x v="583"/>
    <x v="579"/>
    <s v="4th April 2022"/>
    <s v="4th"/>
    <x v="1"/>
    <x v="1"/>
    <x v="1"/>
  </r>
  <r>
    <x v="1"/>
    <x v="5"/>
    <x v="0"/>
    <x v="584"/>
    <x v="12"/>
    <s v="13th March 2022"/>
    <s v="13th"/>
    <x v="10"/>
    <x v="1"/>
    <x v="0"/>
  </r>
  <r>
    <x v="1"/>
    <x v="1"/>
    <x v="1"/>
    <x v="585"/>
    <x v="580"/>
    <s v="13th March 2022"/>
    <s v="13th"/>
    <x v="10"/>
    <x v="1"/>
    <x v="1"/>
  </r>
  <r>
    <x v="1"/>
    <x v="1"/>
    <x v="1"/>
    <x v="586"/>
    <x v="581"/>
    <s v="13th March 2022"/>
    <s v="13th"/>
    <x v="10"/>
    <x v="1"/>
    <x v="1"/>
  </r>
  <r>
    <x v="1"/>
    <x v="1"/>
    <x v="1"/>
    <x v="587"/>
    <x v="582"/>
    <s v="13th March 2022"/>
    <s v="13th"/>
    <x v="10"/>
    <x v="1"/>
    <x v="1"/>
  </r>
  <r>
    <x v="1"/>
    <x v="1"/>
    <x v="1"/>
    <x v="588"/>
    <x v="583"/>
    <s v="13th March 2022"/>
    <s v="13th"/>
    <x v="10"/>
    <x v="1"/>
    <x v="1"/>
  </r>
  <r>
    <x v="1"/>
    <x v="1"/>
    <x v="1"/>
    <x v="589"/>
    <x v="584"/>
    <s v="13th March 2022"/>
    <s v="13th"/>
    <x v="10"/>
    <x v="1"/>
    <x v="1"/>
  </r>
  <r>
    <x v="1"/>
    <x v="1"/>
    <x v="1"/>
    <x v="590"/>
    <x v="585"/>
    <s v="13th March 2022"/>
    <s v="13th"/>
    <x v="10"/>
    <x v="1"/>
    <x v="1"/>
  </r>
  <r>
    <x v="1"/>
    <x v="1"/>
    <x v="1"/>
    <x v="591"/>
    <x v="586"/>
    <s v="13th March 2022"/>
    <s v="13th"/>
    <x v="10"/>
    <x v="1"/>
    <x v="1"/>
  </r>
  <r>
    <x v="1"/>
    <x v="2"/>
    <x v="2"/>
    <x v="592"/>
    <x v="587"/>
    <s v="13th March 2022"/>
    <s v="13th"/>
    <x v="10"/>
    <x v="1"/>
    <x v="0"/>
  </r>
  <r>
    <x v="1"/>
    <x v="1"/>
    <x v="1"/>
    <x v="593"/>
    <x v="588"/>
    <s v="13th March 2022"/>
    <s v="13th"/>
    <x v="10"/>
    <x v="1"/>
    <x v="1"/>
  </r>
  <r>
    <x v="1"/>
    <x v="1"/>
    <x v="1"/>
    <x v="594"/>
    <x v="589"/>
    <s v="16th January 2022"/>
    <s v="16th"/>
    <x v="11"/>
    <x v="1"/>
    <x v="1"/>
  </r>
  <r>
    <x v="1"/>
    <x v="1"/>
    <x v="1"/>
    <x v="595"/>
    <x v="590"/>
    <s v="16th January 2022"/>
    <s v="16th"/>
    <x v="11"/>
    <x v="1"/>
    <x v="1"/>
  </r>
  <r>
    <x v="1"/>
    <x v="1"/>
    <x v="1"/>
    <x v="596"/>
    <x v="591"/>
    <s v="16th January 2022"/>
    <s v="16th"/>
    <x v="11"/>
    <x v="1"/>
    <x v="1"/>
  </r>
  <r>
    <x v="1"/>
    <x v="1"/>
    <x v="1"/>
    <x v="597"/>
    <x v="592"/>
    <s v="16th January 2022"/>
    <s v="16th"/>
    <x v="11"/>
    <x v="1"/>
    <x v="1"/>
  </r>
  <r>
    <x v="1"/>
    <x v="7"/>
    <x v="0"/>
    <x v="598"/>
    <x v="593"/>
    <s v="16th January 2022"/>
    <s v="16th"/>
    <x v="11"/>
    <x v="1"/>
    <x v="1"/>
  </r>
  <r>
    <x v="1"/>
    <x v="0"/>
    <x v="0"/>
    <x v="599"/>
    <x v="594"/>
    <s v="16th January 2022"/>
    <s v="16th"/>
    <x v="11"/>
    <x v="1"/>
    <x v="1"/>
  </r>
  <r>
    <x v="1"/>
    <x v="1"/>
    <x v="1"/>
    <x v="600"/>
    <x v="595"/>
    <s v="16th January 2022"/>
    <s v="16th"/>
    <x v="11"/>
    <x v="1"/>
    <x v="1"/>
  </r>
  <r>
    <x v="1"/>
    <x v="0"/>
    <x v="0"/>
    <x v="601"/>
    <x v="596"/>
    <s v="16th January 2022"/>
    <s v="16th"/>
    <x v="11"/>
    <x v="1"/>
    <x v="0"/>
  </r>
  <r>
    <x v="1"/>
    <x v="1"/>
    <x v="1"/>
    <x v="602"/>
    <x v="597"/>
    <s v="16th January 2022"/>
    <s v="16th"/>
    <x v="11"/>
    <x v="1"/>
    <x v="1"/>
  </r>
  <r>
    <x v="1"/>
    <x v="1"/>
    <x v="1"/>
    <x v="603"/>
    <x v="598"/>
    <s v="16th January 2022"/>
    <s v="16th"/>
    <x v="11"/>
    <x v="1"/>
    <x v="1"/>
  </r>
  <r>
    <x v="1"/>
    <x v="1"/>
    <x v="1"/>
    <x v="604"/>
    <x v="599"/>
    <s v="2nd December 2021"/>
    <s v="2nd"/>
    <x v="4"/>
    <x v="2"/>
    <x v="1"/>
  </r>
  <r>
    <x v="1"/>
    <x v="2"/>
    <x v="2"/>
    <x v="605"/>
    <x v="600"/>
    <s v="2nd December 2021"/>
    <s v="2nd"/>
    <x v="4"/>
    <x v="2"/>
    <x v="0"/>
  </r>
  <r>
    <x v="1"/>
    <x v="1"/>
    <x v="1"/>
    <x v="606"/>
    <x v="601"/>
    <s v="2nd December 2021"/>
    <s v="2nd"/>
    <x v="4"/>
    <x v="2"/>
    <x v="1"/>
  </r>
  <r>
    <x v="1"/>
    <x v="1"/>
    <x v="1"/>
    <x v="607"/>
    <x v="602"/>
    <s v="2nd December 2021"/>
    <s v="2nd"/>
    <x v="4"/>
    <x v="2"/>
    <x v="1"/>
  </r>
  <r>
    <x v="1"/>
    <x v="1"/>
    <x v="1"/>
    <x v="142"/>
    <x v="603"/>
    <s v="2nd December 2021"/>
    <s v="2nd"/>
    <x v="4"/>
    <x v="2"/>
    <x v="1"/>
  </r>
  <r>
    <x v="1"/>
    <x v="1"/>
    <x v="1"/>
    <x v="608"/>
    <x v="604"/>
    <s v="2nd December 2021"/>
    <s v="2nd"/>
    <x v="4"/>
    <x v="2"/>
    <x v="1"/>
  </r>
  <r>
    <x v="1"/>
    <x v="6"/>
    <x v="1"/>
    <x v="609"/>
    <x v="605"/>
    <s v="2nd December 2021"/>
    <s v="2nd"/>
    <x v="4"/>
    <x v="2"/>
    <x v="1"/>
  </r>
  <r>
    <x v="1"/>
    <x v="1"/>
    <x v="1"/>
    <x v="610"/>
    <x v="606"/>
    <s v="2nd December 2021"/>
    <s v="2nd"/>
    <x v="4"/>
    <x v="2"/>
    <x v="1"/>
  </r>
  <r>
    <x v="1"/>
    <x v="1"/>
    <x v="1"/>
    <x v="611"/>
    <x v="607"/>
    <s v="2nd December 2021"/>
    <s v="2nd"/>
    <x v="4"/>
    <x v="2"/>
    <x v="1"/>
  </r>
  <r>
    <x v="1"/>
    <x v="6"/>
    <x v="1"/>
    <x v="612"/>
    <x v="608"/>
    <s v="2nd December 2021"/>
    <s v="2nd"/>
    <x v="4"/>
    <x v="2"/>
    <x v="1"/>
  </r>
  <r>
    <x v="1"/>
    <x v="6"/>
    <x v="1"/>
    <x v="613"/>
    <x v="609"/>
    <s v="24th October 2021"/>
    <s v="24th"/>
    <x v="0"/>
    <x v="2"/>
    <x v="1"/>
  </r>
  <r>
    <x v="1"/>
    <x v="6"/>
    <x v="1"/>
    <x v="614"/>
    <x v="610"/>
    <s v="24th October 2021"/>
    <s v="24th"/>
    <x v="0"/>
    <x v="2"/>
    <x v="1"/>
  </r>
  <r>
    <x v="1"/>
    <x v="1"/>
    <x v="1"/>
    <x v="615"/>
    <x v="611"/>
    <s v="24th October 2021"/>
    <s v="24th"/>
    <x v="0"/>
    <x v="2"/>
    <x v="1"/>
  </r>
  <r>
    <x v="1"/>
    <x v="6"/>
    <x v="1"/>
    <x v="616"/>
    <x v="612"/>
    <s v="24th October 2021"/>
    <s v="24th"/>
    <x v="0"/>
    <x v="2"/>
    <x v="1"/>
  </r>
  <r>
    <x v="1"/>
    <x v="2"/>
    <x v="2"/>
    <x v="349"/>
    <x v="613"/>
    <s v="24th October 2021"/>
    <s v="24th"/>
    <x v="0"/>
    <x v="2"/>
    <x v="0"/>
  </r>
  <r>
    <x v="1"/>
    <x v="1"/>
    <x v="1"/>
    <x v="617"/>
    <x v="614"/>
    <s v="24th October 2021"/>
    <s v="24th"/>
    <x v="0"/>
    <x v="2"/>
    <x v="1"/>
  </r>
  <r>
    <x v="1"/>
    <x v="1"/>
    <x v="1"/>
    <x v="618"/>
    <x v="615"/>
    <s v="24th October 2021"/>
    <s v="24th"/>
    <x v="0"/>
    <x v="2"/>
    <x v="1"/>
  </r>
  <r>
    <x v="1"/>
    <x v="2"/>
    <x v="2"/>
    <x v="619"/>
    <x v="616"/>
    <s v="24th October 2021"/>
    <s v="24th"/>
    <x v="0"/>
    <x v="2"/>
    <x v="0"/>
  </r>
  <r>
    <x v="1"/>
    <x v="1"/>
    <x v="1"/>
    <x v="620"/>
    <x v="617"/>
    <s v="24th October 2021"/>
    <s v="24th"/>
    <x v="0"/>
    <x v="2"/>
    <x v="1"/>
  </r>
  <r>
    <x v="1"/>
    <x v="1"/>
    <x v="1"/>
    <x v="621"/>
    <x v="618"/>
    <s v="24th October 2021"/>
    <s v="24th"/>
    <x v="0"/>
    <x v="2"/>
    <x v="1"/>
  </r>
  <r>
    <x v="1"/>
    <x v="1"/>
    <x v="1"/>
    <x v="622"/>
    <x v="619"/>
    <s v="12th September 2021"/>
    <s v="12th"/>
    <x v="2"/>
    <x v="2"/>
    <x v="1"/>
  </r>
  <r>
    <x v="1"/>
    <x v="1"/>
    <x v="1"/>
    <x v="623"/>
    <x v="620"/>
    <s v="12th September 2021"/>
    <s v="12th"/>
    <x v="2"/>
    <x v="2"/>
    <x v="1"/>
  </r>
  <r>
    <x v="1"/>
    <x v="1"/>
    <x v="1"/>
    <x v="624"/>
    <x v="621"/>
    <s v="12th September 2021"/>
    <s v="12th"/>
    <x v="2"/>
    <x v="2"/>
    <x v="1"/>
  </r>
  <r>
    <x v="1"/>
    <x v="1"/>
    <x v="1"/>
    <x v="625"/>
    <x v="622"/>
    <s v="12th September 2021"/>
    <s v="12th"/>
    <x v="2"/>
    <x v="2"/>
    <x v="1"/>
  </r>
  <r>
    <x v="1"/>
    <x v="1"/>
    <x v="1"/>
    <x v="626"/>
    <x v="623"/>
    <s v="12th September 2021"/>
    <s v="12th"/>
    <x v="2"/>
    <x v="2"/>
    <x v="1"/>
  </r>
  <r>
    <x v="1"/>
    <x v="1"/>
    <x v="1"/>
    <x v="627"/>
    <x v="624"/>
    <s v="12th September 2021"/>
    <s v="12th"/>
    <x v="2"/>
    <x v="2"/>
    <x v="1"/>
  </r>
  <r>
    <x v="1"/>
    <x v="6"/>
    <x v="1"/>
    <x v="628"/>
    <x v="625"/>
    <s v="12th September 2021"/>
    <s v="12th"/>
    <x v="2"/>
    <x v="2"/>
    <x v="1"/>
  </r>
  <r>
    <x v="1"/>
    <x v="1"/>
    <x v="1"/>
    <x v="629"/>
    <x v="626"/>
    <s v="12th September 2021"/>
    <s v="12th"/>
    <x v="2"/>
    <x v="2"/>
    <x v="1"/>
  </r>
  <r>
    <x v="1"/>
    <x v="1"/>
    <x v="1"/>
    <x v="630"/>
    <x v="627"/>
    <s v="12th September 2021"/>
    <s v="12th"/>
    <x v="2"/>
    <x v="2"/>
    <x v="1"/>
  </r>
  <r>
    <x v="1"/>
    <x v="1"/>
    <x v="1"/>
    <x v="631"/>
    <x v="628"/>
    <s v="12th September 2021"/>
    <s v="12th"/>
    <x v="2"/>
    <x v="2"/>
    <x v="1"/>
  </r>
  <r>
    <x v="1"/>
    <x v="1"/>
    <x v="1"/>
    <x v="632"/>
    <x v="629"/>
    <s v="17th June 2021"/>
    <s v="17th"/>
    <x v="3"/>
    <x v="2"/>
    <x v="1"/>
  </r>
  <r>
    <x v="1"/>
    <x v="1"/>
    <x v="1"/>
    <x v="633"/>
    <x v="630"/>
    <s v="17th June 2021"/>
    <s v="17th"/>
    <x v="3"/>
    <x v="2"/>
    <x v="1"/>
  </r>
  <r>
    <x v="1"/>
    <x v="6"/>
    <x v="1"/>
    <x v="634"/>
    <x v="631"/>
    <s v="17th June 2021"/>
    <s v="17th"/>
    <x v="3"/>
    <x v="2"/>
    <x v="1"/>
  </r>
  <r>
    <x v="1"/>
    <x v="1"/>
    <x v="1"/>
    <x v="635"/>
    <x v="632"/>
    <s v="17th June 2021"/>
    <s v="17th"/>
    <x v="3"/>
    <x v="2"/>
    <x v="1"/>
  </r>
  <r>
    <x v="1"/>
    <x v="1"/>
    <x v="1"/>
    <x v="334"/>
    <x v="633"/>
    <s v="17th June 2021"/>
    <s v="17th"/>
    <x v="3"/>
    <x v="2"/>
    <x v="1"/>
  </r>
  <r>
    <x v="1"/>
    <x v="1"/>
    <x v="1"/>
    <x v="550"/>
    <x v="634"/>
    <s v="17th June 2021"/>
    <s v="17th"/>
    <x v="3"/>
    <x v="2"/>
    <x v="1"/>
  </r>
  <r>
    <x v="1"/>
    <x v="9"/>
    <x v="1"/>
    <x v="636"/>
    <x v="635"/>
    <s v="17th June 2021"/>
    <s v="17th"/>
    <x v="3"/>
    <x v="2"/>
    <x v="1"/>
  </r>
  <r>
    <x v="1"/>
    <x v="7"/>
    <x v="0"/>
    <x v="637"/>
    <x v="636"/>
    <s v="17th June 2021"/>
    <s v="17th"/>
    <x v="3"/>
    <x v="2"/>
    <x v="0"/>
  </r>
  <r>
    <x v="1"/>
    <x v="9"/>
    <x v="1"/>
    <x v="638"/>
    <x v="637"/>
    <s v="17th June 2021"/>
    <s v="17th"/>
    <x v="3"/>
    <x v="2"/>
    <x v="1"/>
  </r>
  <r>
    <x v="1"/>
    <x v="6"/>
    <x v="1"/>
    <x v="639"/>
    <x v="638"/>
    <s v="17th June 2021"/>
    <s v="17th"/>
    <x v="3"/>
    <x v="2"/>
    <x v="1"/>
  </r>
  <r>
    <x v="1"/>
    <x v="4"/>
    <x v="2"/>
    <x v="640"/>
    <x v="639"/>
    <s v="14th March 2021"/>
    <s v="14th"/>
    <x v="10"/>
    <x v="2"/>
    <x v="0"/>
  </r>
  <r>
    <x v="1"/>
    <x v="1"/>
    <x v="1"/>
    <x v="641"/>
    <x v="640"/>
    <s v="14th March 2021"/>
    <s v="14th"/>
    <x v="10"/>
    <x v="2"/>
    <x v="1"/>
  </r>
  <r>
    <x v="1"/>
    <x v="1"/>
    <x v="1"/>
    <x v="642"/>
    <x v="641"/>
    <s v="14th March 2021"/>
    <s v="14th"/>
    <x v="10"/>
    <x v="2"/>
    <x v="1"/>
  </r>
  <r>
    <x v="1"/>
    <x v="1"/>
    <x v="1"/>
    <x v="643"/>
    <x v="642"/>
    <s v="14th March 2021"/>
    <s v="14th"/>
    <x v="10"/>
    <x v="2"/>
    <x v="1"/>
  </r>
  <r>
    <x v="1"/>
    <x v="5"/>
    <x v="0"/>
    <x v="644"/>
    <x v="252"/>
    <s v="14th March 2021"/>
    <s v="14th"/>
    <x v="10"/>
    <x v="2"/>
    <x v="0"/>
  </r>
  <r>
    <x v="1"/>
    <x v="1"/>
    <x v="1"/>
    <x v="645"/>
    <x v="643"/>
    <s v="14th March 2021"/>
    <s v="14th"/>
    <x v="10"/>
    <x v="2"/>
    <x v="1"/>
  </r>
  <r>
    <x v="1"/>
    <x v="1"/>
    <x v="1"/>
    <x v="646"/>
    <x v="644"/>
    <s v="14th March 2021"/>
    <s v="14th"/>
    <x v="10"/>
    <x v="2"/>
    <x v="1"/>
  </r>
  <r>
    <x v="1"/>
    <x v="1"/>
    <x v="1"/>
    <x v="647"/>
    <x v="645"/>
    <s v="14th March 2021"/>
    <s v="14th"/>
    <x v="10"/>
    <x v="2"/>
    <x v="1"/>
  </r>
  <r>
    <x v="1"/>
    <x v="6"/>
    <x v="1"/>
    <x v="648"/>
    <x v="646"/>
    <s v="14th March 2021"/>
    <s v="14th"/>
    <x v="10"/>
    <x v="2"/>
    <x v="1"/>
  </r>
  <r>
    <x v="1"/>
    <x v="8"/>
    <x v="1"/>
    <x v="649"/>
    <x v="647"/>
    <s v="14th March 2021"/>
    <s v="14th"/>
    <x v="10"/>
    <x v="2"/>
    <x v="1"/>
  </r>
  <r>
    <x v="2"/>
    <x v="1"/>
    <x v="1"/>
    <x v="650"/>
    <x v="648"/>
    <s v="12th September 2024"/>
    <s v="12th"/>
    <x v="2"/>
    <x v="7"/>
    <x v="1"/>
  </r>
  <r>
    <x v="2"/>
    <x v="8"/>
    <x v="1"/>
    <x v="651"/>
    <x v="649"/>
    <s v="12th September 2024"/>
    <s v="12th"/>
    <x v="2"/>
    <x v="7"/>
    <x v="1"/>
  </r>
  <r>
    <x v="2"/>
    <x v="1"/>
    <x v="1"/>
    <x v="652"/>
    <x v="650"/>
    <s v="12th September 2024"/>
    <s v="12th"/>
    <x v="2"/>
    <x v="7"/>
    <x v="1"/>
  </r>
  <r>
    <x v="2"/>
    <x v="1"/>
    <x v="1"/>
    <x v="653"/>
    <x v="651"/>
    <s v="12th September 2024"/>
    <s v="12th"/>
    <x v="2"/>
    <x v="7"/>
    <x v="1"/>
  </r>
  <r>
    <x v="2"/>
    <x v="1"/>
    <x v="1"/>
    <x v="654"/>
    <x v="652"/>
    <s v="12th September 2024"/>
    <s v="12th"/>
    <x v="2"/>
    <x v="7"/>
    <x v="1"/>
  </r>
  <r>
    <x v="2"/>
    <x v="1"/>
    <x v="1"/>
    <x v="655"/>
    <x v="653"/>
    <s v="12th September 2024"/>
    <s v="12th"/>
    <x v="2"/>
    <x v="7"/>
    <x v="1"/>
  </r>
  <r>
    <x v="2"/>
    <x v="1"/>
    <x v="1"/>
    <x v="351"/>
    <x v="654"/>
    <s v="12th September 2024"/>
    <s v="12th"/>
    <x v="2"/>
    <x v="7"/>
    <x v="1"/>
  </r>
  <r>
    <x v="2"/>
    <x v="1"/>
    <x v="1"/>
    <x v="656"/>
    <x v="655"/>
    <s v="12th September 2024"/>
    <s v="12th"/>
    <x v="2"/>
    <x v="7"/>
    <x v="1"/>
  </r>
  <r>
    <x v="2"/>
    <x v="1"/>
    <x v="1"/>
    <x v="351"/>
    <x v="656"/>
    <s v="12th September 2024"/>
    <s v="12th"/>
    <x v="2"/>
    <x v="7"/>
    <x v="1"/>
  </r>
  <r>
    <x v="2"/>
    <x v="1"/>
    <x v="1"/>
    <x v="657"/>
    <x v="657"/>
    <s v="12th September 2024"/>
    <s v="12th"/>
    <x v="2"/>
    <x v="7"/>
    <x v="1"/>
  </r>
  <r>
    <x v="2"/>
    <x v="6"/>
    <x v="1"/>
    <x v="658"/>
    <x v="658"/>
    <s v="15th June 2024"/>
    <s v="15th"/>
    <x v="3"/>
    <x v="7"/>
    <x v="1"/>
  </r>
  <r>
    <x v="2"/>
    <x v="1"/>
    <x v="1"/>
    <x v="659"/>
    <x v="659"/>
    <s v="15th June 2024"/>
    <s v="15th"/>
    <x v="3"/>
    <x v="7"/>
    <x v="1"/>
  </r>
  <r>
    <x v="2"/>
    <x v="6"/>
    <x v="1"/>
    <x v="660"/>
    <x v="660"/>
    <s v="15th June 2024"/>
    <s v="15th"/>
    <x v="3"/>
    <x v="7"/>
    <x v="1"/>
  </r>
  <r>
    <x v="2"/>
    <x v="1"/>
    <x v="1"/>
    <x v="661"/>
    <x v="661"/>
    <s v="15th June 2024"/>
    <s v="15th"/>
    <x v="3"/>
    <x v="7"/>
    <x v="1"/>
  </r>
  <r>
    <x v="2"/>
    <x v="1"/>
    <x v="1"/>
    <x v="662"/>
    <x v="662"/>
    <s v="15th June 2024"/>
    <s v="15th"/>
    <x v="3"/>
    <x v="7"/>
    <x v="1"/>
  </r>
  <r>
    <x v="2"/>
    <x v="6"/>
    <x v="1"/>
    <x v="663"/>
    <x v="663"/>
    <s v="15th June 2024"/>
    <s v="15th"/>
    <x v="3"/>
    <x v="7"/>
    <x v="1"/>
  </r>
  <r>
    <x v="2"/>
    <x v="3"/>
    <x v="2"/>
    <x v="664"/>
    <x v="664"/>
    <s v="15th June 2024"/>
    <s v="15th"/>
    <x v="3"/>
    <x v="7"/>
    <x v="0"/>
  </r>
  <r>
    <x v="2"/>
    <x v="1"/>
    <x v="1"/>
    <x v="665"/>
    <x v="665"/>
    <s v="15th June 2024"/>
    <s v="15th"/>
    <x v="3"/>
    <x v="7"/>
    <x v="1"/>
  </r>
  <r>
    <x v="2"/>
    <x v="5"/>
    <x v="0"/>
    <x v="666"/>
    <x v="666"/>
    <s v="15th June 2024"/>
    <s v="15th"/>
    <x v="3"/>
    <x v="7"/>
    <x v="0"/>
  </r>
  <r>
    <x v="2"/>
    <x v="1"/>
    <x v="1"/>
    <x v="490"/>
    <x v="667"/>
    <s v="15th June 2024"/>
    <s v="15th"/>
    <x v="3"/>
    <x v="7"/>
    <x v="1"/>
  </r>
  <r>
    <x v="2"/>
    <x v="8"/>
    <x v="1"/>
    <x v="667"/>
    <x v="668"/>
    <s v="3rd February 2024"/>
    <s v="3rd"/>
    <x v="5"/>
    <x v="7"/>
    <x v="1"/>
  </r>
  <r>
    <x v="2"/>
    <x v="1"/>
    <x v="1"/>
    <x v="668"/>
    <x v="669"/>
    <s v="3rd February 2024"/>
    <s v="3rd"/>
    <x v="5"/>
    <x v="7"/>
    <x v="1"/>
  </r>
  <r>
    <x v="2"/>
    <x v="1"/>
    <x v="1"/>
    <x v="669"/>
    <x v="670"/>
    <s v="3rd February 2024"/>
    <s v="3rd"/>
    <x v="5"/>
    <x v="7"/>
    <x v="1"/>
  </r>
  <r>
    <x v="2"/>
    <x v="1"/>
    <x v="1"/>
    <x v="670"/>
    <x v="671"/>
    <s v="3rd February 2024"/>
    <s v="3rd"/>
    <x v="5"/>
    <x v="7"/>
    <x v="1"/>
  </r>
  <r>
    <x v="2"/>
    <x v="3"/>
    <x v="2"/>
    <x v="671"/>
    <x v="672"/>
    <s v="3rd February 2024"/>
    <s v="3rd"/>
    <x v="5"/>
    <x v="7"/>
    <x v="0"/>
  </r>
  <r>
    <x v="2"/>
    <x v="1"/>
    <x v="1"/>
    <x v="672"/>
    <x v="673"/>
    <s v="3rd February 2024"/>
    <s v="3rd"/>
    <x v="5"/>
    <x v="7"/>
    <x v="1"/>
  </r>
  <r>
    <x v="2"/>
    <x v="1"/>
    <x v="1"/>
    <x v="673"/>
    <x v="674"/>
    <s v="3rd February 2024"/>
    <s v="3rd"/>
    <x v="5"/>
    <x v="7"/>
    <x v="1"/>
  </r>
  <r>
    <x v="2"/>
    <x v="1"/>
    <x v="1"/>
    <x v="142"/>
    <x v="675"/>
    <s v="3rd February 2024"/>
    <s v="3rd"/>
    <x v="5"/>
    <x v="7"/>
    <x v="1"/>
  </r>
  <r>
    <x v="2"/>
    <x v="1"/>
    <x v="1"/>
    <x v="674"/>
    <x v="676"/>
    <s v="3rd February 2024"/>
    <s v="3rd"/>
    <x v="5"/>
    <x v="7"/>
    <x v="1"/>
  </r>
  <r>
    <x v="2"/>
    <x v="1"/>
    <x v="1"/>
    <x v="675"/>
    <x v="677"/>
    <s v="3rd February 2024"/>
    <s v="3rd"/>
    <x v="5"/>
    <x v="7"/>
    <x v="1"/>
  </r>
  <r>
    <x v="2"/>
    <x v="1"/>
    <x v="1"/>
    <x v="676"/>
    <x v="678"/>
    <s v="20th September 2023"/>
    <s v="20th"/>
    <x v="2"/>
    <x v="0"/>
    <x v="1"/>
  </r>
  <r>
    <x v="2"/>
    <x v="1"/>
    <x v="1"/>
    <x v="677"/>
    <x v="679"/>
    <s v="20th September 2023"/>
    <s v="20th"/>
    <x v="2"/>
    <x v="0"/>
    <x v="1"/>
  </r>
  <r>
    <x v="2"/>
    <x v="1"/>
    <x v="1"/>
    <x v="678"/>
    <x v="680"/>
    <s v="20th September 2023"/>
    <s v="20th"/>
    <x v="2"/>
    <x v="0"/>
    <x v="1"/>
  </r>
  <r>
    <x v="2"/>
    <x v="6"/>
    <x v="1"/>
    <x v="679"/>
    <x v="681"/>
    <s v="20th September 2023"/>
    <s v="20th"/>
    <x v="2"/>
    <x v="0"/>
    <x v="1"/>
  </r>
  <r>
    <x v="2"/>
    <x v="5"/>
    <x v="0"/>
    <x v="680"/>
    <x v="682"/>
    <s v="20th September 2023"/>
    <s v="20th"/>
    <x v="2"/>
    <x v="0"/>
    <x v="0"/>
  </r>
  <r>
    <x v="2"/>
    <x v="1"/>
    <x v="1"/>
    <x v="681"/>
    <x v="683"/>
    <s v="20th September 2023"/>
    <s v="20th"/>
    <x v="2"/>
    <x v="0"/>
    <x v="1"/>
  </r>
  <r>
    <x v="2"/>
    <x v="1"/>
    <x v="1"/>
    <x v="682"/>
    <x v="684"/>
    <s v="20th September 2023"/>
    <s v="20th"/>
    <x v="2"/>
    <x v="0"/>
    <x v="1"/>
  </r>
  <r>
    <x v="2"/>
    <x v="7"/>
    <x v="0"/>
    <x v="683"/>
    <x v="685"/>
    <s v="20th September 2023"/>
    <s v="20th"/>
    <x v="2"/>
    <x v="0"/>
    <x v="1"/>
  </r>
  <r>
    <x v="2"/>
    <x v="6"/>
    <x v="1"/>
    <x v="684"/>
    <x v="686"/>
    <s v="20th September 2023"/>
    <s v="20th"/>
    <x v="2"/>
    <x v="0"/>
    <x v="1"/>
  </r>
  <r>
    <x v="2"/>
    <x v="3"/>
    <x v="2"/>
    <x v="685"/>
    <x v="687"/>
    <s v="20th September 2023"/>
    <s v="20th"/>
    <x v="2"/>
    <x v="0"/>
    <x v="0"/>
  </r>
  <r>
    <x v="2"/>
    <x v="2"/>
    <x v="2"/>
    <x v="686"/>
    <x v="688"/>
    <s v="4th March 2023"/>
    <s v="4th"/>
    <x v="10"/>
    <x v="0"/>
    <x v="0"/>
  </r>
  <r>
    <x v="2"/>
    <x v="1"/>
    <x v="1"/>
    <x v="687"/>
    <x v="689"/>
    <s v="4th March 2023"/>
    <s v="4th"/>
    <x v="10"/>
    <x v="0"/>
    <x v="1"/>
  </r>
  <r>
    <x v="2"/>
    <x v="1"/>
    <x v="1"/>
    <x v="688"/>
    <x v="690"/>
    <s v="4th March 2023"/>
    <s v="4th"/>
    <x v="10"/>
    <x v="0"/>
    <x v="1"/>
  </r>
  <r>
    <x v="2"/>
    <x v="1"/>
    <x v="1"/>
    <x v="689"/>
    <x v="691"/>
    <s v="4th March 2023"/>
    <s v="4th"/>
    <x v="10"/>
    <x v="0"/>
    <x v="1"/>
  </r>
  <r>
    <x v="2"/>
    <x v="1"/>
    <x v="1"/>
    <x v="690"/>
    <x v="692"/>
    <s v="4th March 2023"/>
    <s v="4th"/>
    <x v="10"/>
    <x v="0"/>
    <x v="1"/>
  </r>
  <r>
    <x v="2"/>
    <x v="1"/>
    <x v="1"/>
    <x v="691"/>
    <x v="693"/>
    <s v="4th March 2023"/>
    <s v="4th"/>
    <x v="10"/>
    <x v="0"/>
    <x v="1"/>
  </r>
  <r>
    <x v="2"/>
    <x v="3"/>
    <x v="2"/>
    <x v="692"/>
    <x v="694"/>
    <s v="4th March 2023"/>
    <s v="4th"/>
    <x v="10"/>
    <x v="0"/>
    <x v="0"/>
  </r>
  <r>
    <x v="2"/>
    <x v="1"/>
    <x v="1"/>
    <x v="693"/>
    <x v="695"/>
    <s v="4th March 2023"/>
    <s v="4th"/>
    <x v="10"/>
    <x v="0"/>
    <x v="1"/>
  </r>
  <r>
    <x v="2"/>
    <x v="1"/>
    <x v="1"/>
    <x v="694"/>
    <x v="696"/>
    <s v="4th March 2023"/>
    <s v="4th"/>
    <x v="10"/>
    <x v="0"/>
    <x v="1"/>
  </r>
  <r>
    <x v="2"/>
    <x v="1"/>
    <x v="1"/>
    <x v="695"/>
    <x v="697"/>
    <s v="4th March 2023"/>
    <s v="4th"/>
    <x v="10"/>
    <x v="0"/>
    <x v="1"/>
  </r>
  <r>
    <x v="2"/>
    <x v="1"/>
    <x v="1"/>
    <x v="696"/>
    <x v="698"/>
    <s v="9th December 2021"/>
    <s v="9th"/>
    <x v="4"/>
    <x v="2"/>
    <x v="1"/>
  </r>
  <r>
    <x v="2"/>
    <x v="1"/>
    <x v="1"/>
    <x v="697"/>
    <x v="699"/>
    <s v="9th December 2021"/>
    <s v="9th"/>
    <x v="4"/>
    <x v="2"/>
    <x v="1"/>
  </r>
  <r>
    <x v="2"/>
    <x v="3"/>
    <x v="2"/>
    <x v="698"/>
    <x v="700"/>
    <s v="9th December 2021"/>
    <s v="9th"/>
    <x v="4"/>
    <x v="2"/>
    <x v="1"/>
  </r>
  <r>
    <x v="2"/>
    <x v="1"/>
    <x v="1"/>
    <x v="699"/>
    <x v="701"/>
    <s v="9th December 2021"/>
    <s v="9th"/>
    <x v="4"/>
    <x v="2"/>
    <x v="1"/>
  </r>
  <r>
    <x v="2"/>
    <x v="1"/>
    <x v="1"/>
    <x v="700"/>
    <x v="702"/>
    <s v="9th December 2021"/>
    <s v="9th"/>
    <x v="4"/>
    <x v="2"/>
    <x v="1"/>
  </r>
  <r>
    <x v="2"/>
    <x v="1"/>
    <x v="1"/>
    <x v="701"/>
    <x v="703"/>
    <s v="9th December 2021"/>
    <s v="9th"/>
    <x v="4"/>
    <x v="2"/>
    <x v="1"/>
  </r>
  <r>
    <x v="2"/>
    <x v="3"/>
    <x v="2"/>
    <x v="702"/>
    <x v="704"/>
    <s v="9th December 2021"/>
    <s v="9th"/>
    <x v="4"/>
    <x v="2"/>
    <x v="0"/>
  </r>
  <r>
    <x v="2"/>
    <x v="8"/>
    <x v="1"/>
    <x v="703"/>
    <x v="705"/>
    <s v="9th December 2021"/>
    <s v="9th"/>
    <x v="4"/>
    <x v="2"/>
    <x v="1"/>
  </r>
  <r>
    <x v="2"/>
    <x v="8"/>
    <x v="1"/>
    <x v="704"/>
    <x v="706"/>
    <s v="9th December 2021"/>
    <s v="9th"/>
    <x v="4"/>
    <x v="2"/>
    <x v="1"/>
  </r>
  <r>
    <x v="2"/>
    <x v="3"/>
    <x v="2"/>
    <x v="705"/>
    <x v="707"/>
    <s v="9th December 2021"/>
    <s v="9th"/>
    <x v="4"/>
    <x v="2"/>
    <x v="0"/>
  </r>
  <r>
    <x v="2"/>
    <x v="1"/>
    <x v="1"/>
    <x v="706"/>
    <x v="708"/>
    <s v="14th February 2020"/>
    <s v="14th"/>
    <x v="5"/>
    <x v="3"/>
    <x v="1"/>
  </r>
  <r>
    <x v="2"/>
    <x v="2"/>
    <x v="2"/>
    <x v="707"/>
    <x v="709"/>
    <s v="14th February 2020"/>
    <s v="14th"/>
    <x v="5"/>
    <x v="3"/>
    <x v="0"/>
  </r>
  <r>
    <x v="2"/>
    <x v="8"/>
    <x v="1"/>
    <x v="708"/>
    <x v="710"/>
    <s v="14th February 2020"/>
    <s v="14th"/>
    <x v="5"/>
    <x v="3"/>
    <x v="1"/>
  </r>
  <r>
    <x v="2"/>
    <x v="8"/>
    <x v="1"/>
    <x v="709"/>
    <x v="711"/>
    <s v="14th February 2020"/>
    <s v="14th"/>
    <x v="5"/>
    <x v="3"/>
    <x v="0"/>
  </r>
  <r>
    <x v="2"/>
    <x v="5"/>
    <x v="0"/>
    <x v="710"/>
    <x v="712"/>
    <s v="14th February 2020"/>
    <s v="14th"/>
    <x v="5"/>
    <x v="3"/>
    <x v="0"/>
  </r>
  <r>
    <x v="2"/>
    <x v="6"/>
    <x v="1"/>
    <x v="711"/>
    <x v="713"/>
    <s v="14th February 2020"/>
    <s v="14th"/>
    <x v="5"/>
    <x v="3"/>
    <x v="1"/>
  </r>
  <r>
    <x v="2"/>
    <x v="9"/>
    <x v="1"/>
    <x v="712"/>
    <x v="714"/>
    <s v="14th February 2020"/>
    <s v="14th"/>
    <x v="5"/>
    <x v="3"/>
    <x v="1"/>
  </r>
  <r>
    <x v="2"/>
    <x v="1"/>
    <x v="1"/>
    <x v="713"/>
    <x v="715"/>
    <s v="14th February 2020"/>
    <s v="14th"/>
    <x v="5"/>
    <x v="3"/>
    <x v="1"/>
  </r>
  <r>
    <x v="2"/>
    <x v="5"/>
    <x v="0"/>
    <x v="714"/>
    <x v="716"/>
    <s v="14th February 2020"/>
    <s v="14th"/>
    <x v="5"/>
    <x v="3"/>
    <x v="0"/>
  </r>
  <r>
    <x v="2"/>
    <x v="6"/>
    <x v="1"/>
    <x v="715"/>
    <x v="717"/>
    <s v="14th February 2020"/>
    <s v="14th"/>
    <x v="5"/>
    <x v="3"/>
    <x v="1"/>
  </r>
  <r>
    <x v="2"/>
    <x v="1"/>
    <x v="1"/>
    <x v="716"/>
    <x v="718"/>
    <s v="28th December 2018"/>
    <s v="28th"/>
    <x v="4"/>
    <x v="5"/>
    <x v="1"/>
  </r>
  <r>
    <x v="2"/>
    <x v="5"/>
    <x v="0"/>
    <x v="717"/>
    <x v="719"/>
    <s v="28th December 2018"/>
    <s v="28th"/>
    <x v="4"/>
    <x v="5"/>
    <x v="0"/>
  </r>
  <r>
    <x v="2"/>
    <x v="5"/>
    <x v="0"/>
    <x v="59"/>
    <x v="720"/>
    <s v="28th December 2018"/>
    <s v="28th"/>
    <x v="4"/>
    <x v="5"/>
    <x v="0"/>
  </r>
  <r>
    <x v="2"/>
    <x v="3"/>
    <x v="2"/>
    <x v="718"/>
    <x v="721"/>
    <s v="28th December 2018"/>
    <s v="28th"/>
    <x v="4"/>
    <x v="5"/>
    <x v="0"/>
  </r>
  <r>
    <x v="2"/>
    <x v="1"/>
    <x v="1"/>
    <x v="719"/>
    <x v="722"/>
    <s v="28th December 2018"/>
    <s v="28th"/>
    <x v="4"/>
    <x v="5"/>
    <x v="1"/>
  </r>
  <r>
    <x v="2"/>
    <x v="1"/>
    <x v="1"/>
    <x v="720"/>
    <x v="723"/>
    <s v="28th December 2018"/>
    <s v="28th"/>
    <x v="4"/>
    <x v="5"/>
    <x v="1"/>
  </r>
  <r>
    <x v="2"/>
    <x v="3"/>
    <x v="2"/>
    <x v="721"/>
    <x v="724"/>
    <s v="28th December 2018"/>
    <s v="28th"/>
    <x v="4"/>
    <x v="5"/>
    <x v="0"/>
  </r>
  <r>
    <x v="2"/>
    <x v="9"/>
    <x v="1"/>
    <x v="722"/>
    <x v="725"/>
    <s v="28th December 2018"/>
    <s v="28th"/>
    <x v="4"/>
    <x v="5"/>
    <x v="1"/>
  </r>
  <r>
    <x v="2"/>
    <x v="6"/>
    <x v="1"/>
    <x v="723"/>
    <x v="726"/>
    <s v="28th December 2018"/>
    <s v="28th"/>
    <x v="4"/>
    <x v="5"/>
    <x v="1"/>
  </r>
  <r>
    <x v="2"/>
    <x v="1"/>
    <x v="1"/>
    <x v="724"/>
    <x v="727"/>
    <s v="28th December 2018"/>
    <s v="28th"/>
    <x v="4"/>
    <x v="5"/>
    <x v="1"/>
  </r>
  <r>
    <x v="2"/>
    <x v="1"/>
    <x v="1"/>
    <x v="725"/>
    <x v="728"/>
    <s v="5th July 2018"/>
    <s v="5th"/>
    <x v="9"/>
    <x v="5"/>
    <x v="1"/>
  </r>
  <r>
    <x v="2"/>
    <x v="9"/>
    <x v="1"/>
    <x v="471"/>
    <x v="729"/>
    <s v="5th July 2018"/>
    <s v="5th"/>
    <x v="9"/>
    <x v="5"/>
    <x v="1"/>
  </r>
  <r>
    <x v="2"/>
    <x v="1"/>
    <x v="1"/>
    <x v="726"/>
    <x v="730"/>
    <s v="5th July 2018"/>
    <s v="5th"/>
    <x v="9"/>
    <x v="5"/>
    <x v="1"/>
  </r>
  <r>
    <x v="2"/>
    <x v="6"/>
    <x v="1"/>
    <x v="727"/>
    <x v="731"/>
    <s v="5th July 2018"/>
    <s v="5th"/>
    <x v="9"/>
    <x v="5"/>
    <x v="1"/>
  </r>
  <r>
    <x v="2"/>
    <x v="1"/>
    <x v="1"/>
    <x v="728"/>
    <x v="732"/>
    <s v="5th July 2018"/>
    <s v="5th"/>
    <x v="9"/>
    <x v="5"/>
    <x v="1"/>
  </r>
  <r>
    <x v="2"/>
    <x v="1"/>
    <x v="1"/>
    <x v="729"/>
    <x v="733"/>
    <s v="5th July 2018"/>
    <s v="5th"/>
    <x v="9"/>
    <x v="5"/>
    <x v="1"/>
  </r>
  <r>
    <x v="2"/>
    <x v="6"/>
    <x v="1"/>
    <x v="730"/>
    <x v="734"/>
    <s v="5th July 2018"/>
    <s v="5th"/>
    <x v="9"/>
    <x v="5"/>
    <x v="1"/>
  </r>
  <r>
    <x v="2"/>
    <x v="1"/>
    <x v="1"/>
    <x v="731"/>
    <x v="735"/>
    <s v="5th July 2018"/>
    <s v="5th"/>
    <x v="9"/>
    <x v="5"/>
    <x v="1"/>
  </r>
  <r>
    <x v="2"/>
    <x v="8"/>
    <x v="1"/>
    <x v="732"/>
    <x v="736"/>
    <s v="5th July 2018"/>
    <s v="5th"/>
    <x v="9"/>
    <x v="5"/>
    <x v="1"/>
  </r>
  <r>
    <x v="2"/>
    <x v="1"/>
    <x v="1"/>
    <x v="490"/>
    <x v="737"/>
    <s v="5th July 2018"/>
    <s v="5th"/>
    <x v="9"/>
    <x v="5"/>
    <x v="1"/>
  </r>
  <r>
    <x v="2"/>
    <x v="1"/>
    <x v="1"/>
    <x v="733"/>
    <x v="738"/>
    <s v="28th October 2017"/>
    <s v="28th"/>
    <x v="0"/>
    <x v="6"/>
    <x v="1"/>
  </r>
  <r>
    <x v="2"/>
    <x v="2"/>
    <x v="2"/>
    <x v="734"/>
    <x v="739"/>
    <s v="28th October 2017"/>
    <s v="28th"/>
    <x v="0"/>
    <x v="6"/>
    <x v="0"/>
  </r>
  <r>
    <x v="2"/>
    <x v="1"/>
    <x v="1"/>
    <x v="142"/>
    <x v="740"/>
    <s v="28th October 2017"/>
    <s v="28th"/>
    <x v="0"/>
    <x v="6"/>
    <x v="1"/>
  </r>
  <r>
    <x v="2"/>
    <x v="9"/>
    <x v="1"/>
    <x v="735"/>
    <x v="741"/>
    <s v="28th October 2017"/>
    <s v="28th"/>
    <x v="0"/>
    <x v="6"/>
    <x v="1"/>
  </r>
  <r>
    <x v="2"/>
    <x v="1"/>
    <x v="1"/>
    <x v="736"/>
    <x v="742"/>
    <s v="28th October 2017"/>
    <s v="28th"/>
    <x v="0"/>
    <x v="6"/>
    <x v="1"/>
  </r>
  <r>
    <x v="2"/>
    <x v="6"/>
    <x v="1"/>
    <x v="737"/>
    <x v="743"/>
    <s v="28th October 2017"/>
    <s v="28th"/>
    <x v="0"/>
    <x v="6"/>
    <x v="1"/>
  </r>
  <r>
    <x v="2"/>
    <x v="8"/>
    <x v="1"/>
    <x v="729"/>
    <x v="744"/>
    <s v="28th October 2017"/>
    <s v="28th"/>
    <x v="0"/>
    <x v="6"/>
    <x v="1"/>
  </r>
  <r>
    <x v="2"/>
    <x v="4"/>
    <x v="2"/>
    <x v="729"/>
    <x v="745"/>
    <s v="28th October 2017"/>
    <s v="28th"/>
    <x v="0"/>
    <x v="6"/>
    <x v="0"/>
  </r>
  <r>
    <x v="2"/>
    <x v="3"/>
    <x v="2"/>
    <x v="729"/>
    <x v="746"/>
    <s v="28th October 2017"/>
    <s v="28th"/>
    <x v="0"/>
    <x v="6"/>
    <x v="0"/>
  </r>
  <r>
    <x v="2"/>
    <x v="8"/>
    <x v="1"/>
    <x v="729"/>
    <x v="747"/>
    <s v="28th October 2017"/>
    <s v="28th"/>
    <x v="0"/>
    <x v="6"/>
    <x v="1"/>
  </r>
  <r>
    <x v="2"/>
    <x v="1"/>
    <x v="1"/>
    <x v="729"/>
    <x v="748"/>
    <s v="12th October 2014"/>
    <s v="12th"/>
    <x v="0"/>
    <x v="8"/>
    <x v="1"/>
  </r>
  <r>
    <x v="2"/>
    <x v="1"/>
    <x v="1"/>
    <x v="729"/>
    <x v="749"/>
    <s v="12th October 2014"/>
    <s v="12th"/>
    <x v="0"/>
    <x v="8"/>
    <x v="1"/>
  </r>
  <r>
    <x v="2"/>
    <x v="5"/>
    <x v="0"/>
    <x v="729"/>
    <x v="750"/>
    <s v="12th October 2014"/>
    <s v="12th"/>
    <x v="0"/>
    <x v="8"/>
    <x v="0"/>
  </r>
  <r>
    <x v="2"/>
    <x v="3"/>
    <x v="2"/>
    <x v="729"/>
    <x v="751"/>
    <s v="12th October 2014"/>
    <s v="12th"/>
    <x v="0"/>
    <x v="8"/>
    <x v="0"/>
  </r>
  <r>
    <x v="2"/>
    <x v="0"/>
    <x v="0"/>
    <x v="729"/>
    <x v="752"/>
    <s v="12th October 2014"/>
    <s v="12th"/>
    <x v="0"/>
    <x v="8"/>
    <x v="0"/>
  </r>
  <r>
    <x v="2"/>
    <x v="9"/>
    <x v="1"/>
    <x v="729"/>
    <x v="753"/>
    <s v="12th October 2014"/>
    <s v="12th"/>
    <x v="0"/>
    <x v="8"/>
    <x v="1"/>
  </r>
  <r>
    <x v="2"/>
    <x v="8"/>
    <x v="1"/>
    <x v="729"/>
    <x v="754"/>
    <s v="12th October 2014"/>
    <s v="12th"/>
    <x v="0"/>
    <x v="8"/>
    <x v="1"/>
  </r>
  <r>
    <x v="2"/>
    <x v="9"/>
    <x v="1"/>
    <x v="729"/>
    <x v="755"/>
    <s v="12th October 2014"/>
    <s v="12th"/>
    <x v="0"/>
    <x v="8"/>
    <x v="1"/>
  </r>
  <r>
    <x v="2"/>
    <x v="8"/>
    <x v="1"/>
    <x v="729"/>
    <x v="756"/>
    <s v="12th October 2014"/>
    <s v="12th"/>
    <x v="0"/>
    <x v="8"/>
    <x v="1"/>
  </r>
  <r>
    <x v="2"/>
    <x v="9"/>
    <x v="1"/>
    <x v="729"/>
    <x v="757"/>
    <s v="12th October 2014"/>
    <s v="12th"/>
    <x v="0"/>
    <x v="8"/>
    <x v="1"/>
  </r>
  <r>
    <x v="3"/>
    <x v="1"/>
    <x v="1"/>
    <x v="738"/>
    <x v="758"/>
    <s v="2nd May 2023"/>
    <s v="2nd"/>
    <x v="7"/>
    <x v="0"/>
    <x v="1"/>
  </r>
  <r>
    <x v="3"/>
    <x v="1"/>
    <x v="1"/>
    <x v="739"/>
    <x v="759"/>
    <s v="2nd May 2023"/>
    <s v="2nd"/>
    <x v="7"/>
    <x v="0"/>
    <x v="1"/>
  </r>
  <r>
    <x v="3"/>
    <x v="1"/>
    <x v="1"/>
    <x v="740"/>
    <x v="760"/>
    <s v="2nd May 2023"/>
    <s v="2nd"/>
    <x v="7"/>
    <x v="0"/>
    <x v="1"/>
  </r>
  <r>
    <x v="3"/>
    <x v="1"/>
    <x v="1"/>
    <x v="741"/>
    <x v="485"/>
    <s v="2nd May 2023"/>
    <s v="2nd"/>
    <x v="7"/>
    <x v="0"/>
    <x v="1"/>
  </r>
  <r>
    <x v="3"/>
    <x v="1"/>
    <x v="1"/>
    <x v="742"/>
    <x v="761"/>
    <s v="2nd May 2023"/>
    <s v="2nd"/>
    <x v="7"/>
    <x v="0"/>
    <x v="1"/>
  </r>
  <r>
    <x v="3"/>
    <x v="1"/>
    <x v="1"/>
    <x v="743"/>
    <x v="762"/>
    <s v="2nd May 2023"/>
    <s v="2nd"/>
    <x v="7"/>
    <x v="0"/>
    <x v="1"/>
  </r>
  <r>
    <x v="3"/>
    <x v="1"/>
    <x v="1"/>
    <x v="744"/>
    <x v="763"/>
    <s v="2nd May 2023"/>
    <s v="2nd"/>
    <x v="7"/>
    <x v="0"/>
    <x v="1"/>
  </r>
  <r>
    <x v="3"/>
    <x v="1"/>
    <x v="1"/>
    <x v="745"/>
    <x v="764"/>
    <s v="2nd May 2023"/>
    <s v="2nd"/>
    <x v="7"/>
    <x v="0"/>
    <x v="1"/>
  </r>
  <r>
    <x v="3"/>
    <x v="3"/>
    <x v="2"/>
    <x v="746"/>
    <x v="765"/>
    <s v="2nd May 2023"/>
    <s v="2nd"/>
    <x v="7"/>
    <x v="0"/>
    <x v="0"/>
  </r>
  <r>
    <x v="3"/>
    <x v="3"/>
    <x v="2"/>
    <x v="747"/>
    <x v="766"/>
    <s v="2nd May 2023"/>
    <s v="2nd"/>
    <x v="7"/>
    <x v="0"/>
    <x v="0"/>
  </r>
  <r>
    <x v="3"/>
    <x v="1"/>
    <x v="1"/>
    <x v="748"/>
    <x v="767"/>
    <s v="21st April 2023"/>
    <s v="21st"/>
    <x v="1"/>
    <x v="0"/>
    <x v="1"/>
  </r>
  <r>
    <x v="3"/>
    <x v="1"/>
    <x v="1"/>
    <x v="749"/>
    <x v="768"/>
    <s v="21st April 2023"/>
    <s v="21st"/>
    <x v="1"/>
    <x v="0"/>
    <x v="1"/>
  </r>
  <r>
    <x v="3"/>
    <x v="6"/>
    <x v="1"/>
    <x v="750"/>
    <x v="769"/>
    <s v="21st April 2023"/>
    <s v="21st"/>
    <x v="1"/>
    <x v="0"/>
    <x v="1"/>
  </r>
  <r>
    <x v="3"/>
    <x v="1"/>
    <x v="1"/>
    <x v="751"/>
    <x v="770"/>
    <s v="21st April 2023"/>
    <s v="21st"/>
    <x v="1"/>
    <x v="0"/>
    <x v="1"/>
  </r>
  <r>
    <x v="3"/>
    <x v="1"/>
    <x v="1"/>
    <x v="752"/>
    <x v="771"/>
    <s v="21st April 2023"/>
    <s v="21st"/>
    <x v="1"/>
    <x v="0"/>
    <x v="1"/>
  </r>
  <r>
    <x v="3"/>
    <x v="1"/>
    <x v="1"/>
    <x v="276"/>
    <x v="772"/>
    <s v="21st April 2023"/>
    <s v="21st"/>
    <x v="1"/>
    <x v="0"/>
    <x v="1"/>
  </r>
  <r>
    <x v="3"/>
    <x v="6"/>
    <x v="1"/>
    <x v="753"/>
    <x v="773"/>
    <s v="21st April 2023"/>
    <s v="21st"/>
    <x v="1"/>
    <x v="0"/>
    <x v="1"/>
  </r>
  <r>
    <x v="3"/>
    <x v="8"/>
    <x v="1"/>
    <x v="754"/>
    <x v="774"/>
    <s v="21st April 2023"/>
    <s v="21st"/>
    <x v="1"/>
    <x v="0"/>
    <x v="1"/>
  </r>
  <r>
    <x v="3"/>
    <x v="1"/>
    <x v="1"/>
    <x v="755"/>
    <x v="775"/>
    <s v="21st April 2023"/>
    <s v="21st"/>
    <x v="1"/>
    <x v="0"/>
    <x v="1"/>
  </r>
  <r>
    <x v="3"/>
    <x v="6"/>
    <x v="1"/>
    <x v="756"/>
    <x v="776"/>
    <s v="21st April 2023"/>
    <s v="21st"/>
    <x v="1"/>
    <x v="0"/>
    <x v="1"/>
  </r>
  <r>
    <x v="3"/>
    <x v="1"/>
    <x v="1"/>
    <x v="757"/>
    <x v="777"/>
    <s v="12th April 2023"/>
    <s v="12th"/>
    <x v="1"/>
    <x v="0"/>
    <x v="1"/>
  </r>
  <r>
    <x v="3"/>
    <x v="1"/>
    <x v="1"/>
    <x v="758"/>
    <x v="778"/>
    <s v="12th April 2023"/>
    <s v="12th"/>
    <x v="1"/>
    <x v="0"/>
    <x v="1"/>
  </r>
  <r>
    <x v="3"/>
    <x v="1"/>
    <x v="1"/>
    <x v="759"/>
    <x v="779"/>
    <s v="12th April 2023"/>
    <s v="12th"/>
    <x v="1"/>
    <x v="0"/>
    <x v="1"/>
  </r>
  <r>
    <x v="3"/>
    <x v="1"/>
    <x v="1"/>
    <x v="760"/>
    <x v="780"/>
    <s v="12th April 2023"/>
    <s v="12th"/>
    <x v="1"/>
    <x v="0"/>
    <x v="1"/>
  </r>
  <r>
    <x v="3"/>
    <x v="1"/>
    <x v="1"/>
    <x v="761"/>
    <x v="781"/>
    <s v="12th April 2023"/>
    <s v="12th"/>
    <x v="1"/>
    <x v="0"/>
    <x v="1"/>
  </r>
  <r>
    <x v="3"/>
    <x v="1"/>
    <x v="1"/>
    <x v="762"/>
    <x v="782"/>
    <s v="12th April 2023"/>
    <s v="12th"/>
    <x v="1"/>
    <x v="0"/>
    <x v="1"/>
  </r>
  <r>
    <x v="3"/>
    <x v="1"/>
    <x v="1"/>
    <x v="490"/>
    <x v="783"/>
    <s v="12th April 2023"/>
    <s v="12th"/>
    <x v="1"/>
    <x v="0"/>
    <x v="1"/>
  </r>
  <r>
    <x v="3"/>
    <x v="1"/>
    <x v="1"/>
    <x v="763"/>
    <x v="784"/>
    <s v="12th April 2023"/>
    <s v="12th"/>
    <x v="1"/>
    <x v="0"/>
    <x v="1"/>
  </r>
  <r>
    <x v="3"/>
    <x v="1"/>
    <x v="1"/>
    <x v="764"/>
    <x v="785"/>
    <s v="12th April 2023"/>
    <s v="12th"/>
    <x v="1"/>
    <x v="0"/>
    <x v="1"/>
  </r>
  <r>
    <x v="3"/>
    <x v="1"/>
    <x v="1"/>
    <x v="75"/>
    <x v="786"/>
    <s v="12th April 2023"/>
    <s v="12th"/>
    <x v="1"/>
    <x v="0"/>
    <x v="1"/>
  </r>
  <r>
    <x v="3"/>
    <x v="1"/>
    <x v="1"/>
    <x v="765"/>
    <x v="787"/>
    <s v="25th March 2023"/>
    <s v="25th"/>
    <x v="10"/>
    <x v="0"/>
    <x v="1"/>
  </r>
  <r>
    <x v="3"/>
    <x v="1"/>
    <x v="1"/>
    <x v="766"/>
    <x v="788"/>
    <s v="25th March 2023"/>
    <s v="25th"/>
    <x v="10"/>
    <x v="0"/>
    <x v="1"/>
  </r>
  <r>
    <x v="3"/>
    <x v="1"/>
    <x v="1"/>
    <x v="767"/>
    <x v="323"/>
    <s v="25th March 2023"/>
    <s v="25th"/>
    <x v="10"/>
    <x v="0"/>
    <x v="1"/>
  </r>
  <r>
    <x v="3"/>
    <x v="1"/>
    <x v="1"/>
    <x v="768"/>
    <x v="789"/>
    <s v="25th March 2023"/>
    <s v="25th"/>
    <x v="10"/>
    <x v="0"/>
    <x v="1"/>
  </r>
  <r>
    <x v="3"/>
    <x v="1"/>
    <x v="1"/>
    <x v="769"/>
    <x v="790"/>
    <s v="25th March 2023"/>
    <s v="25th"/>
    <x v="10"/>
    <x v="0"/>
    <x v="1"/>
  </r>
  <r>
    <x v="3"/>
    <x v="3"/>
    <x v="2"/>
    <x v="770"/>
    <x v="791"/>
    <s v="25th March 2023"/>
    <s v="25th"/>
    <x v="10"/>
    <x v="0"/>
    <x v="0"/>
  </r>
  <r>
    <x v="3"/>
    <x v="6"/>
    <x v="1"/>
    <x v="771"/>
    <x v="792"/>
    <s v="25th March 2023"/>
    <s v="25th"/>
    <x v="10"/>
    <x v="0"/>
    <x v="1"/>
  </r>
  <r>
    <x v="3"/>
    <x v="1"/>
    <x v="1"/>
    <x v="772"/>
    <x v="793"/>
    <s v="25th March 2023"/>
    <s v="25th"/>
    <x v="10"/>
    <x v="0"/>
    <x v="1"/>
  </r>
  <r>
    <x v="3"/>
    <x v="1"/>
    <x v="1"/>
    <x v="773"/>
    <x v="794"/>
    <s v="25th March 2023"/>
    <s v="25th"/>
    <x v="10"/>
    <x v="0"/>
    <x v="1"/>
  </r>
  <r>
    <x v="3"/>
    <x v="1"/>
    <x v="1"/>
    <x v="774"/>
    <x v="795"/>
    <s v="25th March 2023"/>
    <s v="25th"/>
    <x v="10"/>
    <x v="0"/>
    <x v="1"/>
  </r>
  <r>
    <x v="3"/>
    <x v="1"/>
    <x v="1"/>
    <x v="775"/>
    <x v="796"/>
    <s v="19th March 2023"/>
    <s v="19th"/>
    <x v="10"/>
    <x v="0"/>
    <x v="1"/>
  </r>
  <r>
    <x v="3"/>
    <x v="1"/>
    <x v="1"/>
    <x v="776"/>
    <x v="797"/>
    <s v="19th March 2023"/>
    <s v="19th"/>
    <x v="10"/>
    <x v="0"/>
    <x v="1"/>
  </r>
  <r>
    <x v="3"/>
    <x v="8"/>
    <x v="1"/>
    <x v="777"/>
    <x v="798"/>
    <s v="19th March 2023"/>
    <s v="19th"/>
    <x v="10"/>
    <x v="0"/>
    <x v="1"/>
  </r>
  <r>
    <x v="3"/>
    <x v="1"/>
    <x v="1"/>
    <x v="778"/>
    <x v="799"/>
    <s v="19th March 2023"/>
    <s v="19th"/>
    <x v="10"/>
    <x v="0"/>
    <x v="1"/>
  </r>
  <r>
    <x v="3"/>
    <x v="1"/>
    <x v="1"/>
    <x v="779"/>
    <x v="800"/>
    <s v="19th March 2023"/>
    <s v="19th"/>
    <x v="10"/>
    <x v="0"/>
    <x v="1"/>
  </r>
  <r>
    <x v="3"/>
    <x v="1"/>
    <x v="1"/>
    <x v="780"/>
    <x v="801"/>
    <s v="19th March 2023"/>
    <s v="19th"/>
    <x v="10"/>
    <x v="0"/>
    <x v="1"/>
  </r>
  <r>
    <x v="3"/>
    <x v="1"/>
    <x v="1"/>
    <x v="781"/>
    <x v="802"/>
    <s v="19th March 2023"/>
    <s v="19th"/>
    <x v="10"/>
    <x v="0"/>
    <x v="1"/>
  </r>
  <r>
    <x v="3"/>
    <x v="1"/>
    <x v="1"/>
    <x v="782"/>
    <x v="803"/>
    <s v="19th March 2023"/>
    <s v="19th"/>
    <x v="10"/>
    <x v="0"/>
    <x v="1"/>
  </r>
  <r>
    <x v="3"/>
    <x v="1"/>
    <x v="1"/>
    <x v="783"/>
    <x v="804"/>
    <s v="19th March 2023"/>
    <s v="19th"/>
    <x v="10"/>
    <x v="0"/>
    <x v="1"/>
  </r>
  <r>
    <x v="3"/>
    <x v="1"/>
    <x v="1"/>
    <x v="784"/>
    <x v="805"/>
    <s v="19th March 2023"/>
    <s v="19th"/>
    <x v="10"/>
    <x v="0"/>
    <x v="1"/>
  </r>
  <r>
    <x v="3"/>
    <x v="1"/>
    <x v="1"/>
    <x v="785"/>
    <x v="806"/>
    <s v="11th February 2023"/>
    <s v="11th"/>
    <x v="5"/>
    <x v="0"/>
    <x v="1"/>
  </r>
  <r>
    <x v="3"/>
    <x v="1"/>
    <x v="1"/>
    <x v="786"/>
    <x v="807"/>
    <s v="11th February 2023"/>
    <s v="11th"/>
    <x v="5"/>
    <x v="0"/>
    <x v="1"/>
  </r>
  <r>
    <x v="3"/>
    <x v="1"/>
    <x v="1"/>
    <x v="787"/>
    <x v="808"/>
    <s v="11th February 2023"/>
    <s v="11th"/>
    <x v="5"/>
    <x v="0"/>
    <x v="1"/>
  </r>
  <r>
    <x v="3"/>
    <x v="6"/>
    <x v="1"/>
    <x v="788"/>
    <x v="809"/>
    <s v="11th February 2023"/>
    <s v="11th"/>
    <x v="5"/>
    <x v="0"/>
    <x v="1"/>
  </r>
  <r>
    <x v="3"/>
    <x v="1"/>
    <x v="1"/>
    <x v="789"/>
    <x v="810"/>
    <s v="11th February 2023"/>
    <s v="11th"/>
    <x v="5"/>
    <x v="0"/>
    <x v="1"/>
  </r>
  <r>
    <x v="3"/>
    <x v="1"/>
    <x v="1"/>
    <x v="790"/>
    <x v="811"/>
    <s v="11th February 2023"/>
    <s v="11th"/>
    <x v="5"/>
    <x v="0"/>
    <x v="1"/>
  </r>
  <r>
    <x v="3"/>
    <x v="1"/>
    <x v="1"/>
    <x v="791"/>
    <x v="812"/>
    <s v="11th February 2023"/>
    <s v="11th"/>
    <x v="5"/>
    <x v="0"/>
    <x v="1"/>
  </r>
  <r>
    <x v="3"/>
    <x v="1"/>
    <x v="1"/>
    <x v="792"/>
    <x v="813"/>
    <s v="11th February 2023"/>
    <s v="11th"/>
    <x v="5"/>
    <x v="0"/>
    <x v="1"/>
  </r>
  <r>
    <x v="3"/>
    <x v="0"/>
    <x v="0"/>
    <x v="793"/>
    <x v="814"/>
    <s v="11th February 2023"/>
    <s v="11th"/>
    <x v="5"/>
    <x v="0"/>
    <x v="1"/>
  </r>
  <r>
    <x v="3"/>
    <x v="1"/>
    <x v="1"/>
    <x v="694"/>
    <x v="815"/>
    <s v="11th February 2023"/>
    <s v="11th"/>
    <x v="5"/>
    <x v="0"/>
    <x v="1"/>
  </r>
  <r>
    <x v="3"/>
    <x v="1"/>
    <x v="1"/>
    <x v="794"/>
    <x v="816"/>
    <s v="8th December 2022"/>
    <s v="8th"/>
    <x v="4"/>
    <x v="1"/>
    <x v="1"/>
  </r>
  <r>
    <x v="3"/>
    <x v="1"/>
    <x v="1"/>
    <x v="276"/>
    <x v="817"/>
    <s v="8th December 2022"/>
    <s v="8th"/>
    <x v="4"/>
    <x v="1"/>
    <x v="1"/>
  </r>
  <r>
    <x v="3"/>
    <x v="1"/>
    <x v="1"/>
    <x v="795"/>
    <x v="818"/>
    <s v="8th December 2022"/>
    <s v="8th"/>
    <x v="4"/>
    <x v="1"/>
    <x v="1"/>
  </r>
  <r>
    <x v="3"/>
    <x v="1"/>
    <x v="1"/>
    <x v="796"/>
    <x v="819"/>
    <s v="8th December 2022"/>
    <s v="8th"/>
    <x v="4"/>
    <x v="1"/>
    <x v="1"/>
  </r>
  <r>
    <x v="3"/>
    <x v="1"/>
    <x v="1"/>
    <x v="276"/>
    <x v="820"/>
    <s v="8th December 2022"/>
    <s v="8th"/>
    <x v="4"/>
    <x v="1"/>
    <x v="1"/>
  </r>
  <r>
    <x v="3"/>
    <x v="1"/>
    <x v="1"/>
    <x v="797"/>
    <x v="821"/>
    <s v="8th December 2022"/>
    <s v="8th"/>
    <x v="4"/>
    <x v="1"/>
    <x v="1"/>
  </r>
  <r>
    <x v="3"/>
    <x v="1"/>
    <x v="1"/>
    <x v="798"/>
    <x v="822"/>
    <s v="8th December 2022"/>
    <s v="8th"/>
    <x v="4"/>
    <x v="1"/>
    <x v="1"/>
  </r>
  <r>
    <x v="3"/>
    <x v="1"/>
    <x v="1"/>
    <x v="799"/>
    <x v="823"/>
    <s v="8th December 2022"/>
    <s v="8th"/>
    <x v="4"/>
    <x v="1"/>
    <x v="1"/>
  </r>
  <r>
    <x v="3"/>
    <x v="1"/>
    <x v="1"/>
    <x v="800"/>
    <x v="824"/>
    <s v="8th December 2022"/>
    <s v="8th"/>
    <x v="4"/>
    <x v="1"/>
    <x v="1"/>
  </r>
  <r>
    <x v="3"/>
    <x v="1"/>
    <x v="1"/>
    <x v="801"/>
    <x v="825"/>
    <s v="8th December 2022"/>
    <s v="8th"/>
    <x v="4"/>
    <x v="1"/>
    <x v="1"/>
  </r>
  <r>
    <x v="3"/>
    <x v="1"/>
    <x v="1"/>
    <x v="802"/>
    <x v="826"/>
    <s v="12th November 2022"/>
    <s v="12th"/>
    <x v="6"/>
    <x v="1"/>
    <x v="1"/>
  </r>
  <r>
    <x v="3"/>
    <x v="1"/>
    <x v="1"/>
    <x v="803"/>
    <x v="827"/>
    <s v="12th November 2022"/>
    <s v="12th"/>
    <x v="6"/>
    <x v="1"/>
    <x v="1"/>
  </r>
  <r>
    <x v="3"/>
    <x v="8"/>
    <x v="1"/>
    <x v="804"/>
    <x v="828"/>
    <s v="12th November 2022"/>
    <s v="12th"/>
    <x v="6"/>
    <x v="1"/>
    <x v="1"/>
  </r>
  <r>
    <x v="3"/>
    <x v="1"/>
    <x v="1"/>
    <x v="805"/>
    <x v="829"/>
    <s v="12th November 2022"/>
    <s v="12th"/>
    <x v="6"/>
    <x v="1"/>
    <x v="1"/>
  </r>
  <r>
    <x v="3"/>
    <x v="1"/>
    <x v="1"/>
    <x v="806"/>
    <x v="830"/>
    <s v="12th November 2022"/>
    <s v="12th"/>
    <x v="6"/>
    <x v="1"/>
    <x v="1"/>
  </r>
  <r>
    <x v="3"/>
    <x v="1"/>
    <x v="1"/>
    <x v="807"/>
    <x v="831"/>
    <s v="12th November 2022"/>
    <s v="12th"/>
    <x v="6"/>
    <x v="1"/>
    <x v="1"/>
  </r>
  <r>
    <x v="3"/>
    <x v="5"/>
    <x v="0"/>
    <x v="808"/>
    <x v="12"/>
    <s v="12th November 2022"/>
    <s v="12th"/>
    <x v="6"/>
    <x v="1"/>
    <x v="0"/>
  </r>
  <r>
    <x v="3"/>
    <x v="5"/>
    <x v="0"/>
    <x v="809"/>
    <x v="12"/>
    <s v="12th November 2022"/>
    <s v="12th"/>
    <x v="6"/>
    <x v="1"/>
    <x v="0"/>
  </r>
  <r>
    <x v="3"/>
    <x v="1"/>
    <x v="1"/>
    <x v="810"/>
    <x v="832"/>
    <s v="12th November 2022"/>
    <s v="12th"/>
    <x v="6"/>
    <x v="1"/>
    <x v="1"/>
  </r>
  <r>
    <x v="3"/>
    <x v="1"/>
    <x v="1"/>
    <x v="811"/>
    <x v="833"/>
    <s v="12th November 2022"/>
    <s v="12th"/>
    <x v="6"/>
    <x v="1"/>
    <x v="1"/>
  </r>
  <r>
    <x v="3"/>
    <x v="5"/>
    <x v="0"/>
    <x v="812"/>
    <x v="12"/>
    <s v="19th October 2022"/>
    <s v="19th"/>
    <x v="0"/>
    <x v="1"/>
    <x v="0"/>
  </r>
  <r>
    <x v="3"/>
    <x v="1"/>
    <x v="1"/>
    <x v="813"/>
    <x v="834"/>
    <s v="19th October 2022"/>
    <s v="19th"/>
    <x v="0"/>
    <x v="1"/>
    <x v="1"/>
  </r>
  <r>
    <x v="3"/>
    <x v="6"/>
    <x v="1"/>
    <x v="814"/>
    <x v="835"/>
    <s v="19th October 2022"/>
    <s v="19th"/>
    <x v="0"/>
    <x v="1"/>
    <x v="1"/>
  </r>
  <r>
    <x v="3"/>
    <x v="1"/>
    <x v="1"/>
    <x v="815"/>
    <x v="836"/>
    <s v="19th October 2022"/>
    <s v="19th"/>
    <x v="0"/>
    <x v="1"/>
    <x v="1"/>
  </r>
  <r>
    <x v="3"/>
    <x v="1"/>
    <x v="1"/>
    <x v="816"/>
    <x v="837"/>
    <s v="19th October 2022"/>
    <s v="19th"/>
    <x v="0"/>
    <x v="1"/>
    <x v="1"/>
  </r>
  <r>
    <x v="3"/>
    <x v="1"/>
    <x v="1"/>
    <x v="552"/>
    <x v="838"/>
    <s v="19th October 2022"/>
    <s v="19th"/>
    <x v="0"/>
    <x v="1"/>
    <x v="1"/>
  </r>
  <r>
    <x v="3"/>
    <x v="1"/>
    <x v="1"/>
    <x v="817"/>
    <x v="839"/>
    <s v="19th October 2022"/>
    <s v="19th"/>
    <x v="0"/>
    <x v="1"/>
    <x v="1"/>
  </r>
  <r>
    <x v="3"/>
    <x v="1"/>
    <x v="1"/>
    <x v="818"/>
    <x v="840"/>
    <s v="19th October 2022"/>
    <s v="19th"/>
    <x v="0"/>
    <x v="1"/>
    <x v="1"/>
  </r>
  <r>
    <x v="3"/>
    <x v="5"/>
    <x v="0"/>
    <x v="819"/>
    <x v="12"/>
    <s v="19th October 2022"/>
    <s v="19th"/>
    <x v="0"/>
    <x v="1"/>
    <x v="0"/>
  </r>
  <r>
    <x v="3"/>
    <x v="9"/>
    <x v="1"/>
    <x v="820"/>
    <x v="841"/>
    <s v="19th October 2022"/>
    <s v="19th"/>
    <x v="0"/>
    <x v="1"/>
    <x v="1"/>
  </r>
  <r>
    <x v="3"/>
    <x v="1"/>
    <x v="1"/>
    <x v="821"/>
    <x v="842"/>
    <s v="15th September 2022"/>
    <s v="15th"/>
    <x v="2"/>
    <x v="1"/>
    <x v="1"/>
  </r>
  <r>
    <x v="3"/>
    <x v="1"/>
    <x v="1"/>
    <x v="822"/>
    <x v="843"/>
    <s v="15th September 2022"/>
    <s v="15th"/>
    <x v="2"/>
    <x v="1"/>
    <x v="1"/>
  </r>
  <r>
    <x v="3"/>
    <x v="1"/>
    <x v="1"/>
    <x v="693"/>
    <x v="844"/>
    <s v="15th September 2022"/>
    <s v="15th"/>
    <x v="2"/>
    <x v="1"/>
    <x v="1"/>
  </r>
  <r>
    <x v="3"/>
    <x v="1"/>
    <x v="1"/>
    <x v="823"/>
    <x v="845"/>
    <s v="15th September 2022"/>
    <s v="15th"/>
    <x v="2"/>
    <x v="1"/>
    <x v="1"/>
  </r>
  <r>
    <x v="3"/>
    <x v="1"/>
    <x v="1"/>
    <x v="824"/>
    <x v="846"/>
    <s v="15th September 2022"/>
    <s v="15th"/>
    <x v="2"/>
    <x v="1"/>
    <x v="1"/>
  </r>
  <r>
    <x v="3"/>
    <x v="1"/>
    <x v="1"/>
    <x v="825"/>
    <x v="847"/>
    <s v="15th September 2022"/>
    <s v="15th"/>
    <x v="2"/>
    <x v="1"/>
    <x v="1"/>
  </r>
  <r>
    <x v="3"/>
    <x v="1"/>
    <x v="1"/>
    <x v="429"/>
    <x v="848"/>
    <s v="15th September 2022"/>
    <s v="15th"/>
    <x v="2"/>
    <x v="1"/>
    <x v="1"/>
  </r>
  <r>
    <x v="3"/>
    <x v="4"/>
    <x v="2"/>
    <x v="826"/>
    <x v="12"/>
    <s v="15th September 2022"/>
    <s v="15th"/>
    <x v="2"/>
    <x v="1"/>
    <x v="0"/>
  </r>
  <r>
    <x v="3"/>
    <x v="1"/>
    <x v="1"/>
    <x v="429"/>
    <x v="849"/>
    <s v="15th September 2022"/>
    <s v="15th"/>
    <x v="2"/>
    <x v="1"/>
    <x v="1"/>
  </r>
  <r>
    <x v="3"/>
    <x v="6"/>
    <x v="1"/>
    <x v="827"/>
    <x v="850"/>
    <s v="15th September 2022"/>
    <s v="15th"/>
    <x v="2"/>
    <x v="1"/>
    <x v="1"/>
  </r>
  <r>
    <x v="3"/>
    <x v="1"/>
    <x v="1"/>
    <x v="334"/>
    <x v="851"/>
    <s v="15th August 2022"/>
    <s v="15th"/>
    <x v="8"/>
    <x v="1"/>
    <x v="1"/>
  </r>
  <r>
    <x v="3"/>
    <x v="1"/>
    <x v="1"/>
    <x v="429"/>
    <x v="852"/>
    <s v="15th August 2022"/>
    <s v="15th"/>
    <x v="8"/>
    <x v="1"/>
    <x v="1"/>
  </r>
  <r>
    <x v="3"/>
    <x v="1"/>
    <x v="1"/>
    <x v="828"/>
    <x v="853"/>
    <s v="15th August 2022"/>
    <s v="15th"/>
    <x v="8"/>
    <x v="1"/>
    <x v="1"/>
  </r>
  <r>
    <x v="3"/>
    <x v="9"/>
    <x v="1"/>
    <x v="829"/>
    <x v="12"/>
    <s v="15th August 2022"/>
    <s v="15th"/>
    <x v="8"/>
    <x v="1"/>
    <x v="1"/>
  </r>
  <r>
    <x v="3"/>
    <x v="1"/>
    <x v="1"/>
    <x v="830"/>
    <x v="854"/>
    <s v="15th August 2022"/>
    <s v="15th"/>
    <x v="8"/>
    <x v="1"/>
    <x v="1"/>
  </r>
  <r>
    <x v="3"/>
    <x v="1"/>
    <x v="1"/>
    <x v="831"/>
    <x v="855"/>
    <s v="15th August 2022"/>
    <s v="15th"/>
    <x v="8"/>
    <x v="1"/>
    <x v="1"/>
  </r>
  <r>
    <x v="3"/>
    <x v="5"/>
    <x v="0"/>
    <x v="832"/>
    <x v="12"/>
    <s v="15th August 2022"/>
    <s v="15th"/>
    <x v="8"/>
    <x v="1"/>
    <x v="0"/>
  </r>
  <r>
    <x v="3"/>
    <x v="1"/>
    <x v="1"/>
    <x v="833"/>
    <x v="856"/>
    <s v="15th August 2022"/>
    <s v="15th"/>
    <x v="8"/>
    <x v="1"/>
    <x v="1"/>
  </r>
  <r>
    <x v="3"/>
    <x v="1"/>
    <x v="1"/>
    <x v="834"/>
    <x v="857"/>
    <s v="15th August 2022"/>
    <s v="15th"/>
    <x v="8"/>
    <x v="1"/>
    <x v="1"/>
  </r>
  <r>
    <x v="3"/>
    <x v="1"/>
    <x v="1"/>
    <x v="835"/>
    <x v="858"/>
    <s v="15th August 2022"/>
    <s v="15th"/>
    <x v="8"/>
    <x v="1"/>
    <x v="1"/>
  </r>
  <r>
    <x v="3"/>
    <x v="1"/>
    <x v="1"/>
    <x v="836"/>
    <x v="859"/>
    <s v="30th April 2022"/>
    <s v="30th"/>
    <x v="1"/>
    <x v="1"/>
    <x v="1"/>
  </r>
  <r>
    <x v="3"/>
    <x v="1"/>
    <x v="1"/>
    <x v="837"/>
    <x v="860"/>
    <s v="30th April 2022"/>
    <s v="30th"/>
    <x v="1"/>
    <x v="1"/>
    <x v="1"/>
  </r>
  <r>
    <x v="3"/>
    <x v="1"/>
    <x v="1"/>
    <x v="838"/>
    <x v="861"/>
    <s v="30th April 2022"/>
    <s v="30th"/>
    <x v="1"/>
    <x v="1"/>
    <x v="1"/>
  </r>
  <r>
    <x v="3"/>
    <x v="1"/>
    <x v="1"/>
    <x v="839"/>
    <x v="862"/>
    <s v="30th April 2022"/>
    <s v="30th"/>
    <x v="1"/>
    <x v="1"/>
    <x v="1"/>
  </r>
  <r>
    <x v="3"/>
    <x v="1"/>
    <x v="1"/>
    <x v="573"/>
    <x v="863"/>
    <s v="30th April 2022"/>
    <s v="30th"/>
    <x v="1"/>
    <x v="1"/>
    <x v="1"/>
  </r>
  <r>
    <x v="3"/>
    <x v="1"/>
    <x v="1"/>
    <x v="840"/>
    <x v="864"/>
    <s v="30th April 2022"/>
    <s v="30th"/>
    <x v="1"/>
    <x v="1"/>
    <x v="1"/>
  </r>
  <r>
    <x v="3"/>
    <x v="3"/>
    <x v="2"/>
    <x v="841"/>
    <x v="865"/>
    <s v="30th April 2022"/>
    <s v="30th"/>
    <x v="1"/>
    <x v="1"/>
    <x v="0"/>
  </r>
  <r>
    <x v="3"/>
    <x v="1"/>
    <x v="1"/>
    <x v="365"/>
    <x v="866"/>
    <s v="30th April 2022"/>
    <s v="30th"/>
    <x v="1"/>
    <x v="1"/>
    <x v="1"/>
  </r>
  <r>
    <x v="3"/>
    <x v="1"/>
    <x v="1"/>
    <x v="842"/>
    <x v="761"/>
    <s v="30th April 2022"/>
    <s v="30th"/>
    <x v="1"/>
    <x v="1"/>
    <x v="1"/>
  </r>
  <r>
    <x v="3"/>
    <x v="1"/>
    <x v="1"/>
    <x v="429"/>
    <x v="867"/>
    <s v="30th April 2022"/>
    <s v="30th"/>
    <x v="1"/>
    <x v="1"/>
    <x v="1"/>
  </r>
  <r>
    <x v="3"/>
    <x v="1"/>
    <x v="1"/>
    <x v="843"/>
    <x v="868"/>
    <s v="7th April 2022"/>
    <s v="7th"/>
    <x v="1"/>
    <x v="1"/>
    <x v="1"/>
  </r>
  <r>
    <x v="3"/>
    <x v="1"/>
    <x v="1"/>
    <x v="844"/>
    <x v="869"/>
    <s v="7th April 2022"/>
    <s v="7th"/>
    <x v="1"/>
    <x v="1"/>
    <x v="1"/>
  </r>
  <r>
    <x v="3"/>
    <x v="1"/>
    <x v="1"/>
    <x v="845"/>
    <x v="870"/>
    <s v="7th April 2022"/>
    <s v="7th"/>
    <x v="1"/>
    <x v="1"/>
    <x v="1"/>
  </r>
  <r>
    <x v="3"/>
    <x v="1"/>
    <x v="1"/>
    <x v="846"/>
    <x v="871"/>
    <s v="7th April 2022"/>
    <s v="7th"/>
    <x v="1"/>
    <x v="1"/>
    <x v="1"/>
  </r>
  <r>
    <x v="3"/>
    <x v="1"/>
    <x v="1"/>
    <x v="847"/>
    <x v="872"/>
    <s v="7th April 2022"/>
    <s v="7th"/>
    <x v="1"/>
    <x v="1"/>
    <x v="1"/>
  </r>
  <r>
    <x v="3"/>
    <x v="1"/>
    <x v="1"/>
    <x v="793"/>
    <x v="873"/>
    <s v="7th April 2022"/>
    <s v="7th"/>
    <x v="1"/>
    <x v="1"/>
    <x v="1"/>
  </r>
  <r>
    <x v="3"/>
    <x v="1"/>
    <x v="1"/>
    <x v="848"/>
    <x v="874"/>
    <s v="7th April 2022"/>
    <s v="7th"/>
    <x v="1"/>
    <x v="1"/>
    <x v="1"/>
  </r>
  <r>
    <x v="3"/>
    <x v="1"/>
    <x v="1"/>
    <x v="849"/>
    <x v="875"/>
    <s v="7th April 2022"/>
    <s v="7th"/>
    <x v="1"/>
    <x v="1"/>
    <x v="1"/>
  </r>
  <r>
    <x v="3"/>
    <x v="1"/>
    <x v="1"/>
    <x v="850"/>
    <x v="876"/>
    <s v="7th April 2022"/>
    <s v="7th"/>
    <x v="1"/>
    <x v="1"/>
    <x v="1"/>
  </r>
  <r>
    <x v="3"/>
    <x v="1"/>
    <x v="1"/>
    <x v="851"/>
    <x v="877"/>
    <s v="7th April 2022"/>
    <s v="7th"/>
    <x v="1"/>
    <x v="1"/>
    <x v="1"/>
  </r>
  <r>
    <x v="3"/>
    <x v="1"/>
    <x v="1"/>
    <x v="852"/>
    <x v="878"/>
    <s v="21st March 2022"/>
    <s v="21st"/>
    <x v="10"/>
    <x v="1"/>
    <x v="1"/>
  </r>
  <r>
    <x v="3"/>
    <x v="1"/>
    <x v="1"/>
    <x v="75"/>
    <x v="879"/>
    <s v="21st March 2022"/>
    <s v="21st"/>
    <x v="10"/>
    <x v="1"/>
    <x v="1"/>
  </r>
  <r>
    <x v="3"/>
    <x v="1"/>
    <x v="1"/>
    <x v="853"/>
    <x v="880"/>
    <s v="21st March 2022"/>
    <s v="21st"/>
    <x v="10"/>
    <x v="1"/>
    <x v="1"/>
  </r>
  <r>
    <x v="3"/>
    <x v="1"/>
    <x v="1"/>
    <x v="854"/>
    <x v="881"/>
    <s v="21st March 2022"/>
    <s v="21st"/>
    <x v="10"/>
    <x v="1"/>
    <x v="1"/>
  </r>
  <r>
    <x v="3"/>
    <x v="1"/>
    <x v="1"/>
    <x v="855"/>
    <x v="882"/>
    <s v="21st March 2022"/>
    <s v="21st"/>
    <x v="10"/>
    <x v="1"/>
    <x v="1"/>
  </r>
  <r>
    <x v="3"/>
    <x v="1"/>
    <x v="1"/>
    <x v="856"/>
    <x v="883"/>
    <s v="21st March 2022"/>
    <s v="21st"/>
    <x v="10"/>
    <x v="1"/>
    <x v="1"/>
  </r>
  <r>
    <x v="3"/>
    <x v="6"/>
    <x v="1"/>
    <x v="857"/>
    <x v="884"/>
    <s v="21st March 2022"/>
    <s v="21st"/>
    <x v="10"/>
    <x v="1"/>
    <x v="1"/>
  </r>
  <r>
    <x v="3"/>
    <x v="1"/>
    <x v="1"/>
    <x v="858"/>
    <x v="885"/>
    <s v="21st March 2022"/>
    <s v="21st"/>
    <x v="10"/>
    <x v="1"/>
    <x v="1"/>
  </r>
  <r>
    <x v="3"/>
    <x v="1"/>
    <x v="1"/>
    <x v="859"/>
    <x v="681"/>
    <s v="21st March 2022"/>
    <s v="21st"/>
    <x v="10"/>
    <x v="1"/>
    <x v="1"/>
  </r>
  <r>
    <x v="3"/>
    <x v="5"/>
    <x v="0"/>
    <x v="860"/>
    <x v="34"/>
    <s v="21st March 2022"/>
    <s v="21st"/>
    <x v="10"/>
    <x v="1"/>
    <x v="0"/>
  </r>
  <r>
    <x v="3"/>
    <x v="1"/>
    <x v="1"/>
    <x v="861"/>
    <x v="886"/>
    <s v="21st February 2022"/>
    <s v="21st"/>
    <x v="5"/>
    <x v="1"/>
    <x v="1"/>
  </r>
  <r>
    <x v="3"/>
    <x v="1"/>
    <x v="1"/>
    <x v="862"/>
    <x v="887"/>
    <s v="21st February 2022"/>
    <s v="21st"/>
    <x v="5"/>
    <x v="1"/>
    <x v="1"/>
  </r>
  <r>
    <x v="3"/>
    <x v="6"/>
    <x v="1"/>
    <x v="863"/>
    <x v="888"/>
    <s v="21st February 2022"/>
    <s v="21st"/>
    <x v="5"/>
    <x v="1"/>
    <x v="1"/>
  </r>
  <r>
    <x v="3"/>
    <x v="1"/>
    <x v="1"/>
    <x v="490"/>
    <x v="889"/>
    <s v="21st February 2022"/>
    <s v="21st"/>
    <x v="5"/>
    <x v="1"/>
    <x v="1"/>
  </r>
  <r>
    <x v="3"/>
    <x v="1"/>
    <x v="1"/>
    <x v="864"/>
    <x v="890"/>
    <s v="21st February 2022"/>
    <s v="21st"/>
    <x v="5"/>
    <x v="1"/>
    <x v="1"/>
  </r>
  <r>
    <x v="3"/>
    <x v="6"/>
    <x v="1"/>
    <x v="865"/>
    <x v="891"/>
    <s v="21st February 2022"/>
    <s v="21st"/>
    <x v="5"/>
    <x v="1"/>
    <x v="1"/>
  </r>
  <r>
    <x v="3"/>
    <x v="1"/>
    <x v="1"/>
    <x v="866"/>
    <x v="892"/>
    <s v="21st February 2022"/>
    <s v="21st"/>
    <x v="5"/>
    <x v="1"/>
    <x v="1"/>
  </r>
  <r>
    <x v="3"/>
    <x v="6"/>
    <x v="1"/>
    <x v="867"/>
    <x v="893"/>
    <s v="21st February 2022"/>
    <s v="21st"/>
    <x v="5"/>
    <x v="1"/>
    <x v="1"/>
  </r>
  <r>
    <x v="3"/>
    <x v="1"/>
    <x v="1"/>
    <x v="693"/>
    <x v="894"/>
    <s v="21st February 2022"/>
    <s v="21st"/>
    <x v="5"/>
    <x v="1"/>
    <x v="1"/>
  </r>
  <r>
    <x v="3"/>
    <x v="1"/>
    <x v="1"/>
    <x v="868"/>
    <x v="895"/>
    <s v="21st February 2022"/>
    <s v="21st"/>
    <x v="5"/>
    <x v="1"/>
    <x v="1"/>
  </r>
  <r>
    <x v="3"/>
    <x v="1"/>
    <x v="1"/>
    <x v="869"/>
    <x v="896"/>
    <s v="23rd January 2022"/>
    <s v="23rd"/>
    <x v="11"/>
    <x v="1"/>
    <x v="1"/>
  </r>
  <r>
    <x v="3"/>
    <x v="1"/>
    <x v="1"/>
    <x v="870"/>
    <x v="897"/>
    <s v="23rd January 2022"/>
    <s v="23rd"/>
    <x v="11"/>
    <x v="1"/>
    <x v="1"/>
  </r>
  <r>
    <x v="3"/>
    <x v="8"/>
    <x v="1"/>
    <x v="871"/>
    <x v="898"/>
    <s v="23rd January 2022"/>
    <s v="23rd"/>
    <x v="11"/>
    <x v="1"/>
    <x v="1"/>
  </r>
  <r>
    <x v="3"/>
    <x v="2"/>
    <x v="2"/>
    <x v="872"/>
    <x v="899"/>
    <s v="23rd January 2022"/>
    <s v="23rd"/>
    <x v="11"/>
    <x v="1"/>
    <x v="0"/>
  </r>
  <r>
    <x v="3"/>
    <x v="1"/>
    <x v="1"/>
    <x v="873"/>
    <x v="900"/>
    <s v="23rd January 2022"/>
    <s v="23rd"/>
    <x v="11"/>
    <x v="1"/>
    <x v="1"/>
  </r>
  <r>
    <x v="3"/>
    <x v="1"/>
    <x v="1"/>
    <x v="874"/>
    <x v="901"/>
    <s v="23rd January 2022"/>
    <s v="23rd"/>
    <x v="11"/>
    <x v="1"/>
    <x v="1"/>
  </r>
  <r>
    <x v="3"/>
    <x v="1"/>
    <x v="1"/>
    <x v="875"/>
    <x v="902"/>
    <s v="23rd January 2022"/>
    <s v="23rd"/>
    <x v="11"/>
    <x v="1"/>
    <x v="1"/>
  </r>
  <r>
    <x v="3"/>
    <x v="1"/>
    <x v="1"/>
    <x v="334"/>
    <x v="903"/>
    <s v="23rd January 2022"/>
    <s v="23rd"/>
    <x v="11"/>
    <x v="1"/>
    <x v="1"/>
  </r>
  <r>
    <x v="3"/>
    <x v="1"/>
    <x v="1"/>
    <x v="16"/>
    <x v="904"/>
    <s v="23rd January 2022"/>
    <s v="23rd"/>
    <x v="11"/>
    <x v="1"/>
    <x v="1"/>
  </r>
  <r>
    <x v="3"/>
    <x v="1"/>
    <x v="1"/>
    <x v="876"/>
    <x v="905"/>
    <s v="23rd January 2022"/>
    <s v="23rd"/>
    <x v="11"/>
    <x v="1"/>
    <x v="1"/>
  </r>
  <r>
    <x v="3"/>
    <x v="1"/>
    <x v="1"/>
    <x v="877"/>
    <x v="906"/>
    <s v="23rd December 2021"/>
    <s v="23rd"/>
    <x v="4"/>
    <x v="2"/>
    <x v="1"/>
  </r>
  <r>
    <x v="3"/>
    <x v="5"/>
    <x v="0"/>
    <x v="878"/>
    <x v="907"/>
    <s v="23rd December 2021"/>
    <s v="23rd"/>
    <x v="4"/>
    <x v="2"/>
    <x v="0"/>
  </r>
  <r>
    <x v="3"/>
    <x v="1"/>
    <x v="1"/>
    <x v="878"/>
    <x v="908"/>
    <s v="23rd December 2021"/>
    <s v="23rd"/>
    <x v="4"/>
    <x v="2"/>
    <x v="1"/>
  </r>
  <r>
    <x v="3"/>
    <x v="1"/>
    <x v="1"/>
    <x v="879"/>
    <x v="909"/>
    <s v="23rd December 2021"/>
    <s v="23rd"/>
    <x v="4"/>
    <x v="2"/>
    <x v="1"/>
  </r>
  <r>
    <x v="3"/>
    <x v="1"/>
    <x v="1"/>
    <x v="880"/>
    <x v="910"/>
    <s v="23rd December 2021"/>
    <s v="23rd"/>
    <x v="4"/>
    <x v="2"/>
    <x v="1"/>
  </r>
  <r>
    <x v="3"/>
    <x v="1"/>
    <x v="1"/>
    <x v="881"/>
    <x v="911"/>
    <s v="23rd December 2021"/>
    <s v="23rd"/>
    <x v="4"/>
    <x v="2"/>
    <x v="1"/>
  </r>
  <r>
    <x v="3"/>
    <x v="1"/>
    <x v="1"/>
    <x v="882"/>
    <x v="912"/>
    <s v="23rd December 2021"/>
    <s v="23rd"/>
    <x v="4"/>
    <x v="2"/>
    <x v="1"/>
  </r>
  <r>
    <x v="3"/>
    <x v="1"/>
    <x v="1"/>
    <x v="883"/>
    <x v="913"/>
    <s v="23rd December 2021"/>
    <s v="23rd"/>
    <x v="4"/>
    <x v="2"/>
    <x v="1"/>
  </r>
  <r>
    <x v="3"/>
    <x v="1"/>
    <x v="1"/>
    <x v="798"/>
    <x v="914"/>
    <s v="23rd December 2021"/>
    <s v="23rd"/>
    <x v="4"/>
    <x v="2"/>
    <x v="1"/>
  </r>
  <r>
    <x v="3"/>
    <x v="1"/>
    <x v="1"/>
    <x v="884"/>
    <x v="915"/>
    <s v="23rd December 2021"/>
    <s v="23rd"/>
    <x v="4"/>
    <x v="2"/>
    <x v="1"/>
  </r>
  <r>
    <x v="3"/>
    <x v="1"/>
    <x v="1"/>
    <x v="885"/>
    <x v="916"/>
    <s v="27th November 2021"/>
    <s v="27th"/>
    <x v="6"/>
    <x v="2"/>
    <x v="1"/>
  </r>
  <r>
    <x v="3"/>
    <x v="8"/>
    <x v="1"/>
    <x v="886"/>
    <x v="917"/>
    <s v="27th November 2021"/>
    <s v="27th"/>
    <x v="6"/>
    <x v="2"/>
    <x v="1"/>
  </r>
  <r>
    <x v="3"/>
    <x v="1"/>
    <x v="1"/>
    <x v="887"/>
    <x v="918"/>
    <s v="27th November 2021"/>
    <s v="27th"/>
    <x v="6"/>
    <x v="2"/>
    <x v="1"/>
  </r>
  <r>
    <x v="3"/>
    <x v="1"/>
    <x v="1"/>
    <x v="888"/>
    <x v="919"/>
    <s v="27th November 2021"/>
    <s v="27th"/>
    <x v="6"/>
    <x v="2"/>
    <x v="1"/>
  </r>
  <r>
    <x v="3"/>
    <x v="1"/>
    <x v="1"/>
    <x v="889"/>
    <x v="920"/>
    <s v="27th November 2021"/>
    <s v="27th"/>
    <x v="6"/>
    <x v="2"/>
    <x v="1"/>
  </r>
  <r>
    <x v="3"/>
    <x v="1"/>
    <x v="1"/>
    <x v="890"/>
    <x v="921"/>
    <s v="27th November 2021"/>
    <s v="27th"/>
    <x v="6"/>
    <x v="2"/>
    <x v="1"/>
  </r>
  <r>
    <x v="3"/>
    <x v="1"/>
    <x v="1"/>
    <x v="768"/>
    <x v="922"/>
    <s v="27th November 2021"/>
    <s v="27th"/>
    <x v="6"/>
    <x v="2"/>
    <x v="1"/>
  </r>
  <r>
    <x v="3"/>
    <x v="1"/>
    <x v="1"/>
    <x v="891"/>
    <x v="923"/>
    <s v="27th November 2021"/>
    <s v="27th"/>
    <x v="6"/>
    <x v="2"/>
    <x v="1"/>
  </r>
  <r>
    <x v="3"/>
    <x v="6"/>
    <x v="1"/>
    <x v="892"/>
    <x v="924"/>
    <s v="27th November 2021"/>
    <s v="27th"/>
    <x v="6"/>
    <x v="2"/>
    <x v="1"/>
  </r>
  <r>
    <x v="3"/>
    <x v="1"/>
    <x v="1"/>
    <x v="893"/>
    <x v="925"/>
    <s v="27th November 2021"/>
    <s v="27th"/>
    <x v="6"/>
    <x v="2"/>
    <x v="1"/>
  </r>
  <r>
    <x v="4"/>
    <x v="6"/>
    <x v="1"/>
    <x v="894"/>
    <x v="926"/>
    <s v="23rd September 2024"/>
    <s v="23rd"/>
    <x v="2"/>
    <x v="7"/>
    <x v="1"/>
  </r>
  <r>
    <x v="4"/>
    <x v="6"/>
    <x v="1"/>
    <x v="895"/>
    <x v="927"/>
    <s v="23rd September 2024"/>
    <s v="23rd"/>
    <x v="2"/>
    <x v="7"/>
    <x v="1"/>
  </r>
  <r>
    <x v="4"/>
    <x v="8"/>
    <x v="1"/>
    <x v="896"/>
    <x v="928"/>
    <s v="23rd September 2024"/>
    <s v="23rd"/>
    <x v="2"/>
    <x v="7"/>
    <x v="1"/>
  </r>
  <r>
    <x v="4"/>
    <x v="1"/>
    <x v="1"/>
    <x v="897"/>
    <x v="929"/>
    <s v="23rd September 2024"/>
    <s v="23rd"/>
    <x v="2"/>
    <x v="7"/>
    <x v="1"/>
  </r>
  <r>
    <x v="4"/>
    <x v="6"/>
    <x v="1"/>
    <x v="898"/>
    <x v="930"/>
    <s v="23rd September 2024"/>
    <s v="23rd"/>
    <x v="2"/>
    <x v="7"/>
    <x v="1"/>
  </r>
  <r>
    <x v="4"/>
    <x v="6"/>
    <x v="1"/>
    <x v="899"/>
    <x v="931"/>
    <s v="23rd September 2024"/>
    <s v="23rd"/>
    <x v="2"/>
    <x v="7"/>
    <x v="1"/>
  </r>
  <r>
    <x v="4"/>
    <x v="1"/>
    <x v="1"/>
    <x v="900"/>
    <x v="932"/>
    <s v="23rd September 2024"/>
    <s v="23rd"/>
    <x v="2"/>
    <x v="7"/>
    <x v="1"/>
  </r>
  <r>
    <x v="4"/>
    <x v="1"/>
    <x v="1"/>
    <x v="901"/>
    <x v="933"/>
    <s v="23rd September 2024"/>
    <s v="23rd"/>
    <x v="2"/>
    <x v="7"/>
    <x v="1"/>
  </r>
  <r>
    <x v="4"/>
    <x v="2"/>
    <x v="2"/>
    <x v="902"/>
    <x v="934"/>
    <s v="23rd September 2024"/>
    <s v="23rd"/>
    <x v="2"/>
    <x v="7"/>
    <x v="0"/>
  </r>
  <r>
    <x v="4"/>
    <x v="7"/>
    <x v="0"/>
    <x v="903"/>
    <x v="935"/>
    <s v="23rd September 2024"/>
    <s v="23rd"/>
    <x v="2"/>
    <x v="7"/>
    <x v="1"/>
  </r>
  <r>
    <x v="4"/>
    <x v="6"/>
    <x v="1"/>
    <x v="904"/>
    <x v="936"/>
    <s v="10th August 2024"/>
    <s v="10th"/>
    <x v="8"/>
    <x v="7"/>
    <x v="1"/>
  </r>
  <r>
    <x v="4"/>
    <x v="1"/>
    <x v="1"/>
    <x v="905"/>
    <x v="937"/>
    <s v="10th August 2024"/>
    <s v="10th"/>
    <x v="8"/>
    <x v="7"/>
    <x v="1"/>
  </r>
  <r>
    <x v="4"/>
    <x v="1"/>
    <x v="1"/>
    <x v="906"/>
    <x v="938"/>
    <s v="10th August 2024"/>
    <s v="10th"/>
    <x v="8"/>
    <x v="7"/>
    <x v="1"/>
  </r>
  <r>
    <x v="4"/>
    <x v="6"/>
    <x v="1"/>
    <x v="907"/>
    <x v="939"/>
    <s v="10th August 2024"/>
    <s v="10th"/>
    <x v="8"/>
    <x v="7"/>
    <x v="1"/>
  </r>
  <r>
    <x v="4"/>
    <x v="1"/>
    <x v="1"/>
    <x v="908"/>
    <x v="940"/>
    <s v="10th August 2024"/>
    <s v="10th"/>
    <x v="8"/>
    <x v="7"/>
    <x v="1"/>
  </r>
  <r>
    <x v="4"/>
    <x v="1"/>
    <x v="1"/>
    <x v="909"/>
    <x v="941"/>
    <s v="10th August 2024"/>
    <s v="10th"/>
    <x v="8"/>
    <x v="7"/>
    <x v="1"/>
  </r>
  <r>
    <x v="4"/>
    <x v="7"/>
    <x v="0"/>
    <x v="910"/>
    <x v="942"/>
    <s v="10th August 2024"/>
    <s v="10th"/>
    <x v="8"/>
    <x v="7"/>
    <x v="1"/>
  </r>
  <r>
    <x v="4"/>
    <x v="1"/>
    <x v="1"/>
    <x v="911"/>
    <x v="943"/>
    <s v="10th August 2024"/>
    <s v="10th"/>
    <x v="8"/>
    <x v="7"/>
    <x v="1"/>
  </r>
  <r>
    <x v="4"/>
    <x v="1"/>
    <x v="1"/>
    <x v="912"/>
    <x v="944"/>
    <s v="10th August 2024"/>
    <s v="10th"/>
    <x v="8"/>
    <x v="7"/>
    <x v="1"/>
  </r>
  <r>
    <x v="4"/>
    <x v="6"/>
    <x v="1"/>
    <x v="913"/>
    <x v="945"/>
    <s v="10th August 2024"/>
    <s v="10th"/>
    <x v="8"/>
    <x v="7"/>
    <x v="1"/>
  </r>
  <r>
    <x v="4"/>
    <x v="1"/>
    <x v="1"/>
    <x v="914"/>
    <x v="946"/>
    <s v="24th May 2024"/>
    <s v="24th"/>
    <x v="7"/>
    <x v="7"/>
    <x v="1"/>
  </r>
  <r>
    <x v="4"/>
    <x v="0"/>
    <x v="0"/>
    <x v="915"/>
    <x v="947"/>
    <s v="24th May 2024"/>
    <s v="24th"/>
    <x v="7"/>
    <x v="7"/>
    <x v="0"/>
  </r>
  <r>
    <x v="4"/>
    <x v="2"/>
    <x v="2"/>
    <x v="916"/>
    <x v="948"/>
    <s v="24th May 2024"/>
    <s v="24th"/>
    <x v="7"/>
    <x v="7"/>
    <x v="0"/>
  </r>
  <r>
    <x v="4"/>
    <x v="5"/>
    <x v="0"/>
    <x v="917"/>
    <x v="117"/>
    <s v="24th May 2024"/>
    <s v="24th"/>
    <x v="7"/>
    <x v="7"/>
    <x v="0"/>
  </r>
  <r>
    <x v="4"/>
    <x v="3"/>
    <x v="2"/>
    <x v="918"/>
    <x v="949"/>
    <s v="24th May 2024"/>
    <s v="24th"/>
    <x v="7"/>
    <x v="7"/>
    <x v="0"/>
  </r>
  <r>
    <x v="4"/>
    <x v="3"/>
    <x v="2"/>
    <x v="919"/>
    <x v="950"/>
    <s v="24th May 2024"/>
    <s v="24th"/>
    <x v="7"/>
    <x v="7"/>
    <x v="0"/>
  </r>
  <r>
    <x v="4"/>
    <x v="2"/>
    <x v="2"/>
    <x v="920"/>
    <x v="951"/>
    <s v="24th May 2024"/>
    <s v="24th"/>
    <x v="7"/>
    <x v="7"/>
    <x v="0"/>
  </r>
  <r>
    <x v="4"/>
    <x v="1"/>
    <x v="1"/>
    <x v="921"/>
    <x v="952"/>
    <s v="24th May 2024"/>
    <s v="24th"/>
    <x v="7"/>
    <x v="7"/>
    <x v="1"/>
  </r>
  <r>
    <x v="4"/>
    <x v="8"/>
    <x v="1"/>
    <x v="922"/>
    <x v="953"/>
    <s v="24th May 2024"/>
    <s v="24th"/>
    <x v="7"/>
    <x v="7"/>
    <x v="1"/>
  </r>
  <r>
    <x v="4"/>
    <x v="6"/>
    <x v="1"/>
    <x v="923"/>
    <x v="954"/>
    <s v="24th May 2024"/>
    <s v="24th"/>
    <x v="7"/>
    <x v="7"/>
    <x v="1"/>
  </r>
  <r>
    <x v="4"/>
    <x v="1"/>
    <x v="1"/>
    <x v="924"/>
    <x v="955"/>
    <s v="5th March 2024"/>
    <s v="5th"/>
    <x v="10"/>
    <x v="7"/>
    <x v="1"/>
  </r>
  <r>
    <x v="4"/>
    <x v="1"/>
    <x v="1"/>
    <x v="925"/>
    <x v="956"/>
    <s v="5th March 2024"/>
    <s v="5th"/>
    <x v="10"/>
    <x v="7"/>
    <x v="1"/>
  </r>
  <r>
    <x v="4"/>
    <x v="1"/>
    <x v="1"/>
    <x v="926"/>
    <x v="957"/>
    <s v="5th March 2024"/>
    <s v="5th"/>
    <x v="10"/>
    <x v="7"/>
    <x v="1"/>
  </r>
  <r>
    <x v="4"/>
    <x v="6"/>
    <x v="1"/>
    <x v="927"/>
    <x v="958"/>
    <s v="5th March 2024"/>
    <s v="5th"/>
    <x v="10"/>
    <x v="7"/>
    <x v="1"/>
  </r>
  <r>
    <x v="4"/>
    <x v="6"/>
    <x v="1"/>
    <x v="928"/>
    <x v="959"/>
    <s v="5th March 2024"/>
    <s v="5th"/>
    <x v="10"/>
    <x v="7"/>
    <x v="0"/>
  </r>
  <r>
    <x v="4"/>
    <x v="6"/>
    <x v="1"/>
    <x v="929"/>
    <x v="960"/>
    <s v="5th March 2024"/>
    <s v="5th"/>
    <x v="10"/>
    <x v="7"/>
    <x v="1"/>
  </r>
  <r>
    <x v="4"/>
    <x v="8"/>
    <x v="1"/>
    <x v="930"/>
    <x v="961"/>
    <s v="5th March 2024"/>
    <s v="5th"/>
    <x v="10"/>
    <x v="7"/>
    <x v="1"/>
  </r>
  <r>
    <x v="4"/>
    <x v="3"/>
    <x v="2"/>
    <x v="931"/>
    <x v="962"/>
    <s v="5th March 2024"/>
    <s v="5th"/>
    <x v="10"/>
    <x v="7"/>
    <x v="0"/>
  </r>
  <r>
    <x v="4"/>
    <x v="2"/>
    <x v="2"/>
    <x v="932"/>
    <x v="963"/>
    <s v="5th March 2024"/>
    <s v="5th"/>
    <x v="10"/>
    <x v="7"/>
    <x v="0"/>
  </r>
  <r>
    <x v="4"/>
    <x v="1"/>
    <x v="1"/>
    <x v="933"/>
    <x v="964"/>
    <s v="5th March 2024"/>
    <s v="5th"/>
    <x v="10"/>
    <x v="7"/>
    <x v="1"/>
  </r>
  <r>
    <x v="4"/>
    <x v="1"/>
    <x v="1"/>
    <x v="934"/>
    <x v="965"/>
    <s v="17th January 2024"/>
    <s v="17th"/>
    <x v="11"/>
    <x v="7"/>
    <x v="1"/>
  </r>
  <r>
    <x v="4"/>
    <x v="1"/>
    <x v="1"/>
    <x v="935"/>
    <x v="966"/>
    <s v="17th January 2024"/>
    <s v="17th"/>
    <x v="11"/>
    <x v="7"/>
    <x v="1"/>
  </r>
  <r>
    <x v="4"/>
    <x v="1"/>
    <x v="1"/>
    <x v="936"/>
    <x v="967"/>
    <s v="17th January 2024"/>
    <s v="17th"/>
    <x v="11"/>
    <x v="7"/>
    <x v="1"/>
  </r>
  <r>
    <x v="4"/>
    <x v="1"/>
    <x v="1"/>
    <x v="937"/>
    <x v="968"/>
    <s v="17th January 2024"/>
    <s v="17th"/>
    <x v="11"/>
    <x v="7"/>
    <x v="1"/>
  </r>
  <r>
    <x v="4"/>
    <x v="9"/>
    <x v="1"/>
    <x v="938"/>
    <x v="969"/>
    <s v="17th January 2024"/>
    <s v="17th"/>
    <x v="11"/>
    <x v="7"/>
    <x v="1"/>
  </r>
  <r>
    <x v="4"/>
    <x v="1"/>
    <x v="1"/>
    <x v="939"/>
    <x v="970"/>
    <s v="17th January 2024"/>
    <s v="17th"/>
    <x v="11"/>
    <x v="7"/>
    <x v="1"/>
  </r>
  <r>
    <x v="4"/>
    <x v="9"/>
    <x v="1"/>
    <x v="940"/>
    <x v="971"/>
    <s v="17th January 2024"/>
    <s v="17th"/>
    <x v="11"/>
    <x v="7"/>
    <x v="1"/>
  </r>
  <r>
    <x v="4"/>
    <x v="1"/>
    <x v="1"/>
    <x v="941"/>
    <x v="972"/>
    <s v="17th January 2024"/>
    <s v="17th"/>
    <x v="11"/>
    <x v="7"/>
    <x v="1"/>
  </r>
  <r>
    <x v="4"/>
    <x v="1"/>
    <x v="1"/>
    <x v="942"/>
    <x v="973"/>
    <s v="17th January 2024"/>
    <s v="17th"/>
    <x v="11"/>
    <x v="7"/>
    <x v="1"/>
  </r>
  <r>
    <x v="4"/>
    <x v="1"/>
    <x v="1"/>
    <x v="943"/>
    <x v="974"/>
    <s v="17th January 2024"/>
    <s v="17th"/>
    <x v="11"/>
    <x v="7"/>
    <x v="1"/>
  </r>
  <r>
    <x v="4"/>
    <x v="7"/>
    <x v="0"/>
    <x v="944"/>
    <x v="975"/>
    <s v="30th November 2023"/>
    <s v="30th"/>
    <x v="6"/>
    <x v="0"/>
    <x v="1"/>
  </r>
  <r>
    <x v="4"/>
    <x v="1"/>
    <x v="1"/>
    <x v="945"/>
    <x v="976"/>
    <s v="30th November 2023"/>
    <s v="30th"/>
    <x v="6"/>
    <x v="0"/>
    <x v="1"/>
  </r>
  <r>
    <x v="4"/>
    <x v="6"/>
    <x v="1"/>
    <x v="946"/>
    <x v="977"/>
    <s v="30th November 2023"/>
    <s v="30th"/>
    <x v="6"/>
    <x v="0"/>
    <x v="1"/>
  </r>
  <r>
    <x v="4"/>
    <x v="3"/>
    <x v="2"/>
    <x v="947"/>
    <x v="978"/>
    <s v="30th November 2023"/>
    <s v="30th"/>
    <x v="6"/>
    <x v="0"/>
    <x v="0"/>
  </r>
  <r>
    <x v="4"/>
    <x v="6"/>
    <x v="1"/>
    <x v="948"/>
    <x v="979"/>
    <s v="30th November 2023"/>
    <s v="30th"/>
    <x v="6"/>
    <x v="0"/>
    <x v="0"/>
  </r>
  <r>
    <x v="4"/>
    <x v="0"/>
    <x v="0"/>
    <x v="949"/>
    <x v="580"/>
    <s v="30th November 2023"/>
    <s v="30th"/>
    <x v="6"/>
    <x v="0"/>
    <x v="1"/>
  </r>
  <r>
    <x v="4"/>
    <x v="6"/>
    <x v="1"/>
    <x v="75"/>
    <x v="980"/>
    <s v="30th November 2023"/>
    <s v="30th"/>
    <x v="6"/>
    <x v="0"/>
    <x v="1"/>
  </r>
  <r>
    <x v="4"/>
    <x v="1"/>
    <x v="1"/>
    <x v="950"/>
    <x v="981"/>
    <s v="30th November 2023"/>
    <s v="30th"/>
    <x v="6"/>
    <x v="0"/>
    <x v="1"/>
  </r>
  <r>
    <x v="4"/>
    <x v="1"/>
    <x v="1"/>
    <x v="951"/>
    <x v="982"/>
    <s v="30th November 2023"/>
    <s v="30th"/>
    <x v="6"/>
    <x v="0"/>
    <x v="1"/>
  </r>
  <r>
    <x v="4"/>
    <x v="8"/>
    <x v="1"/>
    <x v="952"/>
    <x v="983"/>
    <s v="30th November 2023"/>
    <s v="30th"/>
    <x v="6"/>
    <x v="0"/>
    <x v="1"/>
  </r>
  <r>
    <x v="4"/>
    <x v="3"/>
    <x v="2"/>
    <x v="953"/>
    <x v="12"/>
    <s v="9th October 2023"/>
    <s v="9th"/>
    <x v="0"/>
    <x v="0"/>
    <x v="0"/>
  </r>
  <r>
    <x v="4"/>
    <x v="1"/>
    <x v="1"/>
    <x v="374"/>
    <x v="984"/>
    <s v="9th October 2023"/>
    <s v="9th"/>
    <x v="0"/>
    <x v="0"/>
    <x v="1"/>
  </r>
  <r>
    <x v="4"/>
    <x v="1"/>
    <x v="1"/>
    <x v="954"/>
    <x v="985"/>
    <s v="9th October 2023"/>
    <s v="9th"/>
    <x v="0"/>
    <x v="0"/>
    <x v="1"/>
  </r>
  <r>
    <x v="4"/>
    <x v="3"/>
    <x v="2"/>
    <x v="955"/>
    <x v="986"/>
    <s v="9th October 2023"/>
    <s v="9th"/>
    <x v="0"/>
    <x v="0"/>
    <x v="0"/>
  </r>
  <r>
    <x v="4"/>
    <x v="2"/>
    <x v="2"/>
    <x v="956"/>
    <x v="987"/>
    <s v="9th October 2023"/>
    <s v="9th"/>
    <x v="0"/>
    <x v="0"/>
    <x v="0"/>
  </r>
  <r>
    <x v="4"/>
    <x v="4"/>
    <x v="2"/>
    <x v="957"/>
    <x v="988"/>
    <s v="9th October 2023"/>
    <s v="9th"/>
    <x v="0"/>
    <x v="0"/>
    <x v="0"/>
  </r>
  <r>
    <x v="4"/>
    <x v="7"/>
    <x v="0"/>
    <x v="958"/>
    <x v="989"/>
    <s v="9th October 2023"/>
    <s v="9th"/>
    <x v="0"/>
    <x v="0"/>
    <x v="1"/>
  </r>
  <r>
    <x v="4"/>
    <x v="6"/>
    <x v="1"/>
    <x v="959"/>
    <x v="990"/>
    <s v="9th October 2023"/>
    <s v="9th"/>
    <x v="0"/>
    <x v="0"/>
    <x v="1"/>
  </r>
  <r>
    <x v="4"/>
    <x v="7"/>
    <x v="0"/>
    <x v="960"/>
    <x v="991"/>
    <s v="9th October 2023"/>
    <s v="9th"/>
    <x v="0"/>
    <x v="0"/>
    <x v="1"/>
  </r>
  <r>
    <x v="4"/>
    <x v="1"/>
    <x v="1"/>
    <x v="961"/>
    <x v="992"/>
    <s v="9th October 2023"/>
    <s v="9th"/>
    <x v="0"/>
    <x v="0"/>
    <x v="1"/>
  </r>
  <r>
    <x v="4"/>
    <x v="6"/>
    <x v="1"/>
    <x v="962"/>
    <x v="993"/>
    <s v="18th August 2023"/>
    <s v="18th"/>
    <x v="8"/>
    <x v="0"/>
    <x v="1"/>
  </r>
  <r>
    <x v="4"/>
    <x v="2"/>
    <x v="2"/>
    <x v="963"/>
    <x v="994"/>
    <s v="18th August 2023"/>
    <s v="18th"/>
    <x v="8"/>
    <x v="0"/>
    <x v="0"/>
  </r>
  <r>
    <x v="4"/>
    <x v="1"/>
    <x v="1"/>
    <x v="964"/>
    <x v="995"/>
    <s v="18th August 2023"/>
    <s v="18th"/>
    <x v="8"/>
    <x v="0"/>
    <x v="1"/>
  </r>
  <r>
    <x v="4"/>
    <x v="1"/>
    <x v="1"/>
    <x v="965"/>
    <x v="996"/>
    <s v="18th August 2023"/>
    <s v="18th"/>
    <x v="8"/>
    <x v="0"/>
    <x v="1"/>
  </r>
  <r>
    <x v="4"/>
    <x v="6"/>
    <x v="1"/>
    <x v="966"/>
    <x v="997"/>
    <s v="18th August 2023"/>
    <s v="18th"/>
    <x v="8"/>
    <x v="0"/>
    <x v="1"/>
  </r>
  <r>
    <x v="4"/>
    <x v="1"/>
    <x v="1"/>
    <x v="967"/>
    <x v="998"/>
    <s v="18th August 2023"/>
    <s v="18th"/>
    <x v="8"/>
    <x v="0"/>
    <x v="1"/>
  </r>
  <r>
    <x v="4"/>
    <x v="6"/>
    <x v="1"/>
    <x v="968"/>
    <x v="999"/>
    <s v="18th August 2023"/>
    <s v="18th"/>
    <x v="8"/>
    <x v="0"/>
    <x v="1"/>
  </r>
  <r>
    <x v="4"/>
    <x v="9"/>
    <x v="1"/>
    <x v="969"/>
    <x v="1000"/>
    <s v="18th August 2023"/>
    <s v="18th"/>
    <x v="8"/>
    <x v="0"/>
    <x v="1"/>
  </r>
  <r>
    <x v="4"/>
    <x v="3"/>
    <x v="2"/>
    <x v="970"/>
    <x v="1001"/>
    <s v="18th August 2023"/>
    <s v="18th"/>
    <x v="8"/>
    <x v="0"/>
    <x v="0"/>
  </r>
  <r>
    <x v="4"/>
    <x v="2"/>
    <x v="2"/>
    <x v="971"/>
    <x v="1002"/>
    <s v="18th August 2023"/>
    <s v="18th"/>
    <x v="8"/>
    <x v="0"/>
    <x v="0"/>
  </r>
  <r>
    <x v="4"/>
    <x v="6"/>
    <x v="1"/>
    <x v="972"/>
    <x v="1003"/>
    <s v="8th July 2023"/>
    <s v="8th"/>
    <x v="9"/>
    <x v="0"/>
    <x v="1"/>
  </r>
  <r>
    <x v="4"/>
    <x v="8"/>
    <x v="1"/>
    <x v="973"/>
    <x v="1004"/>
    <s v="8th July 2023"/>
    <s v="8th"/>
    <x v="9"/>
    <x v="0"/>
    <x v="1"/>
  </r>
  <r>
    <x v="4"/>
    <x v="1"/>
    <x v="1"/>
    <x v="974"/>
    <x v="1005"/>
    <s v="8th July 2023"/>
    <s v="8th"/>
    <x v="9"/>
    <x v="0"/>
    <x v="1"/>
  </r>
  <r>
    <x v="4"/>
    <x v="1"/>
    <x v="1"/>
    <x v="975"/>
    <x v="1006"/>
    <s v="8th July 2023"/>
    <s v="8th"/>
    <x v="9"/>
    <x v="0"/>
    <x v="1"/>
  </r>
  <r>
    <x v="4"/>
    <x v="3"/>
    <x v="2"/>
    <x v="976"/>
    <x v="1007"/>
    <s v="8th July 2023"/>
    <s v="8th"/>
    <x v="9"/>
    <x v="0"/>
    <x v="0"/>
  </r>
  <r>
    <x v="4"/>
    <x v="1"/>
    <x v="1"/>
    <x v="977"/>
    <x v="1008"/>
    <s v="8th July 2023"/>
    <s v="8th"/>
    <x v="9"/>
    <x v="0"/>
    <x v="1"/>
  </r>
  <r>
    <x v="4"/>
    <x v="1"/>
    <x v="1"/>
    <x v="978"/>
    <x v="1009"/>
    <s v="8th July 2023"/>
    <s v="8th"/>
    <x v="9"/>
    <x v="0"/>
    <x v="1"/>
  </r>
  <r>
    <x v="4"/>
    <x v="1"/>
    <x v="1"/>
    <x v="979"/>
    <x v="1010"/>
    <s v="8th July 2023"/>
    <s v="8th"/>
    <x v="9"/>
    <x v="0"/>
    <x v="1"/>
  </r>
  <r>
    <x v="4"/>
    <x v="8"/>
    <x v="1"/>
    <x v="980"/>
    <x v="1011"/>
    <s v="8th July 2023"/>
    <s v="8th"/>
    <x v="9"/>
    <x v="0"/>
    <x v="1"/>
  </r>
  <r>
    <x v="4"/>
    <x v="9"/>
    <x v="1"/>
    <x v="981"/>
    <x v="1012"/>
    <s v="8th July 2023"/>
    <s v="8th"/>
    <x v="9"/>
    <x v="0"/>
    <x v="1"/>
  </r>
  <r>
    <x v="4"/>
    <x v="7"/>
    <x v="0"/>
    <x v="982"/>
    <x v="1013"/>
    <s v="24th April 2023"/>
    <s v="24th"/>
    <x v="1"/>
    <x v="0"/>
    <x v="0"/>
  </r>
  <r>
    <x v="4"/>
    <x v="1"/>
    <x v="1"/>
    <x v="983"/>
    <x v="1014"/>
    <s v="24th April 2023"/>
    <s v="24th"/>
    <x v="1"/>
    <x v="0"/>
    <x v="1"/>
  </r>
  <r>
    <x v="4"/>
    <x v="1"/>
    <x v="1"/>
    <x v="984"/>
    <x v="1015"/>
    <s v="24th April 2023"/>
    <s v="24th"/>
    <x v="1"/>
    <x v="0"/>
    <x v="1"/>
  </r>
  <r>
    <x v="4"/>
    <x v="1"/>
    <x v="1"/>
    <x v="985"/>
    <x v="1016"/>
    <s v="24th April 2023"/>
    <s v="24th"/>
    <x v="1"/>
    <x v="0"/>
    <x v="1"/>
  </r>
  <r>
    <x v="4"/>
    <x v="2"/>
    <x v="2"/>
    <x v="986"/>
    <x v="1017"/>
    <s v="24th April 2023"/>
    <s v="24th"/>
    <x v="1"/>
    <x v="0"/>
    <x v="0"/>
  </r>
  <r>
    <x v="4"/>
    <x v="1"/>
    <x v="1"/>
    <x v="987"/>
    <x v="1018"/>
    <s v="24th April 2023"/>
    <s v="24th"/>
    <x v="1"/>
    <x v="0"/>
    <x v="1"/>
  </r>
  <r>
    <x v="4"/>
    <x v="4"/>
    <x v="2"/>
    <x v="988"/>
    <x v="1019"/>
    <s v="24th April 2023"/>
    <s v="24th"/>
    <x v="1"/>
    <x v="0"/>
    <x v="0"/>
  </r>
  <r>
    <x v="4"/>
    <x v="1"/>
    <x v="1"/>
    <x v="989"/>
    <x v="1020"/>
    <s v="24th April 2023"/>
    <s v="24th"/>
    <x v="1"/>
    <x v="0"/>
    <x v="1"/>
  </r>
  <r>
    <x v="4"/>
    <x v="7"/>
    <x v="0"/>
    <x v="990"/>
    <x v="1021"/>
    <s v="24th April 2023"/>
    <s v="24th"/>
    <x v="1"/>
    <x v="0"/>
    <x v="1"/>
  </r>
  <r>
    <x v="4"/>
    <x v="2"/>
    <x v="2"/>
    <x v="991"/>
    <x v="1022"/>
    <s v="24th April 2023"/>
    <s v="24th"/>
    <x v="1"/>
    <x v="0"/>
    <x v="0"/>
  </r>
  <r>
    <x v="4"/>
    <x v="2"/>
    <x v="2"/>
    <x v="992"/>
    <x v="1023"/>
    <s v="20th February 2023"/>
    <s v="20th"/>
    <x v="5"/>
    <x v="0"/>
    <x v="0"/>
  </r>
  <r>
    <x v="4"/>
    <x v="1"/>
    <x v="1"/>
    <x v="993"/>
    <x v="1024"/>
    <s v="20th February 2023"/>
    <s v="20th"/>
    <x v="5"/>
    <x v="0"/>
    <x v="1"/>
  </r>
  <r>
    <x v="4"/>
    <x v="6"/>
    <x v="1"/>
    <x v="994"/>
    <x v="1025"/>
    <s v="20th February 2023"/>
    <s v="20th"/>
    <x v="5"/>
    <x v="0"/>
    <x v="1"/>
  </r>
  <r>
    <x v="4"/>
    <x v="6"/>
    <x v="1"/>
    <x v="16"/>
    <x v="1026"/>
    <s v="20th February 2023"/>
    <s v="20th"/>
    <x v="5"/>
    <x v="0"/>
    <x v="1"/>
  </r>
  <r>
    <x v="4"/>
    <x v="8"/>
    <x v="1"/>
    <x v="995"/>
    <x v="1027"/>
    <s v="20th February 2023"/>
    <s v="20th"/>
    <x v="5"/>
    <x v="0"/>
    <x v="1"/>
  </r>
  <r>
    <x v="4"/>
    <x v="8"/>
    <x v="1"/>
    <x v="996"/>
    <x v="855"/>
    <s v="20th February 2023"/>
    <s v="20th"/>
    <x v="5"/>
    <x v="0"/>
    <x v="1"/>
  </r>
  <r>
    <x v="4"/>
    <x v="2"/>
    <x v="2"/>
    <x v="997"/>
    <x v="1028"/>
    <s v="20th February 2023"/>
    <s v="20th"/>
    <x v="5"/>
    <x v="0"/>
    <x v="0"/>
  </r>
  <r>
    <x v="4"/>
    <x v="9"/>
    <x v="1"/>
    <x v="998"/>
    <x v="1029"/>
    <s v="20th February 2023"/>
    <s v="20th"/>
    <x v="5"/>
    <x v="0"/>
    <x v="1"/>
  </r>
  <r>
    <x v="4"/>
    <x v="5"/>
    <x v="0"/>
    <x v="999"/>
    <x v="12"/>
    <s v="20th February 2023"/>
    <s v="20th"/>
    <x v="5"/>
    <x v="0"/>
    <x v="0"/>
  </r>
  <r>
    <x v="4"/>
    <x v="3"/>
    <x v="2"/>
    <x v="1000"/>
    <x v="1030"/>
    <s v="20th February 2023"/>
    <s v="20th"/>
    <x v="5"/>
    <x v="0"/>
    <x v="0"/>
  </r>
  <r>
    <x v="4"/>
    <x v="3"/>
    <x v="2"/>
    <x v="1001"/>
    <x v="12"/>
    <s v="19th January 2023"/>
    <s v="19th"/>
    <x v="11"/>
    <x v="0"/>
    <x v="0"/>
  </r>
  <r>
    <x v="4"/>
    <x v="3"/>
    <x v="2"/>
    <x v="1002"/>
    <x v="1031"/>
    <s v="19th January 2023"/>
    <s v="19th"/>
    <x v="11"/>
    <x v="0"/>
    <x v="0"/>
  </r>
  <r>
    <x v="4"/>
    <x v="1"/>
    <x v="1"/>
    <x v="1003"/>
    <x v="1032"/>
    <s v="19th January 2023"/>
    <s v="19th"/>
    <x v="11"/>
    <x v="0"/>
    <x v="1"/>
  </r>
  <r>
    <x v="4"/>
    <x v="1"/>
    <x v="1"/>
    <x v="1004"/>
    <x v="1033"/>
    <s v="19th January 2023"/>
    <s v="19th"/>
    <x v="11"/>
    <x v="0"/>
    <x v="1"/>
  </r>
  <r>
    <x v="4"/>
    <x v="8"/>
    <x v="1"/>
    <x v="1005"/>
    <x v="1034"/>
    <s v="19th January 2023"/>
    <s v="19th"/>
    <x v="11"/>
    <x v="0"/>
    <x v="1"/>
  </r>
  <r>
    <x v="4"/>
    <x v="1"/>
    <x v="1"/>
    <x v="1006"/>
    <x v="1035"/>
    <s v="19th January 2023"/>
    <s v="19th"/>
    <x v="11"/>
    <x v="0"/>
    <x v="1"/>
  </r>
  <r>
    <x v="4"/>
    <x v="1"/>
    <x v="1"/>
    <x v="1007"/>
    <x v="1036"/>
    <s v="19th January 2023"/>
    <s v="19th"/>
    <x v="11"/>
    <x v="0"/>
    <x v="1"/>
  </r>
  <r>
    <x v="4"/>
    <x v="9"/>
    <x v="1"/>
    <x v="1008"/>
    <x v="1037"/>
    <s v="19th January 2023"/>
    <s v="19th"/>
    <x v="11"/>
    <x v="0"/>
    <x v="1"/>
  </r>
  <r>
    <x v="4"/>
    <x v="5"/>
    <x v="0"/>
    <x v="1009"/>
    <x v="12"/>
    <s v="19th January 2023"/>
    <s v="19th"/>
    <x v="11"/>
    <x v="0"/>
    <x v="0"/>
  </r>
  <r>
    <x v="4"/>
    <x v="7"/>
    <x v="0"/>
    <x v="1010"/>
    <x v="1038"/>
    <s v="19th January 2023"/>
    <s v="19th"/>
    <x v="11"/>
    <x v="0"/>
    <x v="1"/>
  </r>
  <r>
    <x v="4"/>
    <x v="8"/>
    <x v="1"/>
    <x v="1011"/>
    <x v="1039"/>
    <s v="11th December 2022"/>
    <s v="11th"/>
    <x v="4"/>
    <x v="1"/>
    <x v="1"/>
  </r>
  <r>
    <x v="4"/>
    <x v="1"/>
    <x v="1"/>
    <x v="1012"/>
    <x v="1040"/>
    <s v="11th December 2022"/>
    <s v="11th"/>
    <x v="4"/>
    <x v="1"/>
    <x v="1"/>
  </r>
  <r>
    <x v="4"/>
    <x v="1"/>
    <x v="1"/>
    <x v="1013"/>
    <x v="1041"/>
    <s v="11th December 2022"/>
    <s v="11th"/>
    <x v="4"/>
    <x v="1"/>
    <x v="1"/>
  </r>
  <r>
    <x v="4"/>
    <x v="3"/>
    <x v="2"/>
    <x v="1014"/>
    <x v="12"/>
    <s v="11th December 2022"/>
    <s v="11th"/>
    <x v="4"/>
    <x v="1"/>
    <x v="0"/>
  </r>
  <r>
    <x v="4"/>
    <x v="3"/>
    <x v="2"/>
    <x v="526"/>
    <x v="12"/>
    <s v="11th December 2022"/>
    <s v="11th"/>
    <x v="4"/>
    <x v="1"/>
    <x v="0"/>
  </r>
  <r>
    <x v="4"/>
    <x v="1"/>
    <x v="1"/>
    <x v="1015"/>
    <x v="1042"/>
    <s v="11th December 2022"/>
    <s v="11th"/>
    <x v="4"/>
    <x v="1"/>
    <x v="1"/>
  </r>
  <r>
    <x v="4"/>
    <x v="1"/>
    <x v="1"/>
    <x v="1016"/>
    <x v="1043"/>
    <s v="11th December 2022"/>
    <s v="11th"/>
    <x v="4"/>
    <x v="1"/>
    <x v="0"/>
  </r>
  <r>
    <x v="4"/>
    <x v="2"/>
    <x v="2"/>
    <x v="1017"/>
    <x v="1044"/>
    <s v="11th December 2022"/>
    <s v="11th"/>
    <x v="4"/>
    <x v="1"/>
    <x v="0"/>
  </r>
  <r>
    <x v="4"/>
    <x v="2"/>
    <x v="2"/>
    <x v="1018"/>
    <x v="1045"/>
    <s v="11th December 2022"/>
    <s v="11th"/>
    <x v="4"/>
    <x v="1"/>
    <x v="0"/>
  </r>
  <r>
    <x v="4"/>
    <x v="1"/>
    <x v="1"/>
    <x v="1019"/>
    <x v="1046"/>
    <s v="11th December 2022"/>
    <s v="11th"/>
    <x v="4"/>
    <x v="1"/>
    <x v="1"/>
  </r>
  <r>
    <x v="4"/>
    <x v="8"/>
    <x v="1"/>
    <x v="1020"/>
    <x v="1047"/>
    <s v="30th October 2022"/>
    <s v="30th"/>
    <x v="0"/>
    <x v="1"/>
    <x v="1"/>
  </r>
  <r>
    <x v="4"/>
    <x v="1"/>
    <x v="1"/>
    <x v="1021"/>
    <x v="1048"/>
    <s v="30th October 2022"/>
    <s v="30th"/>
    <x v="0"/>
    <x v="1"/>
    <x v="1"/>
  </r>
  <r>
    <x v="4"/>
    <x v="1"/>
    <x v="1"/>
    <x v="1022"/>
    <x v="1049"/>
    <s v="30th October 2022"/>
    <s v="30th"/>
    <x v="0"/>
    <x v="1"/>
    <x v="1"/>
  </r>
  <r>
    <x v="4"/>
    <x v="1"/>
    <x v="1"/>
    <x v="1023"/>
    <x v="1050"/>
    <s v="30th October 2022"/>
    <s v="30th"/>
    <x v="0"/>
    <x v="1"/>
    <x v="1"/>
  </r>
  <r>
    <x v="4"/>
    <x v="1"/>
    <x v="1"/>
    <x v="1024"/>
    <x v="1051"/>
    <s v="30th October 2022"/>
    <s v="30th"/>
    <x v="0"/>
    <x v="1"/>
    <x v="1"/>
  </r>
  <r>
    <x v="4"/>
    <x v="1"/>
    <x v="1"/>
    <x v="1025"/>
    <x v="1052"/>
    <s v="30th October 2022"/>
    <s v="30th"/>
    <x v="0"/>
    <x v="1"/>
    <x v="1"/>
  </r>
  <r>
    <x v="4"/>
    <x v="1"/>
    <x v="1"/>
    <x v="1026"/>
    <x v="1053"/>
    <s v="30th October 2022"/>
    <s v="30th"/>
    <x v="0"/>
    <x v="1"/>
    <x v="1"/>
  </r>
  <r>
    <x v="4"/>
    <x v="8"/>
    <x v="1"/>
    <x v="1027"/>
    <x v="1054"/>
    <s v="30th October 2022"/>
    <s v="30th"/>
    <x v="0"/>
    <x v="1"/>
    <x v="1"/>
  </r>
  <r>
    <x v="4"/>
    <x v="1"/>
    <x v="1"/>
    <x v="1028"/>
    <x v="1055"/>
    <s v="30th October 2022"/>
    <s v="30th"/>
    <x v="0"/>
    <x v="1"/>
    <x v="1"/>
  </r>
  <r>
    <x v="4"/>
    <x v="1"/>
    <x v="1"/>
    <x v="1029"/>
    <x v="238"/>
    <s v="30th October 2022"/>
    <s v="30th"/>
    <x v="0"/>
    <x v="1"/>
    <x v="1"/>
  </r>
  <r>
    <x v="4"/>
    <x v="1"/>
    <x v="1"/>
    <x v="1030"/>
    <x v="1056"/>
    <s v="19th September 2022"/>
    <s v="19th"/>
    <x v="2"/>
    <x v="1"/>
    <x v="1"/>
  </r>
  <r>
    <x v="4"/>
    <x v="1"/>
    <x v="1"/>
    <x v="1031"/>
    <x v="1057"/>
    <s v="19th September 2022"/>
    <s v="19th"/>
    <x v="2"/>
    <x v="1"/>
    <x v="1"/>
  </r>
  <r>
    <x v="4"/>
    <x v="5"/>
    <x v="0"/>
    <x v="1032"/>
    <x v="12"/>
    <s v="19th September 2022"/>
    <s v="19th"/>
    <x v="2"/>
    <x v="1"/>
    <x v="0"/>
  </r>
  <r>
    <x v="4"/>
    <x v="1"/>
    <x v="1"/>
    <x v="1033"/>
    <x v="1058"/>
    <s v="19th September 2022"/>
    <s v="19th"/>
    <x v="2"/>
    <x v="1"/>
    <x v="1"/>
  </r>
  <r>
    <x v="4"/>
    <x v="3"/>
    <x v="2"/>
    <x v="1034"/>
    <x v="12"/>
    <s v="19th September 2022"/>
    <s v="19th"/>
    <x v="2"/>
    <x v="1"/>
    <x v="0"/>
  </r>
  <r>
    <x v="4"/>
    <x v="2"/>
    <x v="2"/>
    <x v="1035"/>
    <x v="1059"/>
    <s v="19th September 2022"/>
    <s v="19th"/>
    <x v="2"/>
    <x v="1"/>
    <x v="0"/>
  </r>
  <r>
    <x v="4"/>
    <x v="7"/>
    <x v="0"/>
    <x v="1036"/>
    <x v="1060"/>
    <s v="19th September 2022"/>
    <s v="19th"/>
    <x v="2"/>
    <x v="1"/>
    <x v="1"/>
  </r>
  <r>
    <x v="4"/>
    <x v="8"/>
    <x v="1"/>
    <x v="1037"/>
    <x v="1061"/>
    <s v="19th September 2022"/>
    <s v="19th"/>
    <x v="2"/>
    <x v="1"/>
    <x v="1"/>
  </r>
  <r>
    <x v="4"/>
    <x v="1"/>
    <x v="1"/>
    <x v="1038"/>
    <x v="1062"/>
    <s v="19th September 2022"/>
    <s v="19th"/>
    <x v="2"/>
    <x v="1"/>
    <x v="1"/>
  </r>
  <r>
    <x v="4"/>
    <x v="5"/>
    <x v="0"/>
    <x v="1039"/>
    <x v="12"/>
    <s v="19th September 2022"/>
    <s v="19th"/>
    <x v="2"/>
    <x v="1"/>
    <x v="0"/>
  </r>
  <r>
    <x v="4"/>
    <x v="5"/>
    <x v="0"/>
    <x v="1040"/>
    <x v="12"/>
    <s v="16th July 2022"/>
    <s v="16th"/>
    <x v="9"/>
    <x v="1"/>
    <x v="0"/>
  </r>
  <r>
    <x v="4"/>
    <x v="3"/>
    <x v="2"/>
    <x v="1041"/>
    <x v="12"/>
    <s v="16th July 2022"/>
    <s v="16th"/>
    <x v="9"/>
    <x v="1"/>
    <x v="0"/>
  </r>
  <r>
    <x v="4"/>
    <x v="1"/>
    <x v="1"/>
    <x v="934"/>
    <x v="1063"/>
    <s v="16th July 2022"/>
    <s v="16th"/>
    <x v="9"/>
    <x v="1"/>
    <x v="1"/>
  </r>
  <r>
    <x v="4"/>
    <x v="4"/>
    <x v="2"/>
    <x v="1042"/>
    <x v="1064"/>
    <s v="16th July 2022"/>
    <s v="16th"/>
    <x v="9"/>
    <x v="1"/>
    <x v="0"/>
  </r>
  <r>
    <x v="4"/>
    <x v="3"/>
    <x v="2"/>
    <x v="1043"/>
    <x v="252"/>
    <s v="16th July 2022"/>
    <s v="16th"/>
    <x v="9"/>
    <x v="1"/>
    <x v="0"/>
  </r>
  <r>
    <x v="4"/>
    <x v="1"/>
    <x v="1"/>
    <x v="1044"/>
    <x v="1065"/>
    <s v="16th July 2022"/>
    <s v="16th"/>
    <x v="9"/>
    <x v="1"/>
    <x v="1"/>
  </r>
  <r>
    <x v="4"/>
    <x v="1"/>
    <x v="1"/>
    <x v="1045"/>
    <x v="1066"/>
    <s v="16th July 2022"/>
    <s v="16th"/>
    <x v="9"/>
    <x v="1"/>
    <x v="1"/>
  </r>
  <r>
    <x v="4"/>
    <x v="6"/>
    <x v="1"/>
    <x v="1046"/>
    <x v="1067"/>
    <s v="16th July 2022"/>
    <s v="16th"/>
    <x v="9"/>
    <x v="1"/>
    <x v="1"/>
  </r>
  <r>
    <x v="4"/>
    <x v="2"/>
    <x v="2"/>
    <x v="1047"/>
    <x v="1068"/>
    <s v="16th July 2022"/>
    <s v="16th"/>
    <x v="9"/>
    <x v="1"/>
    <x v="0"/>
  </r>
  <r>
    <x v="4"/>
    <x v="9"/>
    <x v="1"/>
    <x v="1048"/>
    <x v="1069"/>
    <s v="16th July 2022"/>
    <s v="16th"/>
    <x v="9"/>
    <x v="1"/>
    <x v="0"/>
  </r>
  <r>
    <x v="4"/>
    <x v="7"/>
    <x v="0"/>
    <x v="1049"/>
    <x v="1070"/>
    <s v="15th May 2022"/>
    <s v="15th"/>
    <x v="7"/>
    <x v="1"/>
    <x v="1"/>
  </r>
  <r>
    <x v="4"/>
    <x v="4"/>
    <x v="2"/>
    <x v="1050"/>
    <x v="1071"/>
    <s v="15th May 2022"/>
    <s v="15th"/>
    <x v="7"/>
    <x v="1"/>
    <x v="0"/>
  </r>
  <r>
    <x v="4"/>
    <x v="6"/>
    <x v="1"/>
    <x v="1051"/>
    <x v="1072"/>
    <s v="15th May 2022"/>
    <s v="15th"/>
    <x v="7"/>
    <x v="1"/>
    <x v="1"/>
  </r>
  <r>
    <x v="4"/>
    <x v="3"/>
    <x v="2"/>
    <x v="1052"/>
    <x v="12"/>
    <s v="15th May 2022"/>
    <s v="15th"/>
    <x v="7"/>
    <x v="1"/>
    <x v="0"/>
  </r>
  <r>
    <x v="4"/>
    <x v="6"/>
    <x v="1"/>
    <x v="1053"/>
    <x v="1073"/>
    <s v="15th May 2022"/>
    <s v="15th"/>
    <x v="7"/>
    <x v="1"/>
    <x v="1"/>
  </r>
  <r>
    <x v="4"/>
    <x v="3"/>
    <x v="2"/>
    <x v="1054"/>
    <x v="1074"/>
    <s v="15th May 2022"/>
    <s v="15th"/>
    <x v="7"/>
    <x v="1"/>
    <x v="0"/>
  </r>
  <r>
    <x v="4"/>
    <x v="2"/>
    <x v="2"/>
    <x v="1055"/>
    <x v="1075"/>
    <s v="15th May 2022"/>
    <s v="15th"/>
    <x v="7"/>
    <x v="1"/>
    <x v="0"/>
  </r>
  <r>
    <x v="4"/>
    <x v="3"/>
    <x v="2"/>
    <x v="1056"/>
    <x v="869"/>
    <s v="15th May 2022"/>
    <s v="15th"/>
    <x v="7"/>
    <x v="1"/>
    <x v="0"/>
  </r>
  <r>
    <x v="4"/>
    <x v="1"/>
    <x v="1"/>
    <x v="1057"/>
    <x v="1076"/>
    <s v="15th May 2022"/>
    <s v="15th"/>
    <x v="7"/>
    <x v="1"/>
    <x v="1"/>
  </r>
  <r>
    <x v="4"/>
    <x v="1"/>
    <x v="1"/>
    <x v="1058"/>
    <x v="1077"/>
    <s v="15th May 2022"/>
    <s v="15th"/>
    <x v="7"/>
    <x v="1"/>
    <x v="1"/>
  </r>
  <r>
    <x v="4"/>
    <x v="9"/>
    <x v="1"/>
    <x v="1059"/>
    <x v="1078"/>
    <s v="27th February 2022"/>
    <s v="27th"/>
    <x v="5"/>
    <x v="1"/>
    <x v="1"/>
  </r>
  <r>
    <x v="4"/>
    <x v="9"/>
    <x v="1"/>
    <x v="1060"/>
    <x v="1079"/>
    <s v="27th February 2022"/>
    <s v="27th"/>
    <x v="5"/>
    <x v="1"/>
    <x v="1"/>
  </r>
  <r>
    <x v="4"/>
    <x v="4"/>
    <x v="2"/>
    <x v="1061"/>
    <x v="1080"/>
    <s v="27th February 2022"/>
    <s v="27th"/>
    <x v="5"/>
    <x v="1"/>
    <x v="0"/>
  </r>
  <r>
    <x v="4"/>
    <x v="1"/>
    <x v="1"/>
    <x v="1062"/>
    <x v="1081"/>
    <s v="27th February 2022"/>
    <s v="27th"/>
    <x v="5"/>
    <x v="1"/>
    <x v="1"/>
  </r>
  <r>
    <x v="4"/>
    <x v="7"/>
    <x v="0"/>
    <x v="1063"/>
    <x v="252"/>
    <s v="27th February 2022"/>
    <s v="27th"/>
    <x v="5"/>
    <x v="1"/>
    <x v="0"/>
  </r>
  <r>
    <x v="4"/>
    <x v="4"/>
    <x v="2"/>
    <x v="1064"/>
    <x v="1082"/>
    <s v="27th February 2022"/>
    <s v="27th"/>
    <x v="5"/>
    <x v="1"/>
    <x v="0"/>
  </r>
  <r>
    <x v="4"/>
    <x v="6"/>
    <x v="1"/>
    <x v="1065"/>
    <x v="1083"/>
    <s v="27th February 2022"/>
    <s v="27th"/>
    <x v="5"/>
    <x v="1"/>
    <x v="1"/>
  </r>
  <r>
    <x v="4"/>
    <x v="6"/>
    <x v="1"/>
    <x v="1066"/>
    <x v="1084"/>
    <s v="27th February 2022"/>
    <s v="27th"/>
    <x v="5"/>
    <x v="1"/>
    <x v="1"/>
  </r>
  <r>
    <x v="4"/>
    <x v="2"/>
    <x v="2"/>
    <x v="304"/>
    <x v="1085"/>
    <s v="27th February 2022"/>
    <s v="27th"/>
    <x v="5"/>
    <x v="1"/>
    <x v="0"/>
  </r>
  <r>
    <x v="4"/>
    <x v="4"/>
    <x v="2"/>
    <x v="1067"/>
    <x v="1086"/>
    <s v="27th February 2022"/>
    <s v="27th"/>
    <x v="5"/>
    <x v="1"/>
    <x v="0"/>
  </r>
  <r>
    <x v="4"/>
    <x v="1"/>
    <x v="1"/>
    <x v="1068"/>
    <x v="1087"/>
    <s v="10th September 2021"/>
    <s v="10th"/>
    <x v="2"/>
    <x v="2"/>
    <x v="1"/>
  </r>
  <r>
    <x v="4"/>
    <x v="2"/>
    <x v="2"/>
    <x v="1069"/>
    <x v="1088"/>
    <s v="10th September 2021"/>
    <s v="10th"/>
    <x v="2"/>
    <x v="2"/>
    <x v="0"/>
  </r>
  <r>
    <x v="4"/>
    <x v="2"/>
    <x v="2"/>
    <x v="1070"/>
    <x v="1089"/>
    <s v="10th September 2021"/>
    <s v="10th"/>
    <x v="2"/>
    <x v="2"/>
    <x v="0"/>
  </r>
  <r>
    <x v="4"/>
    <x v="6"/>
    <x v="1"/>
    <x v="1071"/>
    <x v="1090"/>
    <s v="10th September 2021"/>
    <s v="10th"/>
    <x v="2"/>
    <x v="2"/>
    <x v="1"/>
  </r>
  <r>
    <x v="4"/>
    <x v="2"/>
    <x v="2"/>
    <x v="1069"/>
    <x v="1088"/>
    <s v="10th September 2021"/>
    <s v="10th"/>
    <x v="2"/>
    <x v="2"/>
    <x v="0"/>
  </r>
  <r>
    <x v="4"/>
    <x v="2"/>
    <x v="2"/>
    <x v="1072"/>
    <x v="1091"/>
    <s v="10th September 2021"/>
    <s v="10th"/>
    <x v="2"/>
    <x v="2"/>
    <x v="0"/>
  </r>
  <r>
    <x v="4"/>
    <x v="1"/>
    <x v="1"/>
    <x v="1073"/>
    <x v="1092"/>
    <s v="10th September 2021"/>
    <s v="10th"/>
    <x v="2"/>
    <x v="2"/>
    <x v="1"/>
  </r>
  <r>
    <x v="4"/>
    <x v="1"/>
    <x v="1"/>
    <x v="1074"/>
    <x v="1093"/>
    <s v="10th September 2021"/>
    <s v="10th"/>
    <x v="2"/>
    <x v="2"/>
    <x v="1"/>
  </r>
  <r>
    <x v="4"/>
    <x v="3"/>
    <x v="2"/>
    <x v="1075"/>
    <x v="1094"/>
    <s v="10th September 2021"/>
    <s v="10th"/>
    <x v="2"/>
    <x v="2"/>
    <x v="0"/>
  </r>
  <r>
    <x v="4"/>
    <x v="6"/>
    <x v="1"/>
    <x v="1076"/>
    <x v="1095"/>
    <s v="10th September 2021"/>
    <s v="10th"/>
    <x v="2"/>
    <x v="2"/>
    <x v="1"/>
  </r>
  <r>
    <x v="4"/>
    <x v="2"/>
    <x v="2"/>
    <x v="1077"/>
    <x v="587"/>
    <s v="17th March 2021"/>
    <s v="17th"/>
    <x v="10"/>
    <x v="2"/>
    <x v="0"/>
  </r>
  <r>
    <x v="4"/>
    <x v="2"/>
    <x v="2"/>
    <x v="1078"/>
    <x v="238"/>
    <s v="17th March 2021"/>
    <s v="17th"/>
    <x v="10"/>
    <x v="2"/>
    <x v="0"/>
  </r>
  <r>
    <x v="4"/>
    <x v="7"/>
    <x v="0"/>
    <x v="1079"/>
    <x v="1096"/>
    <s v="17th March 2021"/>
    <s v="17th"/>
    <x v="10"/>
    <x v="2"/>
    <x v="0"/>
  </r>
  <r>
    <x v="4"/>
    <x v="4"/>
    <x v="2"/>
    <x v="1080"/>
    <x v="1097"/>
    <s v="17th March 2021"/>
    <s v="17th"/>
    <x v="10"/>
    <x v="2"/>
    <x v="0"/>
  </r>
  <r>
    <x v="4"/>
    <x v="6"/>
    <x v="1"/>
    <x v="1081"/>
    <x v="323"/>
    <s v="17th March 2021"/>
    <s v="17th"/>
    <x v="10"/>
    <x v="2"/>
    <x v="1"/>
  </r>
  <r>
    <x v="4"/>
    <x v="1"/>
    <x v="1"/>
    <x v="1082"/>
    <x v="1098"/>
    <s v="17th March 2021"/>
    <s v="17th"/>
    <x v="10"/>
    <x v="2"/>
    <x v="1"/>
  </r>
  <r>
    <x v="4"/>
    <x v="1"/>
    <x v="1"/>
    <x v="1083"/>
    <x v="1099"/>
    <s v="17th March 2021"/>
    <s v="17th"/>
    <x v="10"/>
    <x v="2"/>
    <x v="1"/>
  </r>
  <r>
    <x v="4"/>
    <x v="4"/>
    <x v="2"/>
    <x v="1084"/>
    <x v="1100"/>
    <s v="17th March 2021"/>
    <s v="17th"/>
    <x v="10"/>
    <x v="2"/>
    <x v="0"/>
  </r>
  <r>
    <x v="4"/>
    <x v="1"/>
    <x v="1"/>
    <x v="1085"/>
    <x v="1101"/>
    <s v="17th March 2021"/>
    <s v="17th"/>
    <x v="10"/>
    <x v="2"/>
    <x v="1"/>
  </r>
  <r>
    <x v="4"/>
    <x v="2"/>
    <x v="2"/>
    <x v="1086"/>
    <x v="1102"/>
    <s v="17th March 2021"/>
    <s v="17th"/>
    <x v="10"/>
    <x v="2"/>
    <x v="0"/>
  </r>
  <r>
    <x v="4"/>
    <x v="2"/>
    <x v="2"/>
    <x v="1087"/>
    <x v="1103"/>
    <s v="9th November 2020"/>
    <s v="9th"/>
    <x v="6"/>
    <x v="3"/>
    <x v="0"/>
  </r>
  <r>
    <x v="4"/>
    <x v="4"/>
    <x v="2"/>
    <x v="1088"/>
    <x v="1104"/>
    <s v="9th November 2020"/>
    <s v="9th"/>
    <x v="6"/>
    <x v="3"/>
    <x v="0"/>
  </r>
  <r>
    <x v="4"/>
    <x v="2"/>
    <x v="2"/>
    <x v="1089"/>
    <x v="1105"/>
    <s v="9th November 2020"/>
    <s v="9th"/>
    <x v="6"/>
    <x v="3"/>
    <x v="0"/>
  </r>
  <r>
    <x v="4"/>
    <x v="2"/>
    <x v="2"/>
    <x v="1090"/>
    <x v="1106"/>
    <s v="9th November 2020"/>
    <s v="9th"/>
    <x v="6"/>
    <x v="3"/>
    <x v="0"/>
  </r>
  <r>
    <x v="4"/>
    <x v="1"/>
    <x v="1"/>
    <x v="365"/>
    <x v="1107"/>
    <s v="9th November 2020"/>
    <s v="9th"/>
    <x v="6"/>
    <x v="3"/>
    <x v="1"/>
  </r>
  <r>
    <x v="4"/>
    <x v="2"/>
    <x v="2"/>
    <x v="1091"/>
    <x v="1108"/>
    <s v="9th November 2020"/>
    <s v="9th"/>
    <x v="6"/>
    <x v="3"/>
    <x v="0"/>
  </r>
  <r>
    <x v="4"/>
    <x v="4"/>
    <x v="2"/>
    <x v="1092"/>
    <x v="1109"/>
    <s v="9th November 2020"/>
    <s v="9th"/>
    <x v="6"/>
    <x v="3"/>
    <x v="0"/>
  </r>
  <r>
    <x v="4"/>
    <x v="4"/>
    <x v="2"/>
    <x v="1093"/>
    <x v="1110"/>
    <s v="9th November 2020"/>
    <s v="9th"/>
    <x v="6"/>
    <x v="3"/>
    <x v="0"/>
  </r>
  <r>
    <x v="4"/>
    <x v="4"/>
    <x v="2"/>
    <x v="1094"/>
    <x v="1111"/>
    <s v="9th November 2020"/>
    <s v="9th"/>
    <x v="6"/>
    <x v="3"/>
    <x v="0"/>
  </r>
  <r>
    <x v="4"/>
    <x v="2"/>
    <x v="2"/>
    <x v="1095"/>
    <x v="1112"/>
    <s v="9th November 2020"/>
    <s v="9th"/>
    <x v="6"/>
    <x v="3"/>
    <x v="0"/>
  </r>
  <r>
    <x v="4"/>
    <x v="4"/>
    <x v="2"/>
    <x v="1096"/>
    <x v="1113"/>
    <s v="5th March 2020"/>
    <s v="5th"/>
    <x v="10"/>
    <x v="3"/>
    <x v="0"/>
  </r>
  <r>
    <x v="4"/>
    <x v="6"/>
    <x v="1"/>
    <x v="1097"/>
    <x v="1114"/>
    <s v="5th March 2020"/>
    <s v="5th"/>
    <x v="10"/>
    <x v="3"/>
    <x v="1"/>
  </r>
  <r>
    <x v="4"/>
    <x v="7"/>
    <x v="0"/>
    <x v="1098"/>
    <x v="1115"/>
    <s v="5th March 2020"/>
    <s v="5th"/>
    <x v="10"/>
    <x v="3"/>
    <x v="1"/>
  </r>
  <r>
    <x v="4"/>
    <x v="1"/>
    <x v="1"/>
    <x v="1099"/>
    <x v="1116"/>
    <s v="5th March 2020"/>
    <s v="5th"/>
    <x v="10"/>
    <x v="3"/>
    <x v="1"/>
  </r>
  <r>
    <x v="4"/>
    <x v="1"/>
    <x v="1"/>
    <x v="1100"/>
    <x v="1117"/>
    <s v="5th March 2020"/>
    <s v="5th"/>
    <x v="10"/>
    <x v="3"/>
    <x v="1"/>
  </r>
  <r>
    <x v="4"/>
    <x v="1"/>
    <x v="1"/>
    <x v="1101"/>
    <x v="1118"/>
    <s v="5th March 2020"/>
    <s v="5th"/>
    <x v="10"/>
    <x v="3"/>
    <x v="1"/>
  </r>
  <r>
    <x v="4"/>
    <x v="2"/>
    <x v="2"/>
    <x v="294"/>
    <x v="1119"/>
    <s v="5th March 2020"/>
    <s v="5th"/>
    <x v="10"/>
    <x v="3"/>
    <x v="0"/>
  </r>
  <r>
    <x v="4"/>
    <x v="1"/>
    <x v="1"/>
    <x v="1102"/>
    <x v="1120"/>
    <s v="5th March 2020"/>
    <s v="5th"/>
    <x v="10"/>
    <x v="3"/>
    <x v="1"/>
  </r>
  <r>
    <x v="4"/>
    <x v="5"/>
    <x v="0"/>
    <x v="1103"/>
    <x v="1121"/>
    <s v="5th March 2020"/>
    <s v="5th"/>
    <x v="10"/>
    <x v="3"/>
    <x v="0"/>
  </r>
  <r>
    <x v="4"/>
    <x v="4"/>
    <x v="2"/>
    <x v="1104"/>
    <x v="1122"/>
    <s v="5th March 2020"/>
    <s v="5th"/>
    <x v="10"/>
    <x v="3"/>
    <x v="0"/>
  </r>
  <r>
    <x v="4"/>
    <x v="1"/>
    <x v="1"/>
    <x v="1105"/>
    <x v="1123"/>
    <s v="13th December 2019"/>
    <s v="13th"/>
    <x v="4"/>
    <x v="4"/>
    <x v="1"/>
  </r>
  <r>
    <x v="4"/>
    <x v="2"/>
    <x v="2"/>
    <x v="1106"/>
    <x v="1124"/>
    <s v="13th December 2019"/>
    <s v="13th"/>
    <x v="4"/>
    <x v="4"/>
    <x v="0"/>
  </r>
  <r>
    <x v="4"/>
    <x v="1"/>
    <x v="1"/>
    <x v="1107"/>
    <x v="1125"/>
    <s v="13th December 2019"/>
    <s v="13th"/>
    <x v="4"/>
    <x v="4"/>
    <x v="1"/>
  </r>
  <r>
    <x v="4"/>
    <x v="2"/>
    <x v="2"/>
    <x v="1108"/>
    <x v="1126"/>
    <s v="13th December 2019"/>
    <s v="13th"/>
    <x v="4"/>
    <x v="4"/>
    <x v="0"/>
  </r>
  <r>
    <x v="4"/>
    <x v="4"/>
    <x v="2"/>
    <x v="1109"/>
    <x v="1127"/>
    <s v="13th December 2019"/>
    <s v="13th"/>
    <x v="4"/>
    <x v="4"/>
    <x v="0"/>
  </r>
  <r>
    <x v="4"/>
    <x v="3"/>
    <x v="2"/>
    <x v="1110"/>
    <x v="1128"/>
    <s v="13th December 2019"/>
    <s v="13th"/>
    <x v="4"/>
    <x v="4"/>
    <x v="0"/>
  </r>
  <r>
    <x v="4"/>
    <x v="3"/>
    <x v="2"/>
    <x v="1111"/>
    <x v="1129"/>
    <s v="13th December 2019"/>
    <s v="13th"/>
    <x v="4"/>
    <x v="4"/>
    <x v="0"/>
  </r>
  <r>
    <x v="4"/>
    <x v="6"/>
    <x v="1"/>
    <x v="1112"/>
    <x v="1130"/>
    <s v="13th December 2019"/>
    <s v="13th"/>
    <x v="4"/>
    <x v="4"/>
    <x v="1"/>
  </r>
  <r>
    <x v="4"/>
    <x v="2"/>
    <x v="2"/>
    <x v="1113"/>
    <x v="1131"/>
    <s v="13th December 2019"/>
    <s v="13th"/>
    <x v="4"/>
    <x v="4"/>
    <x v="0"/>
  </r>
  <r>
    <x v="4"/>
    <x v="1"/>
    <x v="1"/>
    <x v="1114"/>
    <x v="1132"/>
    <s v="13th December 2019"/>
    <s v="13th"/>
    <x v="4"/>
    <x v="4"/>
    <x v="1"/>
  </r>
  <r>
    <x v="4"/>
    <x v="6"/>
    <x v="1"/>
    <x v="1115"/>
    <x v="1133"/>
    <s v="13th November 2019"/>
    <s v="13th"/>
    <x v="6"/>
    <x v="4"/>
    <x v="1"/>
  </r>
  <r>
    <x v="4"/>
    <x v="3"/>
    <x v="2"/>
    <x v="1116"/>
    <x v="1134"/>
    <s v="13th November 2019"/>
    <s v="13th"/>
    <x v="6"/>
    <x v="4"/>
    <x v="0"/>
  </r>
  <r>
    <x v="4"/>
    <x v="7"/>
    <x v="0"/>
    <x v="1117"/>
    <x v="1135"/>
    <s v="13th November 2019"/>
    <s v="13th"/>
    <x v="6"/>
    <x v="4"/>
    <x v="1"/>
  </r>
  <r>
    <x v="4"/>
    <x v="8"/>
    <x v="1"/>
    <x v="1118"/>
    <x v="1136"/>
    <s v="13th November 2019"/>
    <s v="13th"/>
    <x v="6"/>
    <x v="4"/>
    <x v="1"/>
  </r>
  <r>
    <x v="4"/>
    <x v="1"/>
    <x v="1"/>
    <x v="1119"/>
    <x v="1137"/>
    <s v="13th November 2019"/>
    <s v="13th"/>
    <x v="6"/>
    <x v="4"/>
    <x v="1"/>
  </r>
  <r>
    <x v="4"/>
    <x v="4"/>
    <x v="2"/>
    <x v="1120"/>
    <x v="1138"/>
    <s v="13th November 2019"/>
    <s v="13th"/>
    <x v="6"/>
    <x v="4"/>
    <x v="0"/>
  </r>
  <r>
    <x v="4"/>
    <x v="4"/>
    <x v="2"/>
    <x v="1121"/>
    <x v="1139"/>
    <s v="13th November 2019"/>
    <s v="13th"/>
    <x v="6"/>
    <x v="4"/>
    <x v="0"/>
  </r>
  <r>
    <x v="4"/>
    <x v="4"/>
    <x v="2"/>
    <x v="1122"/>
    <x v="1140"/>
    <s v="13th November 2019"/>
    <s v="13th"/>
    <x v="6"/>
    <x v="4"/>
    <x v="0"/>
  </r>
  <r>
    <x v="4"/>
    <x v="3"/>
    <x v="2"/>
    <x v="1123"/>
    <x v="1141"/>
    <s v="13th November 2019"/>
    <s v="13th"/>
    <x v="6"/>
    <x v="4"/>
    <x v="0"/>
  </r>
  <r>
    <x v="4"/>
    <x v="4"/>
    <x v="2"/>
    <x v="1124"/>
    <x v="1142"/>
    <s v="13th November 2019"/>
    <s v="13th"/>
    <x v="6"/>
    <x v="4"/>
    <x v="0"/>
  </r>
  <r>
    <x v="4"/>
    <x v="2"/>
    <x v="2"/>
    <x v="1125"/>
    <x v="1143"/>
    <s v="17th September 2019"/>
    <s v="17th"/>
    <x v="2"/>
    <x v="4"/>
    <x v="0"/>
  </r>
  <r>
    <x v="4"/>
    <x v="2"/>
    <x v="2"/>
    <x v="1126"/>
    <x v="1144"/>
    <s v="17th September 2019"/>
    <s v="17th"/>
    <x v="2"/>
    <x v="4"/>
    <x v="0"/>
  </r>
  <r>
    <x v="4"/>
    <x v="5"/>
    <x v="0"/>
    <x v="1127"/>
    <x v="1145"/>
    <s v="17th September 2019"/>
    <s v="17th"/>
    <x v="2"/>
    <x v="4"/>
    <x v="1"/>
  </r>
  <r>
    <x v="4"/>
    <x v="4"/>
    <x v="2"/>
    <x v="1128"/>
    <x v="1146"/>
    <s v="17th September 2019"/>
    <s v="17th"/>
    <x v="2"/>
    <x v="4"/>
    <x v="0"/>
  </r>
  <r>
    <x v="4"/>
    <x v="6"/>
    <x v="1"/>
    <x v="1129"/>
    <x v="1147"/>
    <s v="17th September 2019"/>
    <s v="17th"/>
    <x v="2"/>
    <x v="4"/>
    <x v="0"/>
  </r>
  <r>
    <x v="4"/>
    <x v="3"/>
    <x v="2"/>
    <x v="1130"/>
    <x v="1148"/>
    <s v="17th September 2019"/>
    <s v="17th"/>
    <x v="2"/>
    <x v="4"/>
    <x v="0"/>
  </r>
  <r>
    <x v="4"/>
    <x v="0"/>
    <x v="0"/>
    <x v="1131"/>
    <x v="712"/>
    <s v="17th September 2019"/>
    <s v="17th"/>
    <x v="2"/>
    <x v="4"/>
    <x v="1"/>
  </r>
  <r>
    <x v="4"/>
    <x v="2"/>
    <x v="2"/>
    <x v="1132"/>
    <x v="1149"/>
    <s v="17th September 2019"/>
    <s v="17th"/>
    <x v="2"/>
    <x v="4"/>
    <x v="0"/>
  </r>
  <r>
    <x v="4"/>
    <x v="7"/>
    <x v="0"/>
    <x v="1133"/>
    <x v="1150"/>
    <s v="17th September 2019"/>
    <s v="17th"/>
    <x v="2"/>
    <x v="4"/>
    <x v="0"/>
  </r>
  <r>
    <x v="4"/>
    <x v="4"/>
    <x v="2"/>
    <x v="1134"/>
    <x v="1151"/>
    <s v="17th September 2019"/>
    <s v="17th"/>
    <x v="2"/>
    <x v="4"/>
    <x v="0"/>
  </r>
  <r>
    <x v="4"/>
    <x v="2"/>
    <x v="2"/>
    <x v="963"/>
    <x v="1152"/>
    <s v="21st July 2019"/>
    <s v="21st"/>
    <x v="9"/>
    <x v="4"/>
    <x v="0"/>
  </r>
  <r>
    <x v="4"/>
    <x v="1"/>
    <x v="1"/>
    <x v="1135"/>
    <x v="1153"/>
    <s v="21st July 2019"/>
    <s v="21st"/>
    <x v="9"/>
    <x v="4"/>
    <x v="1"/>
  </r>
  <r>
    <x v="4"/>
    <x v="1"/>
    <x v="1"/>
    <x v="1136"/>
    <x v="1154"/>
    <s v="21st July 2019"/>
    <s v="21st"/>
    <x v="9"/>
    <x v="4"/>
    <x v="1"/>
  </r>
  <r>
    <x v="4"/>
    <x v="9"/>
    <x v="1"/>
    <x v="1137"/>
    <x v="1155"/>
    <s v="21st July 2019"/>
    <s v="21st"/>
    <x v="9"/>
    <x v="4"/>
    <x v="1"/>
  </r>
  <r>
    <x v="4"/>
    <x v="9"/>
    <x v="1"/>
    <x v="1138"/>
    <x v="1156"/>
    <s v="21st July 2019"/>
    <s v="21st"/>
    <x v="9"/>
    <x v="4"/>
    <x v="1"/>
  </r>
  <r>
    <x v="4"/>
    <x v="8"/>
    <x v="1"/>
    <x v="1139"/>
    <x v="1157"/>
    <s v="21st July 2019"/>
    <s v="21st"/>
    <x v="9"/>
    <x v="4"/>
    <x v="1"/>
  </r>
  <r>
    <x v="4"/>
    <x v="2"/>
    <x v="2"/>
    <x v="1140"/>
    <x v="1158"/>
    <s v="21st July 2019"/>
    <s v="21st"/>
    <x v="9"/>
    <x v="4"/>
    <x v="0"/>
  </r>
  <r>
    <x v="4"/>
    <x v="1"/>
    <x v="1"/>
    <x v="1141"/>
    <x v="1159"/>
    <s v="21st July 2019"/>
    <s v="21st"/>
    <x v="9"/>
    <x v="4"/>
    <x v="1"/>
  </r>
  <r>
    <x v="4"/>
    <x v="2"/>
    <x v="2"/>
    <x v="1142"/>
    <x v="587"/>
    <s v="21st July 2019"/>
    <s v="21st"/>
    <x v="9"/>
    <x v="4"/>
    <x v="0"/>
  </r>
  <r>
    <x v="4"/>
    <x v="6"/>
    <x v="1"/>
    <x v="1143"/>
    <x v="1160"/>
    <s v="21st July 2019"/>
    <s v="21st"/>
    <x v="9"/>
    <x v="4"/>
    <x v="1"/>
  </r>
  <r>
    <x v="4"/>
    <x v="4"/>
    <x v="2"/>
    <x v="1144"/>
    <x v="1161"/>
    <s v="31st May 2019"/>
    <s v="31st"/>
    <x v="7"/>
    <x v="4"/>
    <x v="0"/>
  </r>
  <r>
    <x v="4"/>
    <x v="2"/>
    <x v="2"/>
    <x v="1145"/>
    <x v="1162"/>
    <s v="31st May 2019"/>
    <s v="31st"/>
    <x v="7"/>
    <x v="4"/>
    <x v="0"/>
  </r>
  <r>
    <x v="4"/>
    <x v="6"/>
    <x v="1"/>
    <x v="1146"/>
    <x v="1163"/>
    <s v="31st May 2019"/>
    <s v="31st"/>
    <x v="7"/>
    <x v="4"/>
    <x v="1"/>
  </r>
  <r>
    <x v="4"/>
    <x v="1"/>
    <x v="1"/>
    <x v="1147"/>
    <x v="1164"/>
    <s v="31st May 2019"/>
    <s v="31st"/>
    <x v="7"/>
    <x v="4"/>
    <x v="1"/>
  </r>
  <r>
    <x v="4"/>
    <x v="0"/>
    <x v="0"/>
    <x v="1148"/>
    <x v="1165"/>
    <s v="31st May 2019"/>
    <s v="31st"/>
    <x v="7"/>
    <x v="4"/>
    <x v="1"/>
  </r>
  <r>
    <x v="4"/>
    <x v="7"/>
    <x v="0"/>
    <x v="1149"/>
    <x v="1166"/>
    <s v="31st May 2019"/>
    <s v="31st"/>
    <x v="7"/>
    <x v="4"/>
    <x v="1"/>
  </r>
  <r>
    <x v="4"/>
    <x v="0"/>
    <x v="0"/>
    <x v="1150"/>
    <x v="1167"/>
    <s v="31st May 2019"/>
    <s v="31st"/>
    <x v="7"/>
    <x v="4"/>
    <x v="1"/>
  </r>
  <r>
    <x v="4"/>
    <x v="1"/>
    <x v="1"/>
    <x v="1151"/>
    <x v="1168"/>
    <s v="31st May 2019"/>
    <s v="31st"/>
    <x v="7"/>
    <x v="4"/>
    <x v="1"/>
  </r>
  <r>
    <x v="4"/>
    <x v="1"/>
    <x v="1"/>
    <x v="1152"/>
    <x v="1169"/>
    <s v="31st May 2019"/>
    <s v="31st"/>
    <x v="7"/>
    <x v="4"/>
    <x v="1"/>
  </r>
  <r>
    <x v="4"/>
    <x v="4"/>
    <x v="2"/>
    <x v="1153"/>
    <x v="1170"/>
    <s v="31st May 2019"/>
    <s v="31st"/>
    <x v="7"/>
    <x v="4"/>
    <x v="0"/>
  </r>
  <r>
    <x v="4"/>
    <x v="8"/>
    <x v="1"/>
    <x v="1154"/>
    <x v="1171"/>
    <s v="18th April 2019"/>
    <s v="18th"/>
    <x v="1"/>
    <x v="4"/>
    <x v="1"/>
  </r>
  <r>
    <x v="4"/>
    <x v="2"/>
    <x v="2"/>
    <x v="1155"/>
    <x v="1172"/>
    <s v="18th April 2019"/>
    <s v="18th"/>
    <x v="1"/>
    <x v="4"/>
    <x v="0"/>
  </r>
  <r>
    <x v="4"/>
    <x v="4"/>
    <x v="2"/>
    <x v="1156"/>
    <x v="1173"/>
    <s v="18th April 2019"/>
    <s v="18th"/>
    <x v="1"/>
    <x v="4"/>
    <x v="0"/>
  </r>
  <r>
    <x v="4"/>
    <x v="1"/>
    <x v="1"/>
    <x v="1157"/>
    <x v="1174"/>
    <s v="18th April 2019"/>
    <s v="18th"/>
    <x v="1"/>
    <x v="4"/>
    <x v="1"/>
  </r>
  <r>
    <x v="4"/>
    <x v="2"/>
    <x v="2"/>
    <x v="1158"/>
    <x v="1175"/>
    <s v="18th April 2019"/>
    <s v="18th"/>
    <x v="1"/>
    <x v="4"/>
    <x v="0"/>
  </r>
  <r>
    <x v="4"/>
    <x v="8"/>
    <x v="1"/>
    <x v="1159"/>
    <x v="1176"/>
    <s v="18th April 2019"/>
    <s v="18th"/>
    <x v="1"/>
    <x v="4"/>
    <x v="1"/>
  </r>
  <r>
    <x v="4"/>
    <x v="2"/>
    <x v="2"/>
    <x v="1160"/>
    <x v="1177"/>
    <s v="18th April 2019"/>
    <s v="18th"/>
    <x v="1"/>
    <x v="4"/>
    <x v="0"/>
  </r>
  <r>
    <x v="4"/>
    <x v="2"/>
    <x v="2"/>
    <x v="1161"/>
    <x v="1178"/>
    <s v="18th April 2019"/>
    <s v="18th"/>
    <x v="1"/>
    <x v="4"/>
    <x v="0"/>
  </r>
  <r>
    <x v="4"/>
    <x v="8"/>
    <x v="1"/>
    <x v="1162"/>
    <x v="1179"/>
    <s v="18th April 2019"/>
    <s v="18th"/>
    <x v="1"/>
    <x v="4"/>
    <x v="1"/>
  </r>
  <r>
    <x v="4"/>
    <x v="1"/>
    <x v="1"/>
    <x v="765"/>
    <x v="1180"/>
    <s v="18th April 2019"/>
    <s v="18th"/>
    <x v="1"/>
    <x v="4"/>
    <x v="1"/>
  </r>
  <r>
    <x v="4"/>
    <x v="6"/>
    <x v="1"/>
    <x v="1163"/>
    <x v="1181"/>
    <s v="12th February 2019"/>
    <s v="12th"/>
    <x v="5"/>
    <x v="4"/>
    <x v="1"/>
  </r>
  <r>
    <x v="4"/>
    <x v="1"/>
    <x v="1"/>
    <x v="1164"/>
    <x v="1182"/>
    <s v="12th February 2019"/>
    <s v="12th"/>
    <x v="5"/>
    <x v="4"/>
    <x v="1"/>
  </r>
  <r>
    <x v="4"/>
    <x v="5"/>
    <x v="0"/>
    <x v="1165"/>
    <x v="1183"/>
    <s v="12th February 2019"/>
    <s v="12th"/>
    <x v="5"/>
    <x v="4"/>
    <x v="0"/>
  </r>
  <r>
    <x v="4"/>
    <x v="1"/>
    <x v="1"/>
    <x v="1166"/>
    <x v="1184"/>
    <s v="12th February 2019"/>
    <s v="12th"/>
    <x v="5"/>
    <x v="4"/>
    <x v="1"/>
  </r>
  <r>
    <x v="4"/>
    <x v="1"/>
    <x v="1"/>
    <x v="1167"/>
    <x v="1185"/>
    <s v="12th February 2019"/>
    <s v="12th"/>
    <x v="5"/>
    <x v="4"/>
    <x v="1"/>
  </r>
  <r>
    <x v="4"/>
    <x v="1"/>
    <x v="1"/>
    <x v="1168"/>
    <x v="1186"/>
    <s v="12th February 2019"/>
    <s v="12th"/>
    <x v="5"/>
    <x v="4"/>
    <x v="1"/>
  </r>
  <r>
    <x v="4"/>
    <x v="0"/>
    <x v="0"/>
    <x v="1169"/>
    <x v="1187"/>
    <s v="12th February 2019"/>
    <s v="12th"/>
    <x v="5"/>
    <x v="4"/>
    <x v="0"/>
  </r>
  <r>
    <x v="4"/>
    <x v="1"/>
    <x v="1"/>
    <x v="1170"/>
    <x v="1188"/>
    <s v="12th February 2019"/>
    <s v="12th"/>
    <x v="5"/>
    <x v="4"/>
    <x v="1"/>
  </r>
  <r>
    <x v="4"/>
    <x v="1"/>
    <x v="1"/>
    <x v="1171"/>
    <x v="1189"/>
    <s v="12th February 2019"/>
    <s v="12th"/>
    <x v="5"/>
    <x v="4"/>
    <x v="1"/>
  </r>
  <r>
    <x v="4"/>
    <x v="1"/>
    <x v="1"/>
    <x v="934"/>
    <x v="1190"/>
    <s v="12th February 2019"/>
    <s v="12th"/>
    <x v="5"/>
    <x v="4"/>
    <x v="1"/>
  </r>
  <r>
    <x v="4"/>
    <x v="1"/>
    <x v="1"/>
    <x v="1172"/>
    <x v="1191"/>
    <s v="21st December 2018"/>
    <s v="21st"/>
    <x v="4"/>
    <x v="5"/>
    <x v="1"/>
  </r>
  <r>
    <x v="4"/>
    <x v="1"/>
    <x v="1"/>
    <x v="1173"/>
    <x v="1192"/>
    <s v="21st December 2018"/>
    <s v="21st"/>
    <x v="4"/>
    <x v="5"/>
    <x v="1"/>
  </r>
  <r>
    <x v="4"/>
    <x v="8"/>
    <x v="1"/>
    <x v="1174"/>
    <x v="1193"/>
    <s v="21st December 2018"/>
    <s v="21st"/>
    <x v="4"/>
    <x v="5"/>
    <x v="1"/>
  </r>
  <r>
    <x v="4"/>
    <x v="6"/>
    <x v="1"/>
    <x v="1175"/>
    <x v="1194"/>
    <s v="21st December 2018"/>
    <s v="21st"/>
    <x v="4"/>
    <x v="5"/>
    <x v="1"/>
  </r>
  <r>
    <x v="4"/>
    <x v="8"/>
    <x v="1"/>
    <x v="1176"/>
    <x v="1195"/>
    <s v="21st December 2018"/>
    <s v="21st"/>
    <x v="4"/>
    <x v="5"/>
    <x v="1"/>
  </r>
  <r>
    <x v="4"/>
    <x v="1"/>
    <x v="1"/>
    <x v="1177"/>
    <x v="1196"/>
    <s v="21st December 2018"/>
    <s v="21st"/>
    <x v="4"/>
    <x v="5"/>
    <x v="1"/>
  </r>
  <r>
    <x v="4"/>
    <x v="3"/>
    <x v="2"/>
    <x v="1178"/>
    <x v="1197"/>
    <s v="21st December 2018"/>
    <s v="21st"/>
    <x v="4"/>
    <x v="5"/>
    <x v="0"/>
  </r>
  <r>
    <x v="4"/>
    <x v="1"/>
    <x v="1"/>
    <x v="1179"/>
    <x v="1198"/>
    <s v="21st December 2018"/>
    <s v="21st"/>
    <x v="4"/>
    <x v="5"/>
    <x v="1"/>
  </r>
  <r>
    <x v="4"/>
    <x v="9"/>
    <x v="1"/>
    <x v="1180"/>
    <x v="1199"/>
    <s v="21st December 2018"/>
    <s v="21st"/>
    <x v="4"/>
    <x v="5"/>
    <x v="1"/>
  </r>
  <r>
    <x v="4"/>
    <x v="1"/>
    <x v="1"/>
    <x v="1181"/>
    <x v="1200"/>
    <s v="21st December 2018"/>
    <s v="21st"/>
    <x v="4"/>
    <x v="5"/>
    <x v="1"/>
  </r>
  <r>
    <x v="4"/>
    <x v="1"/>
    <x v="1"/>
    <x v="1182"/>
    <x v="1201"/>
    <s v="4th October 2018"/>
    <s v="4th"/>
    <x v="0"/>
    <x v="5"/>
    <x v="1"/>
  </r>
  <r>
    <x v="4"/>
    <x v="5"/>
    <x v="0"/>
    <x v="1183"/>
    <x v="1202"/>
    <s v="4th October 2018"/>
    <s v="4th"/>
    <x v="0"/>
    <x v="5"/>
    <x v="1"/>
  </r>
  <r>
    <x v="4"/>
    <x v="7"/>
    <x v="0"/>
    <x v="1184"/>
    <x v="1203"/>
    <s v="4th October 2018"/>
    <s v="4th"/>
    <x v="0"/>
    <x v="5"/>
    <x v="0"/>
  </r>
  <r>
    <x v="4"/>
    <x v="3"/>
    <x v="2"/>
    <x v="1185"/>
    <x v="1204"/>
    <s v="4th October 2018"/>
    <s v="4th"/>
    <x v="0"/>
    <x v="5"/>
    <x v="0"/>
  </r>
  <r>
    <x v="4"/>
    <x v="1"/>
    <x v="1"/>
    <x v="1186"/>
    <x v="1205"/>
    <s v="4th October 2018"/>
    <s v="4th"/>
    <x v="0"/>
    <x v="5"/>
    <x v="1"/>
  </r>
  <r>
    <x v="4"/>
    <x v="5"/>
    <x v="0"/>
    <x v="1187"/>
    <x v="1206"/>
    <s v="4th October 2018"/>
    <s v="4th"/>
    <x v="0"/>
    <x v="5"/>
    <x v="0"/>
  </r>
  <r>
    <x v="4"/>
    <x v="4"/>
    <x v="2"/>
    <x v="1188"/>
    <x v="1207"/>
    <s v="4th October 2018"/>
    <s v="4th"/>
    <x v="0"/>
    <x v="5"/>
    <x v="0"/>
  </r>
  <r>
    <x v="4"/>
    <x v="1"/>
    <x v="1"/>
    <x v="1189"/>
    <x v="1208"/>
    <s v="4th October 2018"/>
    <s v="4th"/>
    <x v="0"/>
    <x v="5"/>
    <x v="1"/>
  </r>
  <r>
    <x v="4"/>
    <x v="2"/>
    <x v="2"/>
    <x v="1190"/>
    <x v="1209"/>
    <s v="4th October 2018"/>
    <s v="4th"/>
    <x v="0"/>
    <x v="5"/>
    <x v="0"/>
  </r>
  <r>
    <x v="4"/>
    <x v="3"/>
    <x v="2"/>
    <x v="1191"/>
    <x v="1210"/>
    <s v="4th October 2018"/>
    <s v="4th"/>
    <x v="0"/>
    <x v="5"/>
    <x v="0"/>
  </r>
  <r>
    <x v="4"/>
    <x v="3"/>
    <x v="2"/>
    <x v="1192"/>
    <x v="1211"/>
    <s v="28th June 2018"/>
    <s v="28th"/>
    <x v="3"/>
    <x v="5"/>
    <x v="0"/>
  </r>
  <r>
    <x v="4"/>
    <x v="4"/>
    <x v="2"/>
    <x v="1193"/>
    <x v="1212"/>
    <s v="28th June 2018"/>
    <s v="28th"/>
    <x v="3"/>
    <x v="5"/>
    <x v="0"/>
  </r>
  <r>
    <x v="4"/>
    <x v="1"/>
    <x v="1"/>
    <x v="1194"/>
    <x v="1213"/>
    <s v="28th June 2018"/>
    <s v="28th"/>
    <x v="3"/>
    <x v="5"/>
    <x v="1"/>
  </r>
  <r>
    <x v="4"/>
    <x v="1"/>
    <x v="1"/>
    <x v="1195"/>
    <x v="1214"/>
    <s v="28th June 2018"/>
    <s v="28th"/>
    <x v="3"/>
    <x v="5"/>
    <x v="1"/>
  </r>
  <r>
    <x v="4"/>
    <x v="4"/>
    <x v="2"/>
    <x v="1196"/>
    <x v="1212"/>
    <s v="28th June 2018"/>
    <s v="28th"/>
    <x v="3"/>
    <x v="5"/>
    <x v="0"/>
  </r>
  <r>
    <x v="4"/>
    <x v="2"/>
    <x v="2"/>
    <x v="1197"/>
    <x v="1215"/>
    <s v="28th June 2018"/>
    <s v="28th"/>
    <x v="3"/>
    <x v="5"/>
    <x v="0"/>
  </r>
  <r>
    <x v="4"/>
    <x v="2"/>
    <x v="2"/>
    <x v="1198"/>
    <x v="1216"/>
    <s v="28th June 2018"/>
    <s v="28th"/>
    <x v="3"/>
    <x v="5"/>
    <x v="1"/>
  </r>
  <r>
    <x v="4"/>
    <x v="2"/>
    <x v="2"/>
    <x v="1199"/>
    <x v="1217"/>
    <s v="28th June 2018"/>
    <s v="28th"/>
    <x v="3"/>
    <x v="5"/>
    <x v="1"/>
  </r>
  <r>
    <x v="4"/>
    <x v="2"/>
    <x v="2"/>
    <x v="1200"/>
    <x v="1218"/>
    <s v="28th June 2018"/>
    <s v="28th"/>
    <x v="3"/>
    <x v="5"/>
    <x v="0"/>
  </r>
  <r>
    <x v="4"/>
    <x v="1"/>
    <x v="1"/>
    <x v="1201"/>
    <x v="1219"/>
    <s v="28th June 2018"/>
    <s v="28th"/>
    <x v="3"/>
    <x v="5"/>
    <x v="1"/>
  </r>
  <r>
    <x v="4"/>
    <x v="6"/>
    <x v="1"/>
    <x v="1202"/>
    <x v="1220"/>
    <s v="27th April 2018"/>
    <s v="27th"/>
    <x v="1"/>
    <x v="5"/>
    <x v="1"/>
  </r>
  <r>
    <x v="4"/>
    <x v="6"/>
    <x v="1"/>
    <x v="1203"/>
    <x v="1221"/>
    <s v="27th April 2018"/>
    <s v="27th"/>
    <x v="1"/>
    <x v="5"/>
    <x v="1"/>
  </r>
  <r>
    <x v="4"/>
    <x v="6"/>
    <x v="1"/>
    <x v="1204"/>
    <x v="1222"/>
    <s v="27th April 2018"/>
    <s v="27th"/>
    <x v="1"/>
    <x v="5"/>
    <x v="1"/>
  </r>
  <r>
    <x v="4"/>
    <x v="6"/>
    <x v="1"/>
    <x v="1205"/>
    <x v="1223"/>
    <s v="27th April 2018"/>
    <s v="27th"/>
    <x v="1"/>
    <x v="5"/>
    <x v="1"/>
  </r>
  <r>
    <x v="4"/>
    <x v="1"/>
    <x v="1"/>
    <x v="1206"/>
    <x v="1224"/>
    <s v="27th April 2018"/>
    <s v="27th"/>
    <x v="1"/>
    <x v="5"/>
    <x v="1"/>
  </r>
  <r>
    <x v="4"/>
    <x v="2"/>
    <x v="2"/>
    <x v="1207"/>
    <x v="1225"/>
    <s v="27th April 2018"/>
    <s v="27th"/>
    <x v="1"/>
    <x v="5"/>
    <x v="0"/>
  </r>
  <r>
    <x v="4"/>
    <x v="3"/>
    <x v="2"/>
    <x v="1208"/>
    <x v="1226"/>
    <s v="27th April 2018"/>
    <s v="27th"/>
    <x v="1"/>
    <x v="5"/>
    <x v="0"/>
  </r>
  <r>
    <x v="4"/>
    <x v="2"/>
    <x v="2"/>
    <x v="1209"/>
    <x v="1144"/>
    <s v="27th April 2018"/>
    <s v="27th"/>
    <x v="1"/>
    <x v="5"/>
    <x v="0"/>
  </r>
  <r>
    <x v="4"/>
    <x v="2"/>
    <x v="2"/>
    <x v="1210"/>
    <x v="1227"/>
    <s v="27th April 2018"/>
    <s v="27th"/>
    <x v="1"/>
    <x v="5"/>
    <x v="0"/>
  </r>
  <r>
    <x v="4"/>
    <x v="4"/>
    <x v="2"/>
    <x v="1211"/>
    <x v="1228"/>
    <s v="27th April 2018"/>
    <s v="27th"/>
    <x v="1"/>
    <x v="5"/>
    <x v="0"/>
  </r>
  <r>
    <x v="4"/>
    <x v="4"/>
    <x v="2"/>
    <x v="1212"/>
    <x v="1229"/>
    <s v="26th February 2018"/>
    <s v="26th"/>
    <x v="5"/>
    <x v="5"/>
    <x v="0"/>
  </r>
  <r>
    <x v="4"/>
    <x v="0"/>
    <x v="0"/>
    <x v="1213"/>
    <x v="1230"/>
    <s v="26th February 2018"/>
    <s v="26th"/>
    <x v="5"/>
    <x v="5"/>
    <x v="0"/>
  </r>
  <r>
    <x v="4"/>
    <x v="0"/>
    <x v="0"/>
    <x v="1214"/>
    <x v="1231"/>
    <s v="26th February 2018"/>
    <s v="26th"/>
    <x v="5"/>
    <x v="5"/>
    <x v="1"/>
  </r>
  <r>
    <x v="4"/>
    <x v="3"/>
    <x v="2"/>
    <x v="1215"/>
    <x v="1232"/>
    <s v="26th February 2018"/>
    <s v="26th"/>
    <x v="5"/>
    <x v="5"/>
    <x v="0"/>
  </r>
  <r>
    <x v="4"/>
    <x v="7"/>
    <x v="0"/>
    <x v="1216"/>
    <x v="1233"/>
    <s v="26th February 2018"/>
    <s v="26th"/>
    <x v="5"/>
    <x v="5"/>
    <x v="0"/>
  </r>
  <r>
    <x v="4"/>
    <x v="8"/>
    <x v="1"/>
    <x v="1217"/>
    <x v="1234"/>
    <s v="26th February 2018"/>
    <s v="26th"/>
    <x v="5"/>
    <x v="5"/>
    <x v="1"/>
  </r>
  <r>
    <x v="4"/>
    <x v="7"/>
    <x v="0"/>
    <x v="1218"/>
    <x v="1235"/>
    <s v="26th February 2018"/>
    <s v="26th"/>
    <x v="5"/>
    <x v="5"/>
    <x v="1"/>
  </r>
  <r>
    <x v="4"/>
    <x v="1"/>
    <x v="1"/>
    <x v="1219"/>
    <x v="1236"/>
    <s v="26th February 2018"/>
    <s v="26th"/>
    <x v="5"/>
    <x v="5"/>
    <x v="1"/>
  </r>
  <r>
    <x v="4"/>
    <x v="6"/>
    <x v="1"/>
    <x v="1220"/>
    <x v="1237"/>
    <s v="26th February 2018"/>
    <s v="26th"/>
    <x v="5"/>
    <x v="5"/>
    <x v="0"/>
  </r>
  <r>
    <x v="4"/>
    <x v="1"/>
    <x v="1"/>
    <x v="1221"/>
    <x v="1238"/>
    <s v="26th February 2018"/>
    <s v="26th"/>
    <x v="5"/>
    <x v="5"/>
    <x v="1"/>
  </r>
  <r>
    <x v="4"/>
    <x v="4"/>
    <x v="2"/>
    <x v="1222"/>
    <x v="1228"/>
    <s v="20th November 2017"/>
    <s v="20th"/>
    <x v="6"/>
    <x v="6"/>
    <x v="0"/>
  </r>
  <r>
    <x v="4"/>
    <x v="1"/>
    <x v="1"/>
    <x v="1223"/>
    <x v="1239"/>
    <s v="20th November 2017"/>
    <s v="20th"/>
    <x v="6"/>
    <x v="6"/>
    <x v="1"/>
  </r>
  <r>
    <x v="4"/>
    <x v="2"/>
    <x v="2"/>
    <x v="1224"/>
    <x v="1240"/>
    <s v="20th November 2017"/>
    <s v="20th"/>
    <x v="6"/>
    <x v="6"/>
    <x v="0"/>
  </r>
  <r>
    <x v="4"/>
    <x v="1"/>
    <x v="1"/>
    <x v="1225"/>
    <x v="1241"/>
    <s v="20th November 2017"/>
    <s v="20th"/>
    <x v="6"/>
    <x v="6"/>
    <x v="1"/>
  </r>
  <r>
    <x v="4"/>
    <x v="7"/>
    <x v="0"/>
    <x v="1226"/>
    <x v="1242"/>
    <s v="20th November 2017"/>
    <s v="20th"/>
    <x v="6"/>
    <x v="6"/>
    <x v="1"/>
  </r>
  <r>
    <x v="4"/>
    <x v="2"/>
    <x v="2"/>
    <x v="1227"/>
    <x v="1243"/>
    <s v="20th November 2017"/>
    <s v="20th"/>
    <x v="6"/>
    <x v="6"/>
    <x v="0"/>
  </r>
  <r>
    <x v="4"/>
    <x v="4"/>
    <x v="2"/>
    <x v="1228"/>
    <x v="1145"/>
    <s v="20th November 2017"/>
    <s v="20th"/>
    <x v="6"/>
    <x v="6"/>
    <x v="0"/>
  </r>
  <r>
    <x v="4"/>
    <x v="0"/>
    <x v="0"/>
    <x v="1229"/>
    <x v="1244"/>
    <s v="20th November 2017"/>
    <s v="20th"/>
    <x v="6"/>
    <x v="6"/>
    <x v="1"/>
  </r>
  <r>
    <x v="4"/>
    <x v="1"/>
    <x v="1"/>
    <x v="1230"/>
    <x v="1245"/>
    <s v="20th November 2017"/>
    <s v="20th"/>
    <x v="6"/>
    <x v="6"/>
    <x v="1"/>
  </r>
  <r>
    <x v="4"/>
    <x v="4"/>
    <x v="2"/>
    <x v="1231"/>
    <x v="1246"/>
    <s v="20th November 2017"/>
    <s v="20th"/>
    <x v="6"/>
    <x v="6"/>
    <x v="0"/>
  </r>
  <r>
    <x v="4"/>
    <x v="8"/>
    <x v="1"/>
    <x v="1232"/>
    <x v="1247"/>
    <s v="12th August 2017"/>
    <s v="12th"/>
    <x v="8"/>
    <x v="6"/>
    <x v="1"/>
  </r>
  <r>
    <x v="4"/>
    <x v="4"/>
    <x v="2"/>
    <x v="1233"/>
    <x v="1248"/>
    <s v="12th August 2017"/>
    <s v="12th"/>
    <x v="8"/>
    <x v="6"/>
    <x v="0"/>
  </r>
  <r>
    <x v="4"/>
    <x v="8"/>
    <x v="1"/>
    <x v="1234"/>
    <x v="1249"/>
    <s v="12th August 2017"/>
    <s v="12th"/>
    <x v="8"/>
    <x v="6"/>
    <x v="1"/>
  </r>
  <r>
    <x v="4"/>
    <x v="4"/>
    <x v="2"/>
    <x v="1235"/>
    <x v="1228"/>
    <s v="12th August 2017"/>
    <s v="12th"/>
    <x v="8"/>
    <x v="6"/>
    <x v="0"/>
  </r>
  <r>
    <x v="4"/>
    <x v="1"/>
    <x v="1"/>
    <x v="1236"/>
    <x v="1250"/>
    <s v="12th August 2017"/>
    <s v="12th"/>
    <x v="8"/>
    <x v="6"/>
    <x v="1"/>
  </r>
  <r>
    <x v="4"/>
    <x v="4"/>
    <x v="2"/>
    <x v="1237"/>
    <x v="1251"/>
    <s v="12th August 2017"/>
    <s v="12th"/>
    <x v="8"/>
    <x v="6"/>
    <x v="0"/>
  </r>
  <r>
    <x v="4"/>
    <x v="4"/>
    <x v="2"/>
    <x v="1238"/>
    <x v="1252"/>
    <s v="12th August 2017"/>
    <s v="12th"/>
    <x v="8"/>
    <x v="6"/>
    <x v="0"/>
  </r>
  <r>
    <x v="4"/>
    <x v="7"/>
    <x v="0"/>
    <x v="1239"/>
    <x v="1253"/>
    <s v="12th August 2017"/>
    <s v="12th"/>
    <x v="8"/>
    <x v="6"/>
    <x v="1"/>
  </r>
  <r>
    <x v="4"/>
    <x v="9"/>
    <x v="1"/>
    <x v="1240"/>
    <x v="1254"/>
    <s v="12th August 2017"/>
    <s v="12th"/>
    <x v="8"/>
    <x v="6"/>
    <x v="1"/>
  </r>
  <r>
    <x v="4"/>
    <x v="3"/>
    <x v="2"/>
    <x v="1241"/>
    <x v="1255"/>
    <s v="12th August 2017"/>
    <s v="12th"/>
    <x v="8"/>
    <x v="6"/>
    <x v="1"/>
  </r>
  <r>
    <x v="4"/>
    <x v="2"/>
    <x v="2"/>
    <x v="1242"/>
    <x v="1256"/>
    <s v="17th February 2017"/>
    <s v="17th"/>
    <x v="5"/>
    <x v="6"/>
    <x v="0"/>
  </r>
  <r>
    <x v="4"/>
    <x v="2"/>
    <x v="2"/>
    <x v="1243"/>
    <x v="1257"/>
    <s v="17th February 2017"/>
    <s v="17th"/>
    <x v="5"/>
    <x v="6"/>
    <x v="0"/>
  </r>
  <r>
    <x v="4"/>
    <x v="6"/>
    <x v="1"/>
    <x v="690"/>
    <x v="1258"/>
    <s v="17th February 2017"/>
    <s v="17th"/>
    <x v="5"/>
    <x v="6"/>
    <x v="1"/>
  </r>
  <r>
    <x v="4"/>
    <x v="6"/>
    <x v="1"/>
    <x v="1244"/>
    <x v="1259"/>
    <s v="17th February 2017"/>
    <s v="17th"/>
    <x v="5"/>
    <x v="6"/>
    <x v="1"/>
  </r>
  <r>
    <x v="4"/>
    <x v="4"/>
    <x v="2"/>
    <x v="1245"/>
    <x v="1260"/>
    <s v="17th February 2017"/>
    <s v="17th"/>
    <x v="5"/>
    <x v="6"/>
    <x v="0"/>
  </r>
  <r>
    <x v="4"/>
    <x v="1"/>
    <x v="1"/>
    <x v="1246"/>
    <x v="1261"/>
    <s v="17th February 2017"/>
    <s v="17th"/>
    <x v="5"/>
    <x v="6"/>
    <x v="1"/>
  </r>
  <r>
    <x v="4"/>
    <x v="3"/>
    <x v="2"/>
    <x v="1247"/>
    <x v="1262"/>
    <s v="17th February 2017"/>
    <s v="17th"/>
    <x v="5"/>
    <x v="6"/>
    <x v="0"/>
  </r>
  <r>
    <x v="4"/>
    <x v="1"/>
    <x v="1"/>
    <x v="1248"/>
    <x v="1263"/>
    <s v="17th February 2017"/>
    <s v="17th"/>
    <x v="5"/>
    <x v="6"/>
    <x v="1"/>
  </r>
  <r>
    <x v="4"/>
    <x v="4"/>
    <x v="2"/>
    <x v="1249"/>
    <x v="1228"/>
    <s v="17th February 2017"/>
    <s v="17th"/>
    <x v="5"/>
    <x v="6"/>
    <x v="0"/>
  </r>
  <r>
    <x v="4"/>
    <x v="4"/>
    <x v="2"/>
    <x v="1250"/>
    <x v="1264"/>
    <s v="17th February 2017"/>
    <s v="17th"/>
    <x v="5"/>
    <x v="6"/>
    <x v="0"/>
  </r>
  <r>
    <x v="4"/>
    <x v="3"/>
    <x v="2"/>
    <x v="1251"/>
    <x v="1228"/>
    <s v="17th November 2016"/>
    <s v="17th"/>
    <x v="6"/>
    <x v="9"/>
    <x v="0"/>
  </r>
  <r>
    <x v="4"/>
    <x v="7"/>
    <x v="0"/>
    <x v="1252"/>
    <x v="1265"/>
    <s v="17th November 2016"/>
    <s v="17th"/>
    <x v="6"/>
    <x v="9"/>
    <x v="0"/>
  </r>
  <r>
    <x v="4"/>
    <x v="7"/>
    <x v="0"/>
    <x v="1253"/>
    <x v="1266"/>
    <s v="17th November 2016"/>
    <s v="17th"/>
    <x v="6"/>
    <x v="9"/>
    <x v="1"/>
  </r>
  <r>
    <x v="4"/>
    <x v="0"/>
    <x v="0"/>
    <x v="1254"/>
    <x v="1267"/>
    <s v="17th November 2016"/>
    <s v="17th"/>
    <x v="6"/>
    <x v="9"/>
    <x v="0"/>
  </r>
  <r>
    <x v="4"/>
    <x v="4"/>
    <x v="2"/>
    <x v="1255"/>
    <x v="1268"/>
    <s v="17th November 2016"/>
    <s v="17th"/>
    <x v="6"/>
    <x v="9"/>
    <x v="0"/>
  </r>
  <r>
    <x v="4"/>
    <x v="2"/>
    <x v="2"/>
    <x v="1256"/>
    <x v="1269"/>
    <s v="17th November 2016"/>
    <s v="17th"/>
    <x v="6"/>
    <x v="9"/>
    <x v="0"/>
  </r>
  <r>
    <x v="4"/>
    <x v="2"/>
    <x v="2"/>
    <x v="1257"/>
    <x v="1270"/>
    <s v="17th November 2016"/>
    <s v="17th"/>
    <x v="6"/>
    <x v="9"/>
    <x v="0"/>
  </r>
  <r>
    <x v="4"/>
    <x v="2"/>
    <x v="2"/>
    <x v="1258"/>
    <x v="1271"/>
    <s v="17th November 2016"/>
    <s v="17th"/>
    <x v="6"/>
    <x v="9"/>
    <x v="0"/>
  </r>
  <r>
    <x v="4"/>
    <x v="2"/>
    <x v="2"/>
    <x v="1259"/>
    <x v="1272"/>
    <s v="17th November 2016"/>
    <s v="17th"/>
    <x v="6"/>
    <x v="9"/>
    <x v="0"/>
  </r>
  <r>
    <x v="4"/>
    <x v="2"/>
    <x v="2"/>
    <x v="1260"/>
    <x v="1273"/>
    <s v="17th November 2016"/>
    <s v="17th"/>
    <x v="6"/>
    <x v="9"/>
    <x v="0"/>
  </r>
  <r>
    <x v="4"/>
    <x v="2"/>
    <x v="2"/>
    <x v="1261"/>
    <x v="1274"/>
    <s v="30th July 2016"/>
    <s v="30th"/>
    <x v="9"/>
    <x v="9"/>
    <x v="0"/>
  </r>
  <r>
    <x v="4"/>
    <x v="3"/>
    <x v="2"/>
    <x v="1262"/>
    <x v="1275"/>
    <s v="30th July 2016"/>
    <s v="30th"/>
    <x v="9"/>
    <x v="9"/>
    <x v="0"/>
  </r>
  <r>
    <x v="4"/>
    <x v="2"/>
    <x v="2"/>
    <x v="1263"/>
    <x v="1276"/>
    <s v="30th July 2016"/>
    <s v="30th"/>
    <x v="9"/>
    <x v="9"/>
    <x v="0"/>
  </r>
  <r>
    <x v="4"/>
    <x v="1"/>
    <x v="1"/>
    <x v="1264"/>
    <x v="1277"/>
    <s v="30th July 2016"/>
    <s v="30th"/>
    <x v="9"/>
    <x v="9"/>
    <x v="1"/>
  </r>
  <r>
    <x v="4"/>
    <x v="9"/>
    <x v="1"/>
    <x v="1265"/>
    <x v="1278"/>
    <s v="30th July 2016"/>
    <s v="30th"/>
    <x v="9"/>
    <x v="9"/>
    <x v="1"/>
  </r>
  <r>
    <x v="4"/>
    <x v="4"/>
    <x v="2"/>
    <x v="1266"/>
    <x v="1279"/>
    <s v="30th July 2016"/>
    <s v="30th"/>
    <x v="9"/>
    <x v="9"/>
    <x v="0"/>
  </r>
  <r>
    <x v="4"/>
    <x v="2"/>
    <x v="2"/>
    <x v="1267"/>
    <x v="1280"/>
    <s v="30th July 2016"/>
    <s v="30th"/>
    <x v="9"/>
    <x v="9"/>
    <x v="0"/>
  </r>
  <r>
    <x v="4"/>
    <x v="7"/>
    <x v="0"/>
    <x v="1268"/>
    <x v="1281"/>
    <s v="30th July 2016"/>
    <s v="30th"/>
    <x v="9"/>
    <x v="9"/>
    <x v="0"/>
  </r>
  <r>
    <x v="4"/>
    <x v="2"/>
    <x v="2"/>
    <x v="1269"/>
    <x v="1228"/>
    <s v="30th July 2016"/>
    <s v="30th"/>
    <x v="9"/>
    <x v="9"/>
    <x v="0"/>
  </r>
  <r>
    <x v="4"/>
    <x v="3"/>
    <x v="2"/>
    <x v="1270"/>
    <x v="1282"/>
    <s v="30th July 2016"/>
    <s v="30th"/>
    <x v="9"/>
    <x v="9"/>
    <x v="0"/>
  </r>
  <r>
    <x v="4"/>
    <x v="6"/>
    <x v="1"/>
    <x v="1271"/>
    <x v="1283"/>
    <s v="26th January 2016"/>
    <s v="26th"/>
    <x v="11"/>
    <x v="9"/>
    <x v="1"/>
  </r>
  <r>
    <x v="4"/>
    <x v="3"/>
    <x v="2"/>
    <x v="1272"/>
    <x v="1284"/>
    <s v="26th January 2016"/>
    <s v="26th"/>
    <x v="11"/>
    <x v="9"/>
    <x v="0"/>
  </r>
  <r>
    <x v="4"/>
    <x v="2"/>
    <x v="2"/>
    <x v="1273"/>
    <x v="1285"/>
    <s v="26th January 2016"/>
    <s v="26th"/>
    <x v="11"/>
    <x v="9"/>
    <x v="0"/>
  </r>
  <r>
    <x v="4"/>
    <x v="8"/>
    <x v="1"/>
    <x v="978"/>
    <x v="1286"/>
    <s v="26th January 2016"/>
    <s v="26th"/>
    <x v="11"/>
    <x v="9"/>
    <x v="1"/>
  </r>
  <r>
    <x v="4"/>
    <x v="2"/>
    <x v="2"/>
    <x v="1274"/>
    <x v="1287"/>
    <s v="26th January 2016"/>
    <s v="26th"/>
    <x v="11"/>
    <x v="9"/>
    <x v="0"/>
  </r>
  <r>
    <x v="4"/>
    <x v="0"/>
    <x v="0"/>
    <x v="1275"/>
    <x v="1288"/>
    <s v="26th January 2016"/>
    <s v="26th"/>
    <x v="11"/>
    <x v="9"/>
    <x v="0"/>
  </r>
  <r>
    <x v="4"/>
    <x v="7"/>
    <x v="0"/>
    <x v="1276"/>
    <x v="580"/>
    <s v="26th January 2016"/>
    <s v="26th"/>
    <x v="11"/>
    <x v="9"/>
    <x v="1"/>
  </r>
  <r>
    <x v="4"/>
    <x v="3"/>
    <x v="2"/>
    <x v="1277"/>
    <x v="1289"/>
    <s v="26th January 2016"/>
    <s v="26th"/>
    <x v="11"/>
    <x v="9"/>
    <x v="0"/>
  </r>
  <r>
    <x v="4"/>
    <x v="3"/>
    <x v="2"/>
    <x v="1278"/>
    <x v="1290"/>
    <s v="26th January 2016"/>
    <s v="26th"/>
    <x v="11"/>
    <x v="9"/>
    <x v="0"/>
  </r>
  <r>
    <x v="4"/>
    <x v="2"/>
    <x v="2"/>
    <x v="1279"/>
    <x v="1228"/>
    <s v="26th January 2016"/>
    <s v="26th"/>
    <x v="11"/>
    <x v="9"/>
    <x v="0"/>
  </r>
  <r>
    <x v="4"/>
    <x v="4"/>
    <x v="2"/>
    <x v="1280"/>
    <x v="1291"/>
    <s v="28th November 2015"/>
    <s v="28th"/>
    <x v="6"/>
    <x v="10"/>
    <x v="0"/>
  </r>
  <r>
    <x v="4"/>
    <x v="2"/>
    <x v="2"/>
    <x v="1281"/>
    <x v="1292"/>
    <s v="28th November 2015"/>
    <s v="28th"/>
    <x v="6"/>
    <x v="10"/>
    <x v="0"/>
  </r>
  <r>
    <x v="4"/>
    <x v="2"/>
    <x v="2"/>
    <x v="1282"/>
    <x v="1228"/>
    <s v="28th November 2015"/>
    <s v="28th"/>
    <x v="6"/>
    <x v="10"/>
    <x v="0"/>
  </r>
  <r>
    <x v="4"/>
    <x v="4"/>
    <x v="2"/>
    <x v="1283"/>
    <x v="1293"/>
    <s v="28th November 2015"/>
    <s v="28th"/>
    <x v="6"/>
    <x v="10"/>
    <x v="0"/>
  </r>
  <r>
    <x v="4"/>
    <x v="4"/>
    <x v="2"/>
    <x v="1284"/>
    <x v="1294"/>
    <s v="28th November 2015"/>
    <s v="28th"/>
    <x v="6"/>
    <x v="10"/>
    <x v="0"/>
  </r>
  <r>
    <x v="4"/>
    <x v="4"/>
    <x v="2"/>
    <x v="1285"/>
    <x v="1295"/>
    <s v="28th November 2015"/>
    <s v="28th"/>
    <x v="6"/>
    <x v="10"/>
    <x v="0"/>
  </r>
  <r>
    <x v="4"/>
    <x v="3"/>
    <x v="2"/>
    <x v="1286"/>
    <x v="1296"/>
    <s v="28th November 2015"/>
    <s v="28th"/>
    <x v="6"/>
    <x v="10"/>
    <x v="0"/>
  </r>
  <r>
    <x v="4"/>
    <x v="8"/>
    <x v="1"/>
    <x v="1287"/>
    <x v="1297"/>
    <s v="28th November 2015"/>
    <s v="28th"/>
    <x v="6"/>
    <x v="10"/>
    <x v="1"/>
  </r>
  <r>
    <x v="4"/>
    <x v="0"/>
    <x v="0"/>
    <x v="1288"/>
    <x v="1298"/>
    <s v="28th November 2015"/>
    <s v="28th"/>
    <x v="6"/>
    <x v="10"/>
    <x v="0"/>
  </r>
  <r>
    <x v="4"/>
    <x v="2"/>
    <x v="2"/>
    <x v="1289"/>
    <x v="1299"/>
    <s v="28th November 2015"/>
    <s v="28th"/>
    <x v="6"/>
    <x v="10"/>
    <x v="0"/>
  </r>
  <r>
    <x v="4"/>
    <x v="3"/>
    <x v="2"/>
    <x v="934"/>
    <x v="85"/>
    <s v="3rd September 2015"/>
    <s v="3rd"/>
    <x v="2"/>
    <x v="10"/>
    <x v="0"/>
  </r>
  <r>
    <x v="4"/>
    <x v="2"/>
    <x v="2"/>
    <x v="934"/>
    <x v="1300"/>
    <s v="3rd September 2015"/>
    <s v="3rd"/>
    <x v="2"/>
    <x v="10"/>
    <x v="0"/>
  </r>
  <r>
    <x v="4"/>
    <x v="4"/>
    <x v="2"/>
    <x v="934"/>
    <x v="744"/>
    <s v="3rd September 2015"/>
    <s v="3rd"/>
    <x v="2"/>
    <x v="10"/>
    <x v="0"/>
  </r>
  <r>
    <x v="4"/>
    <x v="7"/>
    <x v="0"/>
    <x v="934"/>
    <x v="1301"/>
    <s v="3rd September 2015"/>
    <s v="3rd"/>
    <x v="2"/>
    <x v="10"/>
    <x v="0"/>
  </r>
  <r>
    <x v="4"/>
    <x v="3"/>
    <x v="2"/>
    <x v="934"/>
    <x v="1302"/>
    <s v="3rd September 2015"/>
    <s v="3rd"/>
    <x v="2"/>
    <x v="10"/>
    <x v="0"/>
  </r>
  <r>
    <x v="4"/>
    <x v="7"/>
    <x v="0"/>
    <x v="934"/>
    <x v="1303"/>
    <s v="3rd September 2015"/>
    <s v="3rd"/>
    <x v="2"/>
    <x v="10"/>
    <x v="1"/>
  </r>
  <r>
    <x v="4"/>
    <x v="10"/>
    <x v="1"/>
    <x v="934"/>
    <x v="1304"/>
    <s v="3rd September 2015"/>
    <s v="3rd"/>
    <x v="2"/>
    <x v="10"/>
    <x v="1"/>
  </r>
  <r>
    <x v="4"/>
    <x v="8"/>
    <x v="1"/>
    <x v="934"/>
    <x v="1305"/>
    <s v="3rd September 2015"/>
    <s v="3rd"/>
    <x v="2"/>
    <x v="10"/>
    <x v="1"/>
  </r>
  <r>
    <x v="4"/>
    <x v="7"/>
    <x v="0"/>
    <x v="934"/>
    <x v="1306"/>
    <s v="3rd September 2015"/>
    <s v="3rd"/>
    <x v="2"/>
    <x v="10"/>
    <x v="1"/>
  </r>
  <r>
    <x v="4"/>
    <x v="0"/>
    <x v="0"/>
    <x v="934"/>
    <x v="1307"/>
    <s v="3rd September 2015"/>
    <s v="3rd"/>
    <x v="2"/>
    <x v="10"/>
    <x v="0"/>
  </r>
  <r>
    <x v="4"/>
    <x v="2"/>
    <x v="2"/>
    <x v="934"/>
    <x v="1308"/>
    <s v="10th April 2015"/>
    <s v="10th"/>
    <x v="1"/>
    <x v="10"/>
    <x v="0"/>
  </r>
  <r>
    <x v="4"/>
    <x v="2"/>
    <x v="2"/>
    <x v="934"/>
    <x v="1309"/>
    <s v="10th April 2015"/>
    <s v="10th"/>
    <x v="1"/>
    <x v="10"/>
    <x v="0"/>
  </r>
  <r>
    <x v="4"/>
    <x v="2"/>
    <x v="2"/>
    <x v="934"/>
    <x v="1310"/>
    <s v="10th April 2015"/>
    <s v="10th"/>
    <x v="1"/>
    <x v="10"/>
    <x v="0"/>
  </r>
  <r>
    <x v="4"/>
    <x v="6"/>
    <x v="1"/>
    <x v="934"/>
    <x v="1311"/>
    <s v="10th April 2015"/>
    <s v="10th"/>
    <x v="1"/>
    <x v="10"/>
    <x v="1"/>
  </r>
  <r>
    <x v="4"/>
    <x v="2"/>
    <x v="2"/>
    <x v="934"/>
    <x v="1312"/>
    <s v="10th April 2015"/>
    <s v="10th"/>
    <x v="1"/>
    <x v="10"/>
    <x v="0"/>
  </r>
  <r>
    <x v="4"/>
    <x v="4"/>
    <x v="2"/>
    <x v="934"/>
    <x v="1313"/>
    <s v="10th April 2015"/>
    <s v="10th"/>
    <x v="1"/>
    <x v="10"/>
    <x v="0"/>
  </r>
  <r>
    <x v="4"/>
    <x v="3"/>
    <x v="2"/>
    <x v="934"/>
    <x v="1314"/>
    <s v="10th April 2015"/>
    <s v="10th"/>
    <x v="1"/>
    <x v="10"/>
    <x v="0"/>
  </r>
  <r>
    <x v="4"/>
    <x v="4"/>
    <x v="2"/>
    <x v="934"/>
    <x v="1315"/>
    <s v="10th April 2015"/>
    <s v="10th"/>
    <x v="1"/>
    <x v="10"/>
    <x v="0"/>
  </r>
  <r>
    <x v="4"/>
    <x v="4"/>
    <x v="2"/>
    <x v="934"/>
    <x v="1316"/>
    <s v="10th April 2015"/>
    <s v="10th"/>
    <x v="1"/>
    <x v="10"/>
    <x v="0"/>
  </r>
  <r>
    <x v="4"/>
    <x v="4"/>
    <x v="2"/>
    <x v="934"/>
    <x v="1317"/>
    <s v="10th April 2015"/>
    <s v="10th"/>
    <x v="1"/>
    <x v="10"/>
    <x v="0"/>
  </r>
  <r>
    <x v="4"/>
    <x v="2"/>
    <x v="2"/>
    <x v="934"/>
    <x v="1318"/>
    <s v="1st December 2014"/>
    <s v="1st"/>
    <x v="4"/>
    <x v="8"/>
    <x v="0"/>
  </r>
  <r>
    <x v="4"/>
    <x v="3"/>
    <x v="2"/>
    <x v="934"/>
    <x v="1319"/>
    <s v="1st December 2014"/>
    <s v="1st"/>
    <x v="4"/>
    <x v="8"/>
    <x v="0"/>
  </r>
  <r>
    <x v="4"/>
    <x v="4"/>
    <x v="2"/>
    <x v="934"/>
    <x v="1320"/>
    <s v="1st December 2014"/>
    <s v="1st"/>
    <x v="4"/>
    <x v="8"/>
    <x v="0"/>
  </r>
  <r>
    <x v="4"/>
    <x v="9"/>
    <x v="1"/>
    <x v="934"/>
    <x v="1321"/>
    <s v="1st December 2014"/>
    <s v="1st"/>
    <x v="4"/>
    <x v="8"/>
    <x v="1"/>
  </r>
  <r>
    <x v="4"/>
    <x v="2"/>
    <x v="2"/>
    <x v="934"/>
    <x v="1322"/>
    <s v="1st December 2014"/>
    <s v="1st"/>
    <x v="4"/>
    <x v="8"/>
    <x v="0"/>
  </r>
  <r>
    <x v="4"/>
    <x v="1"/>
    <x v="1"/>
    <x v="934"/>
    <x v="1323"/>
    <s v="1st December 2014"/>
    <s v="1st"/>
    <x v="4"/>
    <x v="8"/>
    <x v="1"/>
  </r>
  <r>
    <x v="4"/>
    <x v="2"/>
    <x v="2"/>
    <x v="934"/>
    <x v="1324"/>
    <s v="1st December 2014"/>
    <s v="1st"/>
    <x v="4"/>
    <x v="8"/>
    <x v="0"/>
  </r>
  <r>
    <x v="4"/>
    <x v="2"/>
    <x v="2"/>
    <x v="934"/>
    <x v="1325"/>
    <s v="1st December 2014"/>
    <s v="1st"/>
    <x v="4"/>
    <x v="8"/>
    <x v="0"/>
  </r>
  <r>
    <x v="4"/>
    <x v="3"/>
    <x v="2"/>
    <x v="934"/>
    <x v="1326"/>
    <s v="1st December 2014"/>
    <s v="1st"/>
    <x v="4"/>
    <x v="8"/>
    <x v="0"/>
  </r>
  <r>
    <x v="4"/>
    <x v="4"/>
    <x v="2"/>
    <x v="934"/>
    <x v="1327"/>
    <s v="1st December 2014"/>
    <s v="1st"/>
    <x v="4"/>
    <x v="8"/>
    <x v="0"/>
  </r>
  <r>
    <x v="4"/>
    <x v="3"/>
    <x v="2"/>
    <x v="934"/>
    <x v="1328"/>
    <s v="22nd July 2014"/>
    <s v="22nd"/>
    <x v="9"/>
    <x v="8"/>
    <x v="0"/>
  </r>
  <r>
    <x v="4"/>
    <x v="4"/>
    <x v="2"/>
    <x v="934"/>
    <x v="1329"/>
    <s v="22nd July 2014"/>
    <s v="22nd"/>
    <x v="9"/>
    <x v="8"/>
    <x v="0"/>
  </r>
  <r>
    <x v="4"/>
    <x v="2"/>
    <x v="2"/>
    <x v="934"/>
    <x v="1330"/>
    <s v="22nd July 2014"/>
    <s v="22nd"/>
    <x v="9"/>
    <x v="8"/>
    <x v="0"/>
  </r>
  <r>
    <x v="4"/>
    <x v="2"/>
    <x v="2"/>
    <x v="934"/>
    <x v="1331"/>
    <s v="22nd July 2014"/>
    <s v="22nd"/>
    <x v="9"/>
    <x v="8"/>
    <x v="0"/>
  </r>
  <r>
    <x v="4"/>
    <x v="10"/>
    <x v="1"/>
    <x v="934"/>
    <x v="1332"/>
    <s v="22nd July 2014"/>
    <s v="22nd"/>
    <x v="9"/>
    <x v="8"/>
    <x v="1"/>
  </r>
  <r>
    <x v="4"/>
    <x v="3"/>
    <x v="2"/>
    <x v="934"/>
    <x v="1333"/>
    <s v="22nd July 2014"/>
    <s v="22nd"/>
    <x v="9"/>
    <x v="8"/>
    <x v="0"/>
  </r>
  <r>
    <x v="4"/>
    <x v="2"/>
    <x v="2"/>
    <x v="934"/>
    <x v="1334"/>
    <s v="22nd July 2014"/>
    <s v="22nd"/>
    <x v="9"/>
    <x v="8"/>
    <x v="0"/>
  </r>
  <r>
    <x v="4"/>
    <x v="1"/>
    <x v="1"/>
    <x v="934"/>
    <x v="1335"/>
    <s v="22nd July 2014"/>
    <s v="22nd"/>
    <x v="9"/>
    <x v="8"/>
    <x v="1"/>
  </r>
  <r>
    <x v="4"/>
    <x v="8"/>
    <x v="1"/>
    <x v="934"/>
    <x v="1336"/>
    <s v="22nd July 2014"/>
    <s v="22nd"/>
    <x v="9"/>
    <x v="8"/>
    <x v="1"/>
  </r>
  <r>
    <x v="4"/>
    <x v="2"/>
    <x v="2"/>
    <x v="934"/>
    <x v="1337"/>
    <s v="22nd July 2014"/>
    <s v="22nd"/>
    <x v="9"/>
    <x v="8"/>
    <x v="0"/>
  </r>
  <r>
    <x v="4"/>
    <x v="3"/>
    <x v="2"/>
    <x v="934"/>
    <x v="1338"/>
    <s v="13th January 2014"/>
    <s v="13th"/>
    <x v="11"/>
    <x v="8"/>
    <x v="0"/>
  </r>
  <r>
    <x v="4"/>
    <x v="8"/>
    <x v="1"/>
    <x v="934"/>
    <x v="1339"/>
    <s v="13th January 2014"/>
    <s v="13th"/>
    <x v="11"/>
    <x v="8"/>
    <x v="1"/>
  </r>
  <r>
    <x v="4"/>
    <x v="4"/>
    <x v="2"/>
    <x v="934"/>
    <x v="1316"/>
    <s v="13th January 2014"/>
    <s v="13th"/>
    <x v="11"/>
    <x v="8"/>
    <x v="0"/>
  </r>
  <r>
    <x v="4"/>
    <x v="4"/>
    <x v="2"/>
    <x v="934"/>
    <x v="1340"/>
    <s v="13th January 2014"/>
    <s v="13th"/>
    <x v="11"/>
    <x v="8"/>
    <x v="0"/>
  </r>
  <r>
    <x v="4"/>
    <x v="7"/>
    <x v="0"/>
    <x v="934"/>
    <x v="1341"/>
    <s v="13th January 2014"/>
    <s v="13th"/>
    <x v="11"/>
    <x v="8"/>
    <x v="1"/>
  </r>
  <r>
    <x v="4"/>
    <x v="3"/>
    <x v="2"/>
    <x v="934"/>
    <x v="1342"/>
    <s v="13th January 2014"/>
    <s v="13th"/>
    <x v="11"/>
    <x v="8"/>
    <x v="0"/>
  </r>
  <r>
    <x v="4"/>
    <x v="2"/>
    <x v="2"/>
    <x v="934"/>
    <x v="1343"/>
    <s v="13th January 2014"/>
    <s v="13th"/>
    <x v="11"/>
    <x v="8"/>
    <x v="0"/>
  </r>
  <r>
    <x v="4"/>
    <x v="2"/>
    <x v="2"/>
    <x v="934"/>
    <x v="1344"/>
    <s v="13th January 2014"/>
    <s v="13th"/>
    <x v="11"/>
    <x v="8"/>
    <x v="0"/>
  </r>
  <r>
    <x v="4"/>
    <x v="4"/>
    <x v="2"/>
    <x v="934"/>
    <x v="1345"/>
    <s v="13th January 2014"/>
    <s v="13th"/>
    <x v="11"/>
    <x v="8"/>
    <x v="0"/>
  </r>
  <r>
    <x v="4"/>
    <x v="2"/>
    <x v="2"/>
    <x v="934"/>
    <x v="1330"/>
    <s v="13th January 2014"/>
    <s v="13th"/>
    <x v="11"/>
    <x v="8"/>
    <x v="0"/>
  </r>
  <r>
    <x v="4"/>
    <x v="3"/>
    <x v="2"/>
    <x v="934"/>
    <x v="1346"/>
    <s v="7th October 2013"/>
    <s v="7th"/>
    <x v="0"/>
    <x v="11"/>
    <x v="0"/>
  </r>
  <r>
    <x v="4"/>
    <x v="3"/>
    <x v="2"/>
    <x v="934"/>
    <x v="1347"/>
    <s v="7th October 2013"/>
    <s v="7th"/>
    <x v="0"/>
    <x v="11"/>
    <x v="0"/>
  </r>
  <r>
    <x v="4"/>
    <x v="5"/>
    <x v="0"/>
    <x v="934"/>
    <x v="1348"/>
    <s v="7th October 2013"/>
    <s v="7th"/>
    <x v="0"/>
    <x v="11"/>
    <x v="0"/>
  </r>
  <r>
    <x v="4"/>
    <x v="2"/>
    <x v="2"/>
    <x v="934"/>
    <x v="1349"/>
    <s v="7th October 2013"/>
    <s v="7th"/>
    <x v="0"/>
    <x v="11"/>
    <x v="0"/>
  </r>
  <r>
    <x v="4"/>
    <x v="2"/>
    <x v="2"/>
    <x v="934"/>
    <x v="1350"/>
    <s v="7th October 2013"/>
    <s v="7th"/>
    <x v="0"/>
    <x v="11"/>
    <x v="0"/>
  </r>
  <r>
    <x v="4"/>
    <x v="2"/>
    <x v="2"/>
    <x v="934"/>
    <x v="1351"/>
    <s v="7th October 2013"/>
    <s v="7th"/>
    <x v="0"/>
    <x v="11"/>
    <x v="0"/>
  </r>
  <r>
    <x v="4"/>
    <x v="2"/>
    <x v="2"/>
    <x v="934"/>
    <x v="1352"/>
    <s v="7th October 2013"/>
    <s v="7th"/>
    <x v="0"/>
    <x v="11"/>
    <x v="0"/>
  </r>
  <r>
    <x v="4"/>
    <x v="4"/>
    <x v="2"/>
    <x v="934"/>
    <x v="85"/>
    <s v="7th October 2013"/>
    <s v="7th"/>
    <x v="0"/>
    <x v="11"/>
    <x v="0"/>
  </r>
  <r>
    <x v="4"/>
    <x v="4"/>
    <x v="2"/>
    <x v="934"/>
    <x v="1353"/>
    <s v="7th October 2013"/>
    <s v="7th"/>
    <x v="0"/>
    <x v="11"/>
    <x v="0"/>
  </r>
  <r>
    <x v="4"/>
    <x v="10"/>
    <x v="1"/>
    <x v="934"/>
    <x v="1354"/>
    <s v="7th October 2013"/>
    <s v="7th"/>
    <x v="0"/>
    <x v="11"/>
    <x v="1"/>
  </r>
  <r>
    <x v="4"/>
    <x v="3"/>
    <x v="2"/>
    <x v="934"/>
    <x v="1355"/>
    <s v="23rd May 2013"/>
    <s v="23rd"/>
    <x v="7"/>
    <x v="11"/>
    <x v="0"/>
  </r>
  <r>
    <x v="4"/>
    <x v="4"/>
    <x v="2"/>
    <x v="934"/>
    <x v="1317"/>
    <s v="23rd May 2013"/>
    <s v="23rd"/>
    <x v="7"/>
    <x v="11"/>
    <x v="0"/>
  </r>
  <r>
    <x v="4"/>
    <x v="2"/>
    <x v="2"/>
    <x v="934"/>
    <x v="1350"/>
    <s v="23rd May 2013"/>
    <s v="23rd"/>
    <x v="7"/>
    <x v="11"/>
    <x v="0"/>
  </r>
  <r>
    <x v="4"/>
    <x v="4"/>
    <x v="2"/>
    <x v="934"/>
    <x v="1356"/>
    <s v="23rd May 2013"/>
    <s v="23rd"/>
    <x v="7"/>
    <x v="11"/>
    <x v="0"/>
  </r>
  <r>
    <x v="4"/>
    <x v="3"/>
    <x v="2"/>
    <x v="934"/>
    <x v="1357"/>
    <s v="23rd May 2013"/>
    <s v="23rd"/>
    <x v="7"/>
    <x v="11"/>
    <x v="0"/>
  </r>
  <r>
    <x v="4"/>
    <x v="4"/>
    <x v="2"/>
    <x v="934"/>
    <x v="1358"/>
    <s v="23rd May 2013"/>
    <s v="23rd"/>
    <x v="7"/>
    <x v="11"/>
    <x v="0"/>
  </r>
  <r>
    <x v="4"/>
    <x v="2"/>
    <x v="2"/>
    <x v="934"/>
    <x v="1359"/>
    <s v="23rd May 2013"/>
    <s v="23rd"/>
    <x v="7"/>
    <x v="11"/>
    <x v="0"/>
  </r>
  <r>
    <x v="4"/>
    <x v="3"/>
    <x v="2"/>
    <x v="934"/>
    <x v="1350"/>
    <s v="23rd May 2013"/>
    <s v="23rd"/>
    <x v="7"/>
    <x v="11"/>
    <x v="0"/>
  </r>
  <r>
    <x v="4"/>
    <x v="2"/>
    <x v="2"/>
    <x v="934"/>
    <x v="1360"/>
    <s v="23rd May 2013"/>
    <s v="23rd"/>
    <x v="7"/>
    <x v="11"/>
    <x v="0"/>
  </r>
  <r>
    <x v="4"/>
    <x v="2"/>
    <x v="2"/>
    <x v="934"/>
    <x v="1361"/>
    <s v="23rd May 2013"/>
    <s v="23rd"/>
    <x v="7"/>
    <x v="11"/>
    <x v="0"/>
  </r>
  <r>
    <x v="4"/>
    <x v="4"/>
    <x v="2"/>
    <x v="934"/>
    <x v="1362"/>
    <s v="8th January 2013"/>
    <s v="8th"/>
    <x v="11"/>
    <x v="11"/>
    <x v="0"/>
  </r>
  <r>
    <x v="4"/>
    <x v="10"/>
    <x v="1"/>
    <x v="934"/>
    <x v="1363"/>
    <s v="8th January 2013"/>
    <s v="8th"/>
    <x v="11"/>
    <x v="11"/>
    <x v="1"/>
  </r>
  <r>
    <x v="4"/>
    <x v="4"/>
    <x v="2"/>
    <x v="934"/>
    <x v="85"/>
    <s v="8th January 2013"/>
    <s v="8th"/>
    <x v="11"/>
    <x v="11"/>
    <x v="0"/>
  </r>
  <r>
    <x v="4"/>
    <x v="2"/>
    <x v="2"/>
    <x v="934"/>
    <x v="1364"/>
    <s v="8th January 2013"/>
    <s v="8th"/>
    <x v="11"/>
    <x v="11"/>
    <x v="0"/>
  </r>
  <r>
    <x v="4"/>
    <x v="2"/>
    <x v="2"/>
    <x v="934"/>
    <x v="42"/>
    <s v="8th January 2013"/>
    <s v="8th"/>
    <x v="11"/>
    <x v="11"/>
    <x v="0"/>
  </r>
  <r>
    <x v="4"/>
    <x v="4"/>
    <x v="2"/>
    <x v="934"/>
    <x v="1365"/>
    <s v="8th January 2013"/>
    <s v="8th"/>
    <x v="11"/>
    <x v="11"/>
    <x v="0"/>
  </r>
  <r>
    <x v="4"/>
    <x v="4"/>
    <x v="2"/>
    <x v="934"/>
    <x v="85"/>
    <s v="8th January 2013"/>
    <s v="8th"/>
    <x v="11"/>
    <x v="11"/>
    <x v="0"/>
  </r>
  <r>
    <x v="4"/>
    <x v="3"/>
    <x v="2"/>
    <x v="934"/>
    <x v="1317"/>
    <s v="8th January 2013"/>
    <s v="8th"/>
    <x v="11"/>
    <x v="11"/>
    <x v="0"/>
  </r>
  <r>
    <x v="4"/>
    <x v="3"/>
    <x v="2"/>
    <x v="934"/>
    <x v="1317"/>
    <s v="8th January 2013"/>
    <s v="8th"/>
    <x v="11"/>
    <x v="11"/>
    <x v="0"/>
  </r>
  <r>
    <x v="4"/>
    <x v="5"/>
    <x v="0"/>
    <x v="934"/>
    <x v="1366"/>
    <s v="8th January 2013"/>
    <s v="8th"/>
    <x v="11"/>
    <x v="11"/>
    <x v="0"/>
  </r>
  <r>
    <x v="5"/>
    <x v="1"/>
    <x v="1"/>
    <x v="1290"/>
    <x v="1367"/>
    <s v="23rd September 2024"/>
    <s v="23rd"/>
    <x v="2"/>
    <x v="7"/>
    <x v="1"/>
  </r>
  <r>
    <x v="5"/>
    <x v="1"/>
    <x v="1"/>
    <x v="1291"/>
    <x v="1368"/>
    <s v="23rd September 2024"/>
    <s v="23rd"/>
    <x v="2"/>
    <x v="7"/>
    <x v="1"/>
  </r>
  <r>
    <x v="5"/>
    <x v="6"/>
    <x v="1"/>
    <x v="1292"/>
    <x v="1369"/>
    <s v="23rd September 2024"/>
    <s v="23rd"/>
    <x v="2"/>
    <x v="7"/>
    <x v="1"/>
  </r>
  <r>
    <x v="5"/>
    <x v="1"/>
    <x v="1"/>
    <x v="1293"/>
    <x v="1370"/>
    <s v="23rd September 2024"/>
    <s v="23rd"/>
    <x v="2"/>
    <x v="7"/>
    <x v="1"/>
  </r>
  <r>
    <x v="5"/>
    <x v="2"/>
    <x v="2"/>
    <x v="1294"/>
    <x v="1371"/>
    <s v="23rd September 2024"/>
    <s v="23rd"/>
    <x v="2"/>
    <x v="7"/>
    <x v="0"/>
  </r>
  <r>
    <x v="5"/>
    <x v="1"/>
    <x v="1"/>
    <x v="1295"/>
    <x v="1372"/>
    <s v="23rd September 2024"/>
    <s v="23rd"/>
    <x v="2"/>
    <x v="7"/>
    <x v="1"/>
  </r>
  <r>
    <x v="5"/>
    <x v="1"/>
    <x v="1"/>
    <x v="1296"/>
    <x v="1373"/>
    <s v="23rd September 2024"/>
    <s v="23rd"/>
    <x v="2"/>
    <x v="7"/>
    <x v="1"/>
  </r>
  <r>
    <x v="5"/>
    <x v="1"/>
    <x v="1"/>
    <x v="1297"/>
    <x v="1374"/>
    <s v="23rd September 2024"/>
    <s v="23rd"/>
    <x v="2"/>
    <x v="7"/>
    <x v="1"/>
  </r>
  <r>
    <x v="5"/>
    <x v="1"/>
    <x v="1"/>
    <x v="1298"/>
    <x v="1375"/>
    <s v="23rd September 2024"/>
    <s v="23rd"/>
    <x v="2"/>
    <x v="7"/>
    <x v="1"/>
  </r>
  <r>
    <x v="5"/>
    <x v="1"/>
    <x v="1"/>
    <x v="776"/>
    <x v="1376"/>
    <s v="23rd September 2024"/>
    <s v="23rd"/>
    <x v="2"/>
    <x v="7"/>
    <x v="1"/>
  </r>
  <r>
    <x v="5"/>
    <x v="2"/>
    <x v="2"/>
    <x v="1299"/>
    <x v="1377"/>
    <s v="10th August 2024"/>
    <s v="10th"/>
    <x v="8"/>
    <x v="7"/>
    <x v="0"/>
  </r>
  <r>
    <x v="5"/>
    <x v="6"/>
    <x v="1"/>
    <x v="1300"/>
    <x v="1378"/>
    <s v="10th August 2024"/>
    <s v="10th"/>
    <x v="8"/>
    <x v="7"/>
    <x v="1"/>
  </r>
  <r>
    <x v="5"/>
    <x v="2"/>
    <x v="2"/>
    <x v="1301"/>
    <x v="1379"/>
    <s v="10th August 2024"/>
    <s v="10th"/>
    <x v="8"/>
    <x v="7"/>
    <x v="0"/>
  </r>
  <r>
    <x v="5"/>
    <x v="2"/>
    <x v="2"/>
    <x v="1302"/>
    <x v="1380"/>
    <s v="10th August 2024"/>
    <s v="10th"/>
    <x v="8"/>
    <x v="7"/>
    <x v="0"/>
  </r>
  <r>
    <x v="5"/>
    <x v="1"/>
    <x v="1"/>
    <x v="1303"/>
    <x v="1381"/>
    <s v="10th August 2024"/>
    <s v="10th"/>
    <x v="8"/>
    <x v="7"/>
    <x v="1"/>
  </r>
  <r>
    <x v="5"/>
    <x v="8"/>
    <x v="1"/>
    <x v="1304"/>
    <x v="1382"/>
    <s v="10th August 2024"/>
    <s v="10th"/>
    <x v="8"/>
    <x v="7"/>
    <x v="1"/>
  </r>
  <r>
    <x v="5"/>
    <x v="1"/>
    <x v="1"/>
    <x v="1305"/>
    <x v="1383"/>
    <s v="10th August 2024"/>
    <s v="10th"/>
    <x v="8"/>
    <x v="7"/>
    <x v="1"/>
  </r>
  <r>
    <x v="5"/>
    <x v="1"/>
    <x v="1"/>
    <x v="1306"/>
    <x v="1384"/>
    <s v="10th August 2024"/>
    <s v="10th"/>
    <x v="8"/>
    <x v="7"/>
    <x v="1"/>
  </r>
  <r>
    <x v="5"/>
    <x v="8"/>
    <x v="1"/>
    <x v="1307"/>
    <x v="1385"/>
    <s v="10th August 2024"/>
    <s v="10th"/>
    <x v="8"/>
    <x v="7"/>
    <x v="1"/>
  </r>
  <r>
    <x v="5"/>
    <x v="6"/>
    <x v="1"/>
    <x v="1308"/>
    <x v="1386"/>
    <s v="10th August 2024"/>
    <s v="10th"/>
    <x v="8"/>
    <x v="7"/>
    <x v="1"/>
  </r>
  <r>
    <x v="5"/>
    <x v="1"/>
    <x v="1"/>
    <x v="1309"/>
    <x v="1387"/>
    <s v="22nd June 2024"/>
    <s v="22nd"/>
    <x v="3"/>
    <x v="7"/>
    <x v="1"/>
  </r>
  <r>
    <x v="5"/>
    <x v="1"/>
    <x v="1"/>
    <x v="1310"/>
    <x v="1388"/>
    <s v="22nd June 2024"/>
    <s v="22nd"/>
    <x v="3"/>
    <x v="7"/>
    <x v="1"/>
  </r>
  <r>
    <x v="5"/>
    <x v="1"/>
    <x v="1"/>
    <x v="1311"/>
    <x v="1389"/>
    <s v="22nd June 2024"/>
    <s v="22nd"/>
    <x v="3"/>
    <x v="7"/>
    <x v="1"/>
  </r>
  <r>
    <x v="5"/>
    <x v="1"/>
    <x v="1"/>
    <x v="1312"/>
    <x v="1390"/>
    <s v="22nd June 2024"/>
    <s v="22nd"/>
    <x v="3"/>
    <x v="7"/>
    <x v="1"/>
  </r>
  <r>
    <x v="5"/>
    <x v="2"/>
    <x v="2"/>
    <x v="1313"/>
    <x v="1391"/>
    <s v="22nd June 2024"/>
    <s v="22nd"/>
    <x v="3"/>
    <x v="7"/>
    <x v="0"/>
  </r>
  <r>
    <x v="5"/>
    <x v="1"/>
    <x v="1"/>
    <x v="1314"/>
    <x v="1392"/>
    <s v="22nd June 2024"/>
    <s v="22nd"/>
    <x v="3"/>
    <x v="7"/>
    <x v="1"/>
  </r>
  <r>
    <x v="5"/>
    <x v="1"/>
    <x v="1"/>
    <x v="1315"/>
    <x v="1393"/>
    <s v="22nd June 2024"/>
    <s v="22nd"/>
    <x v="3"/>
    <x v="7"/>
    <x v="1"/>
  </r>
  <r>
    <x v="5"/>
    <x v="1"/>
    <x v="1"/>
    <x v="1316"/>
    <x v="1394"/>
    <s v="22nd June 2024"/>
    <s v="22nd"/>
    <x v="3"/>
    <x v="7"/>
    <x v="1"/>
  </r>
  <r>
    <x v="5"/>
    <x v="1"/>
    <x v="1"/>
    <x v="1317"/>
    <x v="1395"/>
    <s v="22nd June 2024"/>
    <s v="22nd"/>
    <x v="3"/>
    <x v="7"/>
    <x v="1"/>
  </r>
  <r>
    <x v="5"/>
    <x v="1"/>
    <x v="1"/>
    <x v="1318"/>
    <x v="1396"/>
    <s v="22nd June 2024"/>
    <s v="22nd"/>
    <x v="3"/>
    <x v="7"/>
    <x v="1"/>
  </r>
  <r>
    <x v="5"/>
    <x v="9"/>
    <x v="1"/>
    <x v="1319"/>
    <x v="1397"/>
    <s v="18th April 2024"/>
    <s v="18th"/>
    <x v="1"/>
    <x v="7"/>
    <x v="1"/>
  </r>
  <r>
    <x v="5"/>
    <x v="1"/>
    <x v="1"/>
    <x v="1320"/>
    <x v="1398"/>
    <s v="18th April 2024"/>
    <s v="18th"/>
    <x v="1"/>
    <x v="7"/>
    <x v="1"/>
  </r>
  <r>
    <x v="5"/>
    <x v="1"/>
    <x v="1"/>
    <x v="1321"/>
    <x v="1399"/>
    <s v="18th April 2024"/>
    <s v="18th"/>
    <x v="1"/>
    <x v="7"/>
    <x v="1"/>
  </r>
  <r>
    <x v="5"/>
    <x v="1"/>
    <x v="1"/>
    <x v="1322"/>
    <x v="1400"/>
    <s v="18th April 2024"/>
    <s v="18th"/>
    <x v="1"/>
    <x v="7"/>
    <x v="1"/>
  </r>
  <r>
    <x v="5"/>
    <x v="2"/>
    <x v="2"/>
    <x v="1323"/>
    <x v="1401"/>
    <s v="18th April 2024"/>
    <s v="18th"/>
    <x v="1"/>
    <x v="7"/>
    <x v="0"/>
  </r>
  <r>
    <x v="5"/>
    <x v="6"/>
    <x v="1"/>
    <x v="1324"/>
    <x v="1402"/>
    <s v="18th April 2024"/>
    <s v="18th"/>
    <x v="1"/>
    <x v="7"/>
    <x v="1"/>
  </r>
  <r>
    <x v="5"/>
    <x v="6"/>
    <x v="1"/>
    <x v="1325"/>
    <x v="1403"/>
    <s v="18th April 2024"/>
    <s v="18th"/>
    <x v="1"/>
    <x v="7"/>
    <x v="1"/>
  </r>
  <r>
    <x v="5"/>
    <x v="2"/>
    <x v="2"/>
    <x v="1326"/>
    <x v="1404"/>
    <s v="18th April 2024"/>
    <s v="18th"/>
    <x v="1"/>
    <x v="7"/>
    <x v="0"/>
  </r>
  <r>
    <x v="5"/>
    <x v="2"/>
    <x v="2"/>
    <x v="1327"/>
    <x v="1405"/>
    <s v="18th April 2024"/>
    <s v="18th"/>
    <x v="1"/>
    <x v="7"/>
    <x v="0"/>
  </r>
  <r>
    <x v="5"/>
    <x v="2"/>
    <x v="2"/>
    <x v="1328"/>
    <x v="1406"/>
    <s v="18th April 2024"/>
    <s v="18th"/>
    <x v="1"/>
    <x v="7"/>
    <x v="0"/>
  </r>
  <r>
    <x v="5"/>
    <x v="2"/>
    <x v="2"/>
    <x v="224"/>
    <x v="1407"/>
    <s v="11th March 2024"/>
    <s v="11th"/>
    <x v="10"/>
    <x v="7"/>
    <x v="0"/>
  </r>
  <r>
    <x v="5"/>
    <x v="2"/>
    <x v="2"/>
    <x v="1329"/>
    <x v="1408"/>
    <s v="11th March 2024"/>
    <s v="11th"/>
    <x v="10"/>
    <x v="7"/>
    <x v="0"/>
  </r>
  <r>
    <x v="5"/>
    <x v="1"/>
    <x v="1"/>
    <x v="1330"/>
    <x v="1409"/>
    <s v="11th March 2024"/>
    <s v="11th"/>
    <x v="10"/>
    <x v="7"/>
    <x v="1"/>
  </r>
  <r>
    <x v="5"/>
    <x v="1"/>
    <x v="1"/>
    <x v="1331"/>
    <x v="1410"/>
    <s v="11th March 2024"/>
    <s v="11th"/>
    <x v="10"/>
    <x v="7"/>
    <x v="1"/>
  </r>
  <r>
    <x v="5"/>
    <x v="1"/>
    <x v="1"/>
    <x v="16"/>
    <x v="1411"/>
    <s v="11th March 2024"/>
    <s v="11th"/>
    <x v="10"/>
    <x v="7"/>
    <x v="1"/>
  </r>
  <r>
    <x v="5"/>
    <x v="1"/>
    <x v="1"/>
    <x v="75"/>
    <x v="1412"/>
    <s v="11th March 2024"/>
    <s v="11th"/>
    <x v="10"/>
    <x v="7"/>
    <x v="1"/>
  </r>
  <r>
    <x v="5"/>
    <x v="2"/>
    <x v="2"/>
    <x v="1332"/>
    <x v="1413"/>
    <s v="11th March 2024"/>
    <s v="11th"/>
    <x v="10"/>
    <x v="7"/>
    <x v="0"/>
  </r>
  <r>
    <x v="5"/>
    <x v="1"/>
    <x v="1"/>
    <x v="1333"/>
    <x v="1414"/>
    <s v="11th March 2024"/>
    <s v="11th"/>
    <x v="10"/>
    <x v="7"/>
    <x v="1"/>
  </r>
  <r>
    <x v="5"/>
    <x v="1"/>
    <x v="1"/>
    <x v="1334"/>
    <x v="1415"/>
    <s v="11th March 2024"/>
    <s v="11th"/>
    <x v="10"/>
    <x v="7"/>
    <x v="1"/>
  </r>
  <r>
    <x v="5"/>
    <x v="1"/>
    <x v="1"/>
    <x v="1335"/>
    <x v="1416"/>
    <s v="11th March 2024"/>
    <s v="11th"/>
    <x v="10"/>
    <x v="7"/>
    <x v="1"/>
  </r>
  <r>
    <x v="5"/>
    <x v="1"/>
    <x v="1"/>
    <x v="1336"/>
    <x v="1417"/>
    <s v="25th January 2024"/>
    <s v="25th"/>
    <x v="11"/>
    <x v="7"/>
    <x v="1"/>
  </r>
  <r>
    <x v="5"/>
    <x v="1"/>
    <x v="1"/>
    <x v="1337"/>
    <x v="1418"/>
    <s v="25th January 2024"/>
    <s v="25th"/>
    <x v="11"/>
    <x v="7"/>
    <x v="1"/>
  </r>
  <r>
    <x v="5"/>
    <x v="1"/>
    <x v="1"/>
    <x v="1338"/>
    <x v="1419"/>
    <s v="25th January 2024"/>
    <s v="25th"/>
    <x v="11"/>
    <x v="7"/>
    <x v="1"/>
  </r>
  <r>
    <x v="5"/>
    <x v="1"/>
    <x v="1"/>
    <x v="1339"/>
    <x v="1420"/>
    <s v="25th January 2024"/>
    <s v="25th"/>
    <x v="11"/>
    <x v="7"/>
    <x v="1"/>
  </r>
  <r>
    <x v="5"/>
    <x v="6"/>
    <x v="1"/>
    <x v="1340"/>
    <x v="1421"/>
    <s v="25th January 2024"/>
    <s v="25th"/>
    <x v="11"/>
    <x v="7"/>
    <x v="1"/>
  </r>
  <r>
    <x v="5"/>
    <x v="1"/>
    <x v="1"/>
    <x v="1341"/>
    <x v="1422"/>
    <s v="25th January 2024"/>
    <s v="25th"/>
    <x v="11"/>
    <x v="7"/>
    <x v="1"/>
  </r>
  <r>
    <x v="5"/>
    <x v="1"/>
    <x v="1"/>
    <x v="1342"/>
    <x v="1423"/>
    <s v="25th January 2024"/>
    <s v="25th"/>
    <x v="11"/>
    <x v="7"/>
    <x v="1"/>
  </r>
  <r>
    <x v="5"/>
    <x v="1"/>
    <x v="1"/>
    <x v="1343"/>
    <x v="1424"/>
    <s v="25th January 2024"/>
    <s v="25th"/>
    <x v="11"/>
    <x v="7"/>
    <x v="1"/>
  </r>
  <r>
    <x v="5"/>
    <x v="6"/>
    <x v="1"/>
    <x v="1344"/>
    <x v="1425"/>
    <s v="25th January 2024"/>
    <s v="25th"/>
    <x v="11"/>
    <x v="7"/>
    <x v="1"/>
  </r>
  <r>
    <x v="5"/>
    <x v="1"/>
    <x v="1"/>
    <x v="1345"/>
    <x v="1426"/>
    <s v="25th January 2024"/>
    <s v="25th"/>
    <x v="11"/>
    <x v="7"/>
    <x v="1"/>
  </r>
  <r>
    <x v="5"/>
    <x v="1"/>
    <x v="1"/>
    <x v="1346"/>
    <x v="1427"/>
    <s v="7th December 2023"/>
    <s v="7th"/>
    <x v="4"/>
    <x v="0"/>
    <x v="1"/>
  </r>
  <r>
    <x v="5"/>
    <x v="1"/>
    <x v="1"/>
    <x v="1347"/>
    <x v="1428"/>
    <s v="7th December 2023"/>
    <s v="7th"/>
    <x v="4"/>
    <x v="0"/>
    <x v="1"/>
  </r>
  <r>
    <x v="5"/>
    <x v="1"/>
    <x v="1"/>
    <x v="1348"/>
    <x v="1429"/>
    <s v="7th December 2023"/>
    <s v="7th"/>
    <x v="4"/>
    <x v="0"/>
    <x v="1"/>
  </r>
  <r>
    <x v="5"/>
    <x v="1"/>
    <x v="1"/>
    <x v="1349"/>
    <x v="1430"/>
    <s v="7th December 2023"/>
    <s v="7th"/>
    <x v="4"/>
    <x v="0"/>
    <x v="1"/>
  </r>
  <r>
    <x v="5"/>
    <x v="1"/>
    <x v="1"/>
    <x v="1350"/>
    <x v="1431"/>
    <s v="7th December 2023"/>
    <s v="7th"/>
    <x v="4"/>
    <x v="0"/>
    <x v="1"/>
  </r>
  <r>
    <x v="5"/>
    <x v="6"/>
    <x v="1"/>
    <x v="1351"/>
    <x v="1432"/>
    <s v="7th December 2023"/>
    <s v="7th"/>
    <x v="4"/>
    <x v="0"/>
    <x v="1"/>
  </r>
  <r>
    <x v="5"/>
    <x v="1"/>
    <x v="1"/>
    <x v="1352"/>
    <x v="1433"/>
    <s v="7th December 2023"/>
    <s v="7th"/>
    <x v="4"/>
    <x v="0"/>
    <x v="1"/>
  </r>
  <r>
    <x v="5"/>
    <x v="2"/>
    <x v="2"/>
    <x v="1353"/>
    <x v="1434"/>
    <s v="7th December 2023"/>
    <s v="7th"/>
    <x v="4"/>
    <x v="0"/>
    <x v="0"/>
  </r>
  <r>
    <x v="5"/>
    <x v="1"/>
    <x v="1"/>
    <x v="1354"/>
    <x v="1435"/>
    <s v="7th December 2023"/>
    <s v="7th"/>
    <x v="4"/>
    <x v="0"/>
    <x v="1"/>
  </r>
  <r>
    <x v="5"/>
    <x v="1"/>
    <x v="1"/>
    <x v="1355"/>
    <x v="1436"/>
    <s v="7th December 2023"/>
    <s v="7th"/>
    <x v="4"/>
    <x v="0"/>
    <x v="1"/>
  </r>
  <r>
    <x v="5"/>
    <x v="1"/>
    <x v="1"/>
    <x v="1356"/>
    <x v="1437"/>
    <s v="1st November 2023"/>
    <s v="1st"/>
    <x v="6"/>
    <x v="0"/>
    <x v="1"/>
  </r>
  <r>
    <x v="5"/>
    <x v="1"/>
    <x v="1"/>
    <x v="711"/>
    <x v="1438"/>
    <s v="1st November 2023"/>
    <s v="1st"/>
    <x v="6"/>
    <x v="0"/>
    <x v="1"/>
  </r>
  <r>
    <x v="5"/>
    <x v="1"/>
    <x v="1"/>
    <x v="1357"/>
    <x v="1439"/>
    <s v="1st November 2023"/>
    <s v="1st"/>
    <x v="6"/>
    <x v="0"/>
    <x v="1"/>
  </r>
  <r>
    <x v="5"/>
    <x v="5"/>
    <x v="0"/>
    <x v="1358"/>
    <x v="1440"/>
    <s v="1st November 2023"/>
    <s v="1st"/>
    <x v="6"/>
    <x v="0"/>
    <x v="0"/>
  </r>
  <r>
    <x v="5"/>
    <x v="4"/>
    <x v="2"/>
    <x v="1359"/>
    <x v="1441"/>
    <s v="1st November 2023"/>
    <s v="1st"/>
    <x v="6"/>
    <x v="0"/>
    <x v="0"/>
  </r>
  <r>
    <x v="5"/>
    <x v="6"/>
    <x v="1"/>
    <x v="1360"/>
    <x v="1442"/>
    <s v="1st November 2023"/>
    <s v="1st"/>
    <x v="6"/>
    <x v="0"/>
    <x v="1"/>
  </r>
  <r>
    <x v="5"/>
    <x v="2"/>
    <x v="2"/>
    <x v="707"/>
    <x v="1443"/>
    <s v="1st November 2023"/>
    <s v="1st"/>
    <x v="6"/>
    <x v="0"/>
    <x v="0"/>
  </r>
  <r>
    <x v="5"/>
    <x v="7"/>
    <x v="0"/>
    <x v="1361"/>
    <x v="1097"/>
    <s v="1st November 2023"/>
    <s v="1st"/>
    <x v="6"/>
    <x v="0"/>
    <x v="0"/>
  </r>
  <r>
    <x v="5"/>
    <x v="6"/>
    <x v="1"/>
    <x v="267"/>
    <x v="1444"/>
    <s v="1st November 2023"/>
    <s v="1st"/>
    <x v="6"/>
    <x v="0"/>
    <x v="1"/>
  </r>
  <r>
    <x v="5"/>
    <x v="1"/>
    <x v="1"/>
    <x v="1362"/>
    <x v="1445"/>
    <s v="1st November 2023"/>
    <s v="1st"/>
    <x v="6"/>
    <x v="0"/>
    <x v="1"/>
  </r>
  <r>
    <x v="5"/>
    <x v="1"/>
    <x v="1"/>
    <x v="220"/>
    <x v="1446"/>
    <s v="21st September 2023"/>
    <s v="21st"/>
    <x v="2"/>
    <x v="0"/>
    <x v="1"/>
  </r>
  <r>
    <x v="5"/>
    <x v="4"/>
    <x v="2"/>
    <x v="1363"/>
    <x v="1447"/>
    <s v="21st September 2023"/>
    <s v="21st"/>
    <x v="2"/>
    <x v="0"/>
    <x v="0"/>
  </r>
  <r>
    <x v="5"/>
    <x v="1"/>
    <x v="1"/>
    <x v="1364"/>
    <x v="1448"/>
    <s v="21st September 2023"/>
    <s v="21st"/>
    <x v="2"/>
    <x v="0"/>
    <x v="1"/>
  </r>
  <r>
    <x v="5"/>
    <x v="4"/>
    <x v="2"/>
    <x v="1365"/>
    <x v="1449"/>
    <s v="21st September 2023"/>
    <s v="21st"/>
    <x v="2"/>
    <x v="0"/>
    <x v="0"/>
  </r>
  <r>
    <x v="5"/>
    <x v="1"/>
    <x v="1"/>
    <x v="1366"/>
    <x v="1450"/>
    <s v="21st September 2023"/>
    <s v="21st"/>
    <x v="2"/>
    <x v="0"/>
    <x v="1"/>
  </r>
  <r>
    <x v="5"/>
    <x v="1"/>
    <x v="1"/>
    <x v="1367"/>
    <x v="1451"/>
    <s v="21st September 2023"/>
    <s v="21st"/>
    <x v="2"/>
    <x v="0"/>
    <x v="1"/>
  </r>
  <r>
    <x v="5"/>
    <x v="4"/>
    <x v="2"/>
    <x v="1368"/>
    <x v="1452"/>
    <s v="21st September 2023"/>
    <s v="21st"/>
    <x v="2"/>
    <x v="0"/>
    <x v="0"/>
  </r>
  <r>
    <x v="5"/>
    <x v="2"/>
    <x v="2"/>
    <x v="1369"/>
    <x v="1453"/>
    <s v="21st September 2023"/>
    <s v="21st"/>
    <x v="2"/>
    <x v="0"/>
    <x v="0"/>
  </r>
  <r>
    <x v="5"/>
    <x v="2"/>
    <x v="2"/>
    <x v="1370"/>
    <x v="1454"/>
    <s v="21st September 2023"/>
    <s v="21st"/>
    <x v="2"/>
    <x v="0"/>
    <x v="0"/>
  </r>
  <r>
    <x v="5"/>
    <x v="1"/>
    <x v="1"/>
    <x v="1371"/>
    <x v="1455"/>
    <s v="21st September 2023"/>
    <s v="21st"/>
    <x v="2"/>
    <x v="0"/>
    <x v="1"/>
  </r>
  <r>
    <x v="5"/>
    <x v="6"/>
    <x v="1"/>
    <x v="1372"/>
    <x v="1456"/>
    <s v="11th July 2023"/>
    <s v="11th"/>
    <x v="9"/>
    <x v="0"/>
    <x v="1"/>
  </r>
  <r>
    <x v="5"/>
    <x v="1"/>
    <x v="1"/>
    <x v="1373"/>
    <x v="1457"/>
    <s v="11th July 2023"/>
    <s v="11th"/>
    <x v="9"/>
    <x v="0"/>
    <x v="1"/>
  </r>
  <r>
    <x v="5"/>
    <x v="1"/>
    <x v="1"/>
    <x v="1374"/>
    <x v="1458"/>
    <s v="11th July 2023"/>
    <s v="11th"/>
    <x v="9"/>
    <x v="0"/>
    <x v="1"/>
  </r>
  <r>
    <x v="5"/>
    <x v="1"/>
    <x v="1"/>
    <x v="1375"/>
    <x v="1459"/>
    <s v="11th July 2023"/>
    <s v="11th"/>
    <x v="9"/>
    <x v="0"/>
    <x v="1"/>
  </r>
  <r>
    <x v="5"/>
    <x v="4"/>
    <x v="2"/>
    <x v="1376"/>
    <x v="1460"/>
    <s v="11th July 2023"/>
    <s v="11th"/>
    <x v="9"/>
    <x v="0"/>
    <x v="0"/>
  </r>
  <r>
    <x v="5"/>
    <x v="1"/>
    <x v="1"/>
    <x v="1377"/>
    <x v="1461"/>
    <s v="11th July 2023"/>
    <s v="11th"/>
    <x v="9"/>
    <x v="0"/>
    <x v="1"/>
  </r>
  <r>
    <x v="5"/>
    <x v="1"/>
    <x v="1"/>
    <x v="490"/>
    <x v="1462"/>
    <s v="11th July 2023"/>
    <s v="11th"/>
    <x v="9"/>
    <x v="0"/>
    <x v="1"/>
  </r>
  <r>
    <x v="5"/>
    <x v="6"/>
    <x v="1"/>
    <x v="1378"/>
    <x v="1463"/>
    <s v="11th July 2023"/>
    <s v="11th"/>
    <x v="9"/>
    <x v="0"/>
    <x v="1"/>
  </r>
  <r>
    <x v="5"/>
    <x v="1"/>
    <x v="1"/>
    <x v="1379"/>
    <x v="1464"/>
    <s v="11th July 2023"/>
    <s v="11th"/>
    <x v="9"/>
    <x v="0"/>
    <x v="1"/>
  </r>
  <r>
    <x v="5"/>
    <x v="1"/>
    <x v="1"/>
    <x v="1380"/>
    <x v="1465"/>
    <s v="11th July 2023"/>
    <s v="11th"/>
    <x v="9"/>
    <x v="0"/>
    <x v="1"/>
  </r>
  <r>
    <x v="5"/>
    <x v="1"/>
    <x v="1"/>
    <x v="1381"/>
    <x v="1466"/>
    <s v="2nd June 2023"/>
    <s v="2nd"/>
    <x v="3"/>
    <x v="0"/>
    <x v="1"/>
  </r>
  <r>
    <x v="5"/>
    <x v="1"/>
    <x v="1"/>
    <x v="376"/>
    <x v="1467"/>
    <s v="2nd June 2023"/>
    <s v="2nd"/>
    <x v="3"/>
    <x v="0"/>
    <x v="1"/>
  </r>
  <r>
    <x v="5"/>
    <x v="6"/>
    <x v="1"/>
    <x v="1382"/>
    <x v="1468"/>
    <s v="2nd June 2023"/>
    <s v="2nd"/>
    <x v="3"/>
    <x v="0"/>
    <x v="1"/>
  </r>
  <r>
    <x v="5"/>
    <x v="1"/>
    <x v="1"/>
    <x v="1383"/>
    <x v="1469"/>
    <s v="2nd June 2023"/>
    <s v="2nd"/>
    <x v="3"/>
    <x v="0"/>
    <x v="1"/>
  </r>
  <r>
    <x v="5"/>
    <x v="8"/>
    <x v="1"/>
    <x v="1384"/>
    <x v="1470"/>
    <s v="2nd June 2023"/>
    <s v="2nd"/>
    <x v="3"/>
    <x v="0"/>
    <x v="1"/>
  </r>
  <r>
    <x v="5"/>
    <x v="1"/>
    <x v="1"/>
    <x v="1385"/>
    <x v="1471"/>
    <s v="2nd June 2023"/>
    <s v="2nd"/>
    <x v="3"/>
    <x v="0"/>
    <x v="1"/>
  </r>
  <r>
    <x v="5"/>
    <x v="1"/>
    <x v="1"/>
    <x v="1386"/>
    <x v="1472"/>
    <s v="2nd June 2023"/>
    <s v="2nd"/>
    <x v="3"/>
    <x v="0"/>
    <x v="1"/>
  </r>
  <r>
    <x v="5"/>
    <x v="1"/>
    <x v="1"/>
    <x v="1387"/>
    <x v="1473"/>
    <s v="2nd June 2023"/>
    <s v="2nd"/>
    <x v="3"/>
    <x v="0"/>
    <x v="1"/>
  </r>
  <r>
    <x v="5"/>
    <x v="1"/>
    <x v="1"/>
    <x v="1388"/>
    <x v="1474"/>
    <s v="2nd June 2023"/>
    <s v="2nd"/>
    <x v="3"/>
    <x v="0"/>
    <x v="1"/>
  </r>
  <r>
    <x v="5"/>
    <x v="1"/>
    <x v="1"/>
    <x v="1389"/>
    <x v="1475"/>
    <s v="2nd June 2023"/>
    <s v="2nd"/>
    <x v="3"/>
    <x v="0"/>
    <x v="1"/>
  </r>
  <r>
    <x v="5"/>
    <x v="1"/>
    <x v="1"/>
    <x v="1390"/>
    <x v="1476"/>
    <s v="25th March 2023"/>
    <s v="25th"/>
    <x v="10"/>
    <x v="0"/>
    <x v="1"/>
  </r>
  <r>
    <x v="5"/>
    <x v="1"/>
    <x v="1"/>
    <x v="1391"/>
    <x v="1477"/>
    <s v="25th March 2023"/>
    <s v="25th"/>
    <x v="10"/>
    <x v="0"/>
    <x v="1"/>
  </r>
  <r>
    <x v="5"/>
    <x v="1"/>
    <x v="1"/>
    <x v="789"/>
    <x v="1478"/>
    <s v="25th March 2023"/>
    <s v="25th"/>
    <x v="10"/>
    <x v="0"/>
    <x v="1"/>
  </r>
  <r>
    <x v="5"/>
    <x v="1"/>
    <x v="1"/>
    <x v="1392"/>
    <x v="1479"/>
    <s v="25th March 2023"/>
    <s v="25th"/>
    <x v="10"/>
    <x v="0"/>
    <x v="1"/>
  </r>
  <r>
    <x v="5"/>
    <x v="1"/>
    <x v="1"/>
    <x v="1393"/>
    <x v="1480"/>
    <s v="25th March 2023"/>
    <s v="25th"/>
    <x v="10"/>
    <x v="0"/>
    <x v="1"/>
  </r>
  <r>
    <x v="5"/>
    <x v="1"/>
    <x v="1"/>
    <x v="1394"/>
    <x v="1481"/>
    <s v="25th March 2023"/>
    <s v="25th"/>
    <x v="10"/>
    <x v="0"/>
    <x v="1"/>
  </r>
  <r>
    <x v="5"/>
    <x v="7"/>
    <x v="0"/>
    <x v="1395"/>
    <x v="315"/>
    <s v="25th March 2023"/>
    <s v="25th"/>
    <x v="10"/>
    <x v="0"/>
    <x v="0"/>
  </r>
  <r>
    <x v="5"/>
    <x v="1"/>
    <x v="1"/>
    <x v="1393"/>
    <x v="1482"/>
    <s v="25th March 2023"/>
    <s v="25th"/>
    <x v="10"/>
    <x v="0"/>
    <x v="1"/>
  </r>
  <r>
    <x v="5"/>
    <x v="8"/>
    <x v="1"/>
    <x v="1396"/>
    <x v="1483"/>
    <s v="25th March 2023"/>
    <s v="25th"/>
    <x v="10"/>
    <x v="0"/>
    <x v="0"/>
  </r>
  <r>
    <x v="5"/>
    <x v="1"/>
    <x v="1"/>
    <x v="1397"/>
    <x v="681"/>
    <s v="25th March 2023"/>
    <s v="25th"/>
    <x v="10"/>
    <x v="0"/>
    <x v="1"/>
  </r>
  <r>
    <x v="5"/>
    <x v="1"/>
    <x v="1"/>
    <x v="1398"/>
    <x v="1484"/>
    <s v="8th January 2023"/>
    <s v="8th"/>
    <x v="11"/>
    <x v="0"/>
    <x v="1"/>
  </r>
  <r>
    <x v="5"/>
    <x v="1"/>
    <x v="1"/>
    <x v="1399"/>
    <x v="1485"/>
    <s v="8th January 2023"/>
    <s v="8th"/>
    <x v="11"/>
    <x v="0"/>
    <x v="1"/>
  </r>
  <r>
    <x v="5"/>
    <x v="1"/>
    <x v="1"/>
    <x v="1400"/>
    <x v="1486"/>
    <s v="8th January 2023"/>
    <s v="8th"/>
    <x v="11"/>
    <x v="0"/>
    <x v="1"/>
  </r>
  <r>
    <x v="5"/>
    <x v="1"/>
    <x v="1"/>
    <x v="1401"/>
    <x v="1487"/>
    <s v="8th January 2023"/>
    <s v="8th"/>
    <x v="11"/>
    <x v="0"/>
    <x v="1"/>
  </r>
  <r>
    <x v="5"/>
    <x v="1"/>
    <x v="1"/>
    <x v="1402"/>
    <x v="1488"/>
    <s v="8th January 2023"/>
    <s v="8th"/>
    <x v="11"/>
    <x v="0"/>
    <x v="1"/>
  </r>
  <r>
    <x v="5"/>
    <x v="0"/>
    <x v="0"/>
    <x v="1403"/>
    <x v="12"/>
    <s v="8th January 2023"/>
    <s v="8th"/>
    <x v="11"/>
    <x v="0"/>
    <x v="1"/>
  </r>
  <r>
    <x v="5"/>
    <x v="1"/>
    <x v="1"/>
    <x v="1394"/>
    <x v="1489"/>
    <s v="8th January 2023"/>
    <s v="8th"/>
    <x v="11"/>
    <x v="0"/>
    <x v="1"/>
  </r>
  <r>
    <x v="5"/>
    <x v="8"/>
    <x v="1"/>
    <x v="1404"/>
    <x v="1490"/>
    <s v="8th January 2023"/>
    <s v="8th"/>
    <x v="11"/>
    <x v="0"/>
    <x v="1"/>
  </r>
  <r>
    <x v="5"/>
    <x v="6"/>
    <x v="1"/>
    <x v="1405"/>
    <x v="1491"/>
    <s v="8th January 2023"/>
    <s v="8th"/>
    <x v="11"/>
    <x v="0"/>
    <x v="1"/>
  </r>
  <r>
    <x v="5"/>
    <x v="1"/>
    <x v="1"/>
    <x v="1406"/>
    <x v="1492"/>
    <s v="8th January 2023"/>
    <s v="8th"/>
    <x v="11"/>
    <x v="0"/>
    <x v="1"/>
  </r>
  <r>
    <x v="5"/>
    <x v="6"/>
    <x v="1"/>
    <x v="1407"/>
    <x v="1493"/>
    <s v="13th November 2022"/>
    <s v="13th"/>
    <x v="6"/>
    <x v="1"/>
    <x v="1"/>
  </r>
  <r>
    <x v="5"/>
    <x v="1"/>
    <x v="1"/>
    <x v="1408"/>
    <x v="1494"/>
    <s v="13th November 2022"/>
    <s v="13th"/>
    <x v="6"/>
    <x v="1"/>
    <x v="1"/>
  </r>
  <r>
    <x v="5"/>
    <x v="1"/>
    <x v="1"/>
    <x v="884"/>
    <x v="1495"/>
    <s v="13th November 2022"/>
    <s v="13th"/>
    <x v="6"/>
    <x v="1"/>
    <x v="1"/>
  </r>
  <r>
    <x v="5"/>
    <x v="8"/>
    <x v="1"/>
    <x v="434"/>
    <x v="1496"/>
    <s v="13th November 2022"/>
    <s v="13th"/>
    <x v="6"/>
    <x v="1"/>
    <x v="1"/>
  </r>
  <r>
    <x v="5"/>
    <x v="1"/>
    <x v="1"/>
    <x v="1409"/>
    <x v="1497"/>
    <s v="13th November 2022"/>
    <s v="13th"/>
    <x v="6"/>
    <x v="1"/>
    <x v="1"/>
  </r>
  <r>
    <x v="5"/>
    <x v="1"/>
    <x v="1"/>
    <x v="1410"/>
    <x v="1498"/>
    <s v="13th November 2022"/>
    <s v="13th"/>
    <x v="6"/>
    <x v="1"/>
    <x v="1"/>
  </r>
  <r>
    <x v="5"/>
    <x v="1"/>
    <x v="1"/>
    <x v="1411"/>
    <x v="1499"/>
    <s v="13th November 2022"/>
    <s v="13th"/>
    <x v="6"/>
    <x v="1"/>
    <x v="1"/>
  </r>
  <r>
    <x v="5"/>
    <x v="1"/>
    <x v="1"/>
    <x v="1412"/>
    <x v="1500"/>
    <s v="13th November 2022"/>
    <s v="13th"/>
    <x v="6"/>
    <x v="1"/>
    <x v="1"/>
  </r>
  <r>
    <x v="5"/>
    <x v="1"/>
    <x v="1"/>
    <x v="1413"/>
    <x v="1501"/>
    <s v="13th November 2022"/>
    <s v="13th"/>
    <x v="6"/>
    <x v="1"/>
    <x v="1"/>
  </r>
  <r>
    <x v="5"/>
    <x v="1"/>
    <x v="1"/>
    <x v="1414"/>
    <x v="1502"/>
    <s v="13th November 2022"/>
    <s v="13th"/>
    <x v="6"/>
    <x v="1"/>
    <x v="1"/>
  </r>
  <r>
    <x v="5"/>
    <x v="1"/>
    <x v="1"/>
    <x v="1415"/>
    <x v="1503"/>
    <s v="26th August 2022"/>
    <s v="26th"/>
    <x v="8"/>
    <x v="1"/>
    <x v="1"/>
  </r>
  <r>
    <x v="5"/>
    <x v="2"/>
    <x v="2"/>
    <x v="1416"/>
    <x v="1504"/>
    <s v="26th August 2022"/>
    <s v="26th"/>
    <x v="8"/>
    <x v="1"/>
    <x v="0"/>
  </r>
  <r>
    <x v="5"/>
    <x v="1"/>
    <x v="1"/>
    <x v="1417"/>
    <x v="1505"/>
    <s v="26th August 2022"/>
    <s v="26th"/>
    <x v="8"/>
    <x v="1"/>
    <x v="1"/>
  </r>
  <r>
    <x v="5"/>
    <x v="5"/>
    <x v="0"/>
    <x v="1418"/>
    <x v="1506"/>
    <s v="26th August 2022"/>
    <s v="26th"/>
    <x v="8"/>
    <x v="1"/>
    <x v="0"/>
  </r>
  <r>
    <x v="5"/>
    <x v="1"/>
    <x v="1"/>
    <x v="1419"/>
    <x v="1507"/>
    <s v="26th August 2022"/>
    <s v="26th"/>
    <x v="8"/>
    <x v="1"/>
    <x v="1"/>
  </r>
  <r>
    <x v="5"/>
    <x v="1"/>
    <x v="1"/>
    <x v="1420"/>
    <x v="1508"/>
    <s v="26th August 2022"/>
    <s v="26th"/>
    <x v="8"/>
    <x v="1"/>
    <x v="1"/>
  </r>
  <r>
    <x v="5"/>
    <x v="1"/>
    <x v="1"/>
    <x v="1421"/>
    <x v="1509"/>
    <s v="26th August 2022"/>
    <s v="26th"/>
    <x v="8"/>
    <x v="1"/>
    <x v="1"/>
  </r>
  <r>
    <x v="5"/>
    <x v="8"/>
    <x v="1"/>
    <x v="1422"/>
    <x v="1510"/>
    <s v="26th August 2022"/>
    <s v="26th"/>
    <x v="8"/>
    <x v="1"/>
    <x v="1"/>
  </r>
  <r>
    <x v="5"/>
    <x v="1"/>
    <x v="1"/>
    <x v="1423"/>
    <x v="1511"/>
    <s v="26th August 2022"/>
    <s v="26th"/>
    <x v="8"/>
    <x v="1"/>
    <x v="1"/>
  </r>
  <r>
    <x v="5"/>
    <x v="1"/>
    <x v="1"/>
    <x v="1424"/>
    <x v="1512"/>
    <s v="26th August 2022"/>
    <s v="26th"/>
    <x v="8"/>
    <x v="1"/>
    <x v="1"/>
  </r>
  <r>
    <x v="5"/>
    <x v="1"/>
    <x v="1"/>
    <x v="1425"/>
    <x v="1513"/>
    <s v="11th June 2022"/>
    <s v="11th"/>
    <x v="3"/>
    <x v="1"/>
    <x v="1"/>
  </r>
  <r>
    <x v="5"/>
    <x v="1"/>
    <x v="1"/>
    <x v="1426"/>
    <x v="1514"/>
    <s v="11th June 2022"/>
    <s v="11th"/>
    <x v="3"/>
    <x v="1"/>
    <x v="1"/>
  </r>
  <r>
    <x v="5"/>
    <x v="1"/>
    <x v="1"/>
    <x v="75"/>
    <x v="1515"/>
    <s v="11th June 2022"/>
    <s v="11th"/>
    <x v="3"/>
    <x v="1"/>
    <x v="1"/>
  </r>
  <r>
    <x v="5"/>
    <x v="3"/>
    <x v="2"/>
    <x v="1427"/>
    <x v="1516"/>
    <s v="11th June 2022"/>
    <s v="11th"/>
    <x v="3"/>
    <x v="1"/>
    <x v="0"/>
  </r>
  <r>
    <x v="5"/>
    <x v="1"/>
    <x v="1"/>
    <x v="1428"/>
    <x v="1517"/>
    <s v="11th June 2022"/>
    <s v="11th"/>
    <x v="3"/>
    <x v="1"/>
    <x v="1"/>
  </r>
  <r>
    <x v="5"/>
    <x v="1"/>
    <x v="1"/>
    <x v="776"/>
    <x v="1518"/>
    <s v="11th June 2022"/>
    <s v="11th"/>
    <x v="3"/>
    <x v="1"/>
    <x v="1"/>
  </r>
  <r>
    <x v="5"/>
    <x v="6"/>
    <x v="1"/>
    <x v="1429"/>
    <x v="1519"/>
    <s v="11th June 2022"/>
    <s v="11th"/>
    <x v="3"/>
    <x v="1"/>
    <x v="1"/>
  </r>
  <r>
    <x v="5"/>
    <x v="1"/>
    <x v="1"/>
    <x v="1430"/>
    <x v="1520"/>
    <s v="11th June 2022"/>
    <s v="11th"/>
    <x v="3"/>
    <x v="1"/>
    <x v="1"/>
  </r>
  <r>
    <x v="5"/>
    <x v="6"/>
    <x v="1"/>
    <x v="16"/>
    <x v="1521"/>
    <s v="11th June 2022"/>
    <s v="11th"/>
    <x v="3"/>
    <x v="1"/>
    <x v="1"/>
  </r>
  <r>
    <x v="5"/>
    <x v="1"/>
    <x v="1"/>
    <x v="1431"/>
    <x v="1522"/>
    <s v="11th June 2022"/>
    <s v="11th"/>
    <x v="3"/>
    <x v="1"/>
    <x v="1"/>
  </r>
  <r>
    <x v="5"/>
    <x v="6"/>
    <x v="1"/>
    <x v="1432"/>
    <x v="1523"/>
    <s v="20th May 2022"/>
    <s v="20th"/>
    <x v="7"/>
    <x v="1"/>
    <x v="1"/>
  </r>
  <r>
    <x v="5"/>
    <x v="1"/>
    <x v="1"/>
    <x v="1433"/>
    <x v="1524"/>
    <s v="20th May 2022"/>
    <s v="20th"/>
    <x v="7"/>
    <x v="1"/>
    <x v="1"/>
  </r>
  <r>
    <x v="5"/>
    <x v="2"/>
    <x v="2"/>
    <x v="1434"/>
    <x v="1525"/>
    <s v="20th May 2022"/>
    <s v="20th"/>
    <x v="7"/>
    <x v="1"/>
    <x v="0"/>
  </r>
  <r>
    <x v="5"/>
    <x v="1"/>
    <x v="1"/>
    <x v="1435"/>
    <x v="1526"/>
    <s v="20th May 2022"/>
    <s v="20th"/>
    <x v="7"/>
    <x v="1"/>
    <x v="1"/>
  </r>
  <r>
    <x v="5"/>
    <x v="1"/>
    <x v="1"/>
    <x v="1436"/>
    <x v="1527"/>
    <s v="20th May 2022"/>
    <s v="20th"/>
    <x v="7"/>
    <x v="1"/>
    <x v="1"/>
  </r>
  <r>
    <x v="5"/>
    <x v="1"/>
    <x v="1"/>
    <x v="1437"/>
    <x v="1528"/>
    <s v="20th May 2022"/>
    <s v="20th"/>
    <x v="7"/>
    <x v="1"/>
    <x v="1"/>
  </r>
  <r>
    <x v="5"/>
    <x v="4"/>
    <x v="2"/>
    <x v="1438"/>
    <x v="1529"/>
    <s v="20th May 2022"/>
    <s v="20th"/>
    <x v="7"/>
    <x v="1"/>
    <x v="0"/>
  </r>
  <r>
    <x v="5"/>
    <x v="5"/>
    <x v="0"/>
    <x v="931"/>
    <x v="12"/>
    <s v="20th May 2022"/>
    <s v="20th"/>
    <x v="7"/>
    <x v="1"/>
    <x v="0"/>
  </r>
  <r>
    <x v="5"/>
    <x v="1"/>
    <x v="1"/>
    <x v="1439"/>
    <x v="1530"/>
    <s v="20th May 2022"/>
    <s v="20th"/>
    <x v="7"/>
    <x v="1"/>
    <x v="1"/>
  </r>
  <r>
    <x v="5"/>
    <x v="2"/>
    <x v="2"/>
    <x v="1440"/>
    <x v="1531"/>
    <s v="20th May 2022"/>
    <s v="20th"/>
    <x v="7"/>
    <x v="1"/>
    <x v="0"/>
  </r>
  <r>
    <x v="5"/>
    <x v="2"/>
    <x v="2"/>
    <x v="1441"/>
    <x v="1532"/>
    <s v="20th March 2022"/>
    <s v="20th"/>
    <x v="10"/>
    <x v="1"/>
    <x v="0"/>
  </r>
  <r>
    <x v="5"/>
    <x v="3"/>
    <x v="2"/>
    <x v="526"/>
    <x v="12"/>
    <s v="20th March 2022"/>
    <s v="20th"/>
    <x v="10"/>
    <x v="1"/>
    <x v="0"/>
  </r>
  <r>
    <x v="5"/>
    <x v="4"/>
    <x v="2"/>
    <x v="1442"/>
    <x v="1533"/>
    <s v="20th March 2022"/>
    <s v="20th"/>
    <x v="10"/>
    <x v="1"/>
    <x v="0"/>
  </r>
  <r>
    <x v="5"/>
    <x v="1"/>
    <x v="1"/>
    <x v="1443"/>
    <x v="1534"/>
    <s v="20th March 2022"/>
    <s v="20th"/>
    <x v="10"/>
    <x v="1"/>
    <x v="1"/>
  </r>
  <r>
    <x v="5"/>
    <x v="3"/>
    <x v="2"/>
    <x v="1444"/>
    <x v="1535"/>
    <s v="20th March 2022"/>
    <s v="20th"/>
    <x v="10"/>
    <x v="1"/>
    <x v="0"/>
  </r>
  <r>
    <x v="5"/>
    <x v="2"/>
    <x v="2"/>
    <x v="1445"/>
    <x v="1536"/>
    <s v="20th March 2022"/>
    <s v="20th"/>
    <x v="10"/>
    <x v="1"/>
    <x v="0"/>
  </r>
  <r>
    <x v="5"/>
    <x v="1"/>
    <x v="1"/>
    <x v="1446"/>
    <x v="1537"/>
    <s v="20th March 2022"/>
    <s v="20th"/>
    <x v="10"/>
    <x v="1"/>
    <x v="1"/>
  </r>
  <r>
    <x v="5"/>
    <x v="1"/>
    <x v="1"/>
    <x v="1447"/>
    <x v="1538"/>
    <s v="20th March 2022"/>
    <s v="20th"/>
    <x v="10"/>
    <x v="1"/>
    <x v="1"/>
  </r>
  <r>
    <x v="5"/>
    <x v="1"/>
    <x v="1"/>
    <x v="1448"/>
    <x v="1539"/>
    <s v="20th March 2022"/>
    <s v="20th"/>
    <x v="10"/>
    <x v="1"/>
    <x v="1"/>
  </r>
  <r>
    <x v="5"/>
    <x v="1"/>
    <x v="1"/>
    <x v="1449"/>
    <x v="1540"/>
    <s v="20th March 2022"/>
    <s v="20th"/>
    <x v="10"/>
    <x v="1"/>
    <x v="1"/>
  </r>
  <r>
    <x v="5"/>
    <x v="1"/>
    <x v="1"/>
    <x v="1450"/>
    <x v="1541"/>
    <s v="6th December 2021"/>
    <s v="6th"/>
    <x v="4"/>
    <x v="2"/>
    <x v="1"/>
  </r>
  <r>
    <x v="5"/>
    <x v="1"/>
    <x v="1"/>
    <x v="1451"/>
    <x v="1542"/>
    <s v="6th December 2021"/>
    <s v="6th"/>
    <x v="4"/>
    <x v="2"/>
    <x v="1"/>
  </r>
  <r>
    <x v="5"/>
    <x v="1"/>
    <x v="1"/>
    <x v="1452"/>
    <x v="1543"/>
    <s v="6th December 2021"/>
    <s v="6th"/>
    <x v="4"/>
    <x v="2"/>
    <x v="1"/>
  </r>
  <r>
    <x v="5"/>
    <x v="1"/>
    <x v="1"/>
    <x v="1453"/>
    <x v="1544"/>
    <s v="6th December 2021"/>
    <s v="6th"/>
    <x v="4"/>
    <x v="2"/>
    <x v="1"/>
  </r>
  <r>
    <x v="5"/>
    <x v="1"/>
    <x v="1"/>
    <x v="1454"/>
    <x v="1545"/>
    <s v="6th December 2021"/>
    <s v="6th"/>
    <x v="4"/>
    <x v="2"/>
    <x v="1"/>
  </r>
  <r>
    <x v="5"/>
    <x v="2"/>
    <x v="2"/>
    <x v="1455"/>
    <x v="1546"/>
    <s v="6th December 2021"/>
    <s v="6th"/>
    <x v="4"/>
    <x v="2"/>
    <x v="0"/>
  </r>
  <r>
    <x v="5"/>
    <x v="2"/>
    <x v="2"/>
    <x v="1456"/>
    <x v="1547"/>
    <s v="6th December 2021"/>
    <s v="6th"/>
    <x v="4"/>
    <x v="2"/>
    <x v="0"/>
  </r>
  <r>
    <x v="5"/>
    <x v="5"/>
    <x v="0"/>
    <x v="1457"/>
    <x v="1548"/>
    <s v="6th December 2021"/>
    <s v="6th"/>
    <x v="4"/>
    <x v="2"/>
    <x v="0"/>
  </r>
  <r>
    <x v="5"/>
    <x v="8"/>
    <x v="1"/>
    <x v="1458"/>
    <x v="1549"/>
    <s v="6th December 2021"/>
    <s v="6th"/>
    <x v="4"/>
    <x v="2"/>
    <x v="1"/>
  </r>
  <r>
    <x v="5"/>
    <x v="2"/>
    <x v="2"/>
    <x v="1459"/>
    <x v="1550"/>
    <s v="6th December 2021"/>
    <s v="6th"/>
    <x v="4"/>
    <x v="2"/>
    <x v="0"/>
  </r>
  <r>
    <x v="5"/>
    <x v="2"/>
    <x v="2"/>
    <x v="1460"/>
    <x v="1551"/>
    <s v="21st September 2021"/>
    <s v="21st"/>
    <x v="2"/>
    <x v="2"/>
    <x v="0"/>
  </r>
  <r>
    <x v="5"/>
    <x v="1"/>
    <x v="1"/>
    <x v="1461"/>
    <x v="1552"/>
    <s v="21st September 2021"/>
    <s v="21st"/>
    <x v="2"/>
    <x v="2"/>
    <x v="1"/>
  </r>
  <r>
    <x v="5"/>
    <x v="1"/>
    <x v="1"/>
    <x v="1462"/>
    <x v="1553"/>
    <s v="21st September 2021"/>
    <s v="21st"/>
    <x v="2"/>
    <x v="2"/>
    <x v="1"/>
  </r>
  <r>
    <x v="5"/>
    <x v="4"/>
    <x v="2"/>
    <x v="1463"/>
    <x v="1554"/>
    <s v="21st September 2021"/>
    <s v="21st"/>
    <x v="2"/>
    <x v="2"/>
    <x v="0"/>
  </r>
  <r>
    <x v="5"/>
    <x v="1"/>
    <x v="1"/>
    <x v="1464"/>
    <x v="1555"/>
    <s v="21st September 2021"/>
    <s v="21st"/>
    <x v="2"/>
    <x v="2"/>
    <x v="1"/>
  </r>
  <r>
    <x v="5"/>
    <x v="2"/>
    <x v="2"/>
    <x v="1465"/>
    <x v="1556"/>
    <s v="21st September 2021"/>
    <s v="21st"/>
    <x v="2"/>
    <x v="2"/>
    <x v="0"/>
  </r>
  <r>
    <x v="5"/>
    <x v="8"/>
    <x v="1"/>
    <x v="1466"/>
    <x v="1557"/>
    <s v="21st September 2021"/>
    <s v="21st"/>
    <x v="2"/>
    <x v="2"/>
    <x v="1"/>
  </r>
  <r>
    <x v="5"/>
    <x v="8"/>
    <x v="1"/>
    <x v="1467"/>
    <x v="1558"/>
    <s v="21st September 2021"/>
    <s v="21st"/>
    <x v="2"/>
    <x v="2"/>
    <x v="1"/>
  </r>
  <r>
    <x v="5"/>
    <x v="2"/>
    <x v="2"/>
    <x v="1468"/>
    <x v="1559"/>
    <s v="21st September 2021"/>
    <s v="21st"/>
    <x v="2"/>
    <x v="2"/>
    <x v="0"/>
  </r>
  <r>
    <x v="5"/>
    <x v="1"/>
    <x v="1"/>
    <x v="1469"/>
    <x v="1560"/>
    <s v="21st September 2021"/>
    <s v="21st"/>
    <x v="2"/>
    <x v="2"/>
    <x v="1"/>
  </r>
  <r>
    <x v="5"/>
    <x v="4"/>
    <x v="2"/>
    <x v="1470"/>
    <x v="1561"/>
    <s v="15th September 2021"/>
    <s v="15th"/>
    <x v="2"/>
    <x v="2"/>
    <x v="0"/>
  </r>
  <r>
    <x v="5"/>
    <x v="2"/>
    <x v="2"/>
    <x v="1471"/>
    <x v="1562"/>
    <s v="15th September 2021"/>
    <s v="15th"/>
    <x v="2"/>
    <x v="2"/>
    <x v="0"/>
  </r>
  <r>
    <x v="5"/>
    <x v="0"/>
    <x v="0"/>
    <x v="634"/>
    <x v="1563"/>
    <s v="15th September 2021"/>
    <s v="15th"/>
    <x v="2"/>
    <x v="2"/>
    <x v="0"/>
  </r>
  <r>
    <x v="5"/>
    <x v="8"/>
    <x v="1"/>
    <x v="1472"/>
    <x v="1564"/>
    <s v="15th September 2021"/>
    <s v="15th"/>
    <x v="2"/>
    <x v="2"/>
    <x v="1"/>
  </r>
  <r>
    <x v="5"/>
    <x v="8"/>
    <x v="1"/>
    <x v="1473"/>
    <x v="1565"/>
    <s v="15th September 2021"/>
    <s v="15th"/>
    <x v="2"/>
    <x v="2"/>
    <x v="1"/>
  </r>
  <r>
    <x v="5"/>
    <x v="3"/>
    <x v="2"/>
    <x v="1474"/>
    <x v="1566"/>
    <s v="15th September 2021"/>
    <s v="15th"/>
    <x v="2"/>
    <x v="2"/>
    <x v="0"/>
  </r>
  <r>
    <x v="5"/>
    <x v="1"/>
    <x v="1"/>
    <x v="1475"/>
    <x v="1567"/>
    <s v="15th September 2021"/>
    <s v="15th"/>
    <x v="2"/>
    <x v="2"/>
    <x v="1"/>
  </r>
  <r>
    <x v="5"/>
    <x v="1"/>
    <x v="1"/>
    <x v="1476"/>
    <x v="1568"/>
    <s v="15th September 2021"/>
    <s v="15th"/>
    <x v="2"/>
    <x v="2"/>
    <x v="1"/>
  </r>
  <r>
    <x v="5"/>
    <x v="5"/>
    <x v="0"/>
    <x v="1477"/>
    <x v="1569"/>
    <s v="15th September 2021"/>
    <s v="15th"/>
    <x v="2"/>
    <x v="2"/>
    <x v="0"/>
  </r>
  <r>
    <x v="5"/>
    <x v="2"/>
    <x v="2"/>
    <x v="1478"/>
    <x v="1570"/>
    <s v="15th September 2021"/>
    <s v="15th"/>
    <x v="2"/>
    <x v="2"/>
    <x v="0"/>
  </r>
  <r>
    <x v="5"/>
    <x v="2"/>
    <x v="2"/>
    <x v="1479"/>
    <x v="1571"/>
    <s v="23rd August 2021"/>
    <s v="23rd"/>
    <x v="8"/>
    <x v="2"/>
    <x v="0"/>
  </r>
  <r>
    <x v="5"/>
    <x v="6"/>
    <x v="1"/>
    <x v="1480"/>
    <x v="1572"/>
    <s v="23rd August 2021"/>
    <s v="23rd"/>
    <x v="8"/>
    <x v="2"/>
    <x v="1"/>
  </r>
  <r>
    <x v="5"/>
    <x v="1"/>
    <x v="1"/>
    <x v="1481"/>
    <x v="1573"/>
    <s v="23rd August 2021"/>
    <s v="23rd"/>
    <x v="8"/>
    <x v="2"/>
    <x v="1"/>
  </r>
  <r>
    <x v="5"/>
    <x v="1"/>
    <x v="1"/>
    <x v="1482"/>
    <x v="1574"/>
    <s v="23rd August 2021"/>
    <s v="23rd"/>
    <x v="8"/>
    <x v="2"/>
    <x v="1"/>
  </r>
  <r>
    <x v="5"/>
    <x v="2"/>
    <x v="2"/>
    <x v="1483"/>
    <x v="1575"/>
    <s v="23rd August 2021"/>
    <s v="23rd"/>
    <x v="8"/>
    <x v="2"/>
    <x v="0"/>
  </r>
  <r>
    <x v="5"/>
    <x v="1"/>
    <x v="1"/>
    <x v="1484"/>
    <x v="1576"/>
    <s v="23rd August 2021"/>
    <s v="23rd"/>
    <x v="8"/>
    <x v="2"/>
    <x v="1"/>
  </r>
  <r>
    <x v="5"/>
    <x v="1"/>
    <x v="1"/>
    <x v="1485"/>
    <x v="1577"/>
    <s v="23rd August 2021"/>
    <s v="23rd"/>
    <x v="8"/>
    <x v="2"/>
    <x v="1"/>
  </r>
  <r>
    <x v="5"/>
    <x v="1"/>
    <x v="1"/>
    <x v="1486"/>
    <x v="1578"/>
    <s v="23rd August 2021"/>
    <s v="23rd"/>
    <x v="8"/>
    <x v="2"/>
    <x v="1"/>
  </r>
  <r>
    <x v="5"/>
    <x v="1"/>
    <x v="1"/>
    <x v="1487"/>
    <x v="1579"/>
    <s v="23rd August 2021"/>
    <s v="23rd"/>
    <x v="8"/>
    <x v="2"/>
    <x v="1"/>
  </r>
  <r>
    <x v="5"/>
    <x v="1"/>
    <x v="1"/>
    <x v="1488"/>
    <x v="1580"/>
    <s v="23rd August 2021"/>
    <s v="23rd"/>
    <x v="8"/>
    <x v="2"/>
    <x v="1"/>
  </r>
  <r>
    <x v="5"/>
    <x v="3"/>
    <x v="2"/>
    <x v="1489"/>
    <x v="1581"/>
    <s v="6th May 2021"/>
    <s v="6th"/>
    <x v="7"/>
    <x v="2"/>
    <x v="0"/>
  </r>
  <r>
    <x v="5"/>
    <x v="6"/>
    <x v="1"/>
    <x v="1490"/>
    <x v="1582"/>
    <s v="6th May 2021"/>
    <s v="6th"/>
    <x v="7"/>
    <x v="2"/>
    <x v="1"/>
  </r>
  <r>
    <x v="5"/>
    <x v="2"/>
    <x v="2"/>
    <x v="1491"/>
    <x v="1583"/>
    <s v="6th May 2021"/>
    <s v="6th"/>
    <x v="7"/>
    <x v="2"/>
    <x v="0"/>
  </r>
  <r>
    <x v="5"/>
    <x v="1"/>
    <x v="1"/>
    <x v="1492"/>
    <x v="1584"/>
    <s v="6th May 2021"/>
    <s v="6th"/>
    <x v="7"/>
    <x v="2"/>
    <x v="1"/>
  </r>
  <r>
    <x v="5"/>
    <x v="1"/>
    <x v="1"/>
    <x v="1493"/>
    <x v="1585"/>
    <s v="6th May 2021"/>
    <s v="6th"/>
    <x v="7"/>
    <x v="2"/>
    <x v="1"/>
  </r>
  <r>
    <x v="5"/>
    <x v="3"/>
    <x v="2"/>
    <x v="1494"/>
    <x v="1586"/>
    <s v="6th May 2021"/>
    <s v="6th"/>
    <x v="7"/>
    <x v="2"/>
    <x v="0"/>
  </r>
  <r>
    <x v="5"/>
    <x v="1"/>
    <x v="1"/>
    <x v="1495"/>
    <x v="1587"/>
    <s v="6th May 2021"/>
    <s v="6th"/>
    <x v="7"/>
    <x v="2"/>
    <x v="1"/>
  </r>
  <r>
    <x v="5"/>
    <x v="8"/>
    <x v="1"/>
    <x v="1496"/>
    <x v="1588"/>
    <s v="6th May 2021"/>
    <s v="6th"/>
    <x v="7"/>
    <x v="2"/>
    <x v="1"/>
  </r>
  <r>
    <x v="5"/>
    <x v="2"/>
    <x v="2"/>
    <x v="1497"/>
    <x v="1589"/>
    <s v="6th May 2021"/>
    <s v="6th"/>
    <x v="7"/>
    <x v="2"/>
    <x v="0"/>
  </r>
  <r>
    <x v="5"/>
    <x v="4"/>
    <x v="2"/>
    <x v="1498"/>
    <x v="1590"/>
    <s v="6th May 2021"/>
    <s v="6th"/>
    <x v="7"/>
    <x v="2"/>
    <x v="1"/>
  </r>
  <r>
    <x v="5"/>
    <x v="2"/>
    <x v="2"/>
    <x v="1499"/>
    <x v="1591"/>
    <s v="8th March 2021"/>
    <s v="8th"/>
    <x v="10"/>
    <x v="2"/>
    <x v="0"/>
  </r>
  <r>
    <x v="5"/>
    <x v="3"/>
    <x v="2"/>
    <x v="1500"/>
    <x v="1592"/>
    <s v="8th March 2021"/>
    <s v="8th"/>
    <x v="10"/>
    <x v="2"/>
    <x v="0"/>
  </r>
  <r>
    <x v="5"/>
    <x v="4"/>
    <x v="2"/>
    <x v="1501"/>
    <x v="1593"/>
    <s v="8th March 2021"/>
    <s v="8th"/>
    <x v="10"/>
    <x v="2"/>
    <x v="0"/>
  </r>
  <r>
    <x v="5"/>
    <x v="1"/>
    <x v="1"/>
    <x v="1502"/>
    <x v="1594"/>
    <s v="8th March 2021"/>
    <s v="8th"/>
    <x v="10"/>
    <x v="2"/>
    <x v="1"/>
  </r>
  <r>
    <x v="5"/>
    <x v="4"/>
    <x v="2"/>
    <x v="1503"/>
    <x v="1595"/>
    <s v="8th March 2021"/>
    <s v="8th"/>
    <x v="10"/>
    <x v="2"/>
    <x v="0"/>
  </r>
  <r>
    <x v="5"/>
    <x v="5"/>
    <x v="0"/>
    <x v="1504"/>
    <x v="1596"/>
    <s v="8th March 2021"/>
    <s v="8th"/>
    <x v="10"/>
    <x v="2"/>
    <x v="0"/>
  </r>
  <r>
    <x v="5"/>
    <x v="2"/>
    <x v="2"/>
    <x v="1505"/>
    <x v="1597"/>
    <s v="8th March 2021"/>
    <s v="8th"/>
    <x v="10"/>
    <x v="2"/>
    <x v="0"/>
  </r>
  <r>
    <x v="5"/>
    <x v="4"/>
    <x v="2"/>
    <x v="1506"/>
    <x v="313"/>
    <s v="8th March 2021"/>
    <s v="8th"/>
    <x v="10"/>
    <x v="2"/>
    <x v="0"/>
  </r>
  <r>
    <x v="5"/>
    <x v="2"/>
    <x v="2"/>
    <x v="1507"/>
    <x v="81"/>
    <s v="8th March 2021"/>
    <s v="8th"/>
    <x v="10"/>
    <x v="2"/>
    <x v="0"/>
  </r>
  <r>
    <x v="5"/>
    <x v="1"/>
    <x v="1"/>
    <x v="1508"/>
    <x v="1598"/>
    <s v="8th March 2021"/>
    <s v="8th"/>
    <x v="10"/>
    <x v="2"/>
    <x v="1"/>
  </r>
  <r>
    <x v="5"/>
    <x v="3"/>
    <x v="2"/>
    <x v="1509"/>
    <x v="1599"/>
    <s v="29th January 2021"/>
    <s v="29th"/>
    <x v="11"/>
    <x v="2"/>
    <x v="0"/>
  </r>
  <r>
    <x v="5"/>
    <x v="2"/>
    <x v="2"/>
    <x v="1510"/>
    <x v="1600"/>
    <s v="29th January 2021"/>
    <s v="29th"/>
    <x v="11"/>
    <x v="2"/>
    <x v="0"/>
  </r>
  <r>
    <x v="5"/>
    <x v="2"/>
    <x v="2"/>
    <x v="1511"/>
    <x v="1601"/>
    <s v="29th January 2021"/>
    <s v="29th"/>
    <x v="11"/>
    <x v="2"/>
    <x v="0"/>
  </r>
  <r>
    <x v="5"/>
    <x v="4"/>
    <x v="2"/>
    <x v="1512"/>
    <x v="1602"/>
    <s v="29th January 2021"/>
    <s v="29th"/>
    <x v="11"/>
    <x v="2"/>
    <x v="0"/>
  </r>
  <r>
    <x v="5"/>
    <x v="1"/>
    <x v="1"/>
    <x v="1513"/>
    <x v="1603"/>
    <s v="29th January 2021"/>
    <s v="29th"/>
    <x v="11"/>
    <x v="2"/>
    <x v="1"/>
  </r>
  <r>
    <x v="5"/>
    <x v="1"/>
    <x v="1"/>
    <x v="1514"/>
    <x v="1604"/>
    <s v="29th January 2021"/>
    <s v="29th"/>
    <x v="11"/>
    <x v="2"/>
    <x v="1"/>
  </r>
  <r>
    <x v="5"/>
    <x v="2"/>
    <x v="2"/>
    <x v="1515"/>
    <x v="761"/>
    <s v="29th January 2021"/>
    <s v="29th"/>
    <x v="11"/>
    <x v="2"/>
    <x v="0"/>
  </r>
  <r>
    <x v="5"/>
    <x v="9"/>
    <x v="1"/>
    <x v="1516"/>
    <x v="1605"/>
    <s v="29th January 2021"/>
    <s v="29th"/>
    <x v="11"/>
    <x v="2"/>
    <x v="0"/>
  </r>
  <r>
    <x v="5"/>
    <x v="1"/>
    <x v="1"/>
    <x v="334"/>
    <x v="1606"/>
    <s v="29th January 2021"/>
    <s v="29th"/>
    <x v="11"/>
    <x v="2"/>
    <x v="1"/>
  </r>
  <r>
    <x v="5"/>
    <x v="6"/>
    <x v="1"/>
    <x v="1517"/>
    <x v="717"/>
    <s v="29th January 2021"/>
    <s v="29th"/>
    <x v="11"/>
    <x v="2"/>
    <x v="1"/>
  </r>
  <r>
    <x v="5"/>
    <x v="1"/>
    <x v="1"/>
    <x v="1518"/>
    <x v="1607"/>
    <s v="8th December 2020"/>
    <s v="8th"/>
    <x v="4"/>
    <x v="3"/>
    <x v="1"/>
  </r>
  <r>
    <x v="5"/>
    <x v="1"/>
    <x v="1"/>
    <x v="1519"/>
    <x v="1608"/>
    <s v="8th December 2020"/>
    <s v="8th"/>
    <x v="4"/>
    <x v="3"/>
    <x v="1"/>
  </r>
  <r>
    <x v="5"/>
    <x v="1"/>
    <x v="1"/>
    <x v="1520"/>
    <x v="1609"/>
    <s v="8th December 2020"/>
    <s v="8th"/>
    <x v="4"/>
    <x v="3"/>
    <x v="1"/>
  </r>
  <r>
    <x v="5"/>
    <x v="2"/>
    <x v="2"/>
    <x v="1521"/>
    <x v="1610"/>
    <s v="8th December 2020"/>
    <s v="8th"/>
    <x v="4"/>
    <x v="3"/>
    <x v="0"/>
  </r>
  <r>
    <x v="5"/>
    <x v="2"/>
    <x v="2"/>
    <x v="1522"/>
    <x v="1611"/>
    <s v="8th December 2020"/>
    <s v="8th"/>
    <x v="4"/>
    <x v="3"/>
    <x v="0"/>
  </r>
  <r>
    <x v="5"/>
    <x v="4"/>
    <x v="2"/>
    <x v="1523"/>
    <x v="1612"/>
    <s v="8th December 2020"/>
    <s v="8th"/>
    <x v="4"/>
    <x v="3"/>
    <x v="0"/>
  </r>
  <r>
    <x v="5"/>
    <x v="8"/>
    <x v="1"/>
    <x v="1524"/>
    <x v="1613"/>
    <s v="8th December 2020"/>
    <s v="8th"/>
    <x v="4"/>
    <x v="3"/>
    <x v="1"/>
  </r>
  <r>
    <x v="5"/>
    <x v="2"/>
    <x v="2"/>
    <x v="1525"/>
    <x v="1614"/>
    <s v="8th December 2020"/>
    <s v="8th"/>
    <x v="4"/>
    <x v="3"/>
    <x v="0"/>
  </r>
  <r>
    <x v="5"/>
    <x v="1"/>
    <x v="1"/>
    <x v="1526"/>
    <x v="270"/>
    <s v="8th December 2020"/>
    <s v="8th"/>
    <x v="4"/>
    <x v="3"/>
    <x v="1"/>
  </r>
  <r>
    <x v="5"/>
    <x v="4"/>
    <x v="2"/>
    <x v="1527"/>
    <x v="1615"/>
    <s v="8th December 2020"/>
    <s v="8th"/>
    <x v="4"/>
    <x v="3"/>
    <x v="0"/>
  </r>
  <r>
    <x v="5"/>
    <x v="2"/>
    <x v="2"/>
    <x v="1528"/>
    <x v="1616"/>
    <s v="6th November 2020"/>
    <s v="6th"/>
    <x v="6"/>
    <x v="3"/>
    <x v="0"/>
  </r>
  <r>
    <x v="5"/>
    <x v="2"/>
    <x v="2"/>
    <x v="1529"/>
    <x v="1617"/>
    <s v="6th November 2020"/>
    <s v="6th"/>
    <x v="6"/>
    <x v="3"/>
    <x v="0"/>
  </r>
  <r>
    <x v="5"/>
    <x v="4"/>
    <x v="2"/>
    <x v="1530"/>
    <x v="1618"/>
    <s v="6th November 2020"/>
    <s v="6th"/>
    <x v="6"/>
    <x v="3"/>
    <x v="0"/>
  </r>
  <r>
    <x v="5"/>
    <x v="2"/>
    <x v="2"/>
    <x v="1531"/>
    <x v="1619"/>
    <s v="6th November 2020"/>
    <s v="6th"/>
    <x v="6"/>
    <x v="3"/>
    <x v="0"/>
  </r>
  <r>
    <x v="5"/>
    <x v="2"/>
    <x v="2"/>
    <x v="1532"/>
    <x v="1620"/>
    <s v="6th November 2020"/>
    <s v="6th"/>
    <x v="6"/>
    <x v="3"/>
    <x v="0"/>
  </r>
  <r>
    <x v="5"/>
    <x v="2"/>
    <x v="2"/>
    <x v="1533"/>
    <x v="1621"/>
    <s v="6th November 2020"/>
    <s v="6th"/>
    <x v="6"/>
    <x v="3"/>
    <x v="0"/>
  </r>
  <r>
    <x v="5"/>
    <x v="2"/>
    <x v="2"/>
    <x v="1534"/>
    <x v="1622"/>
    <s v="6th November 2020"/>
    <s v="6th"/>
    <x v="6"/>
    <x v="3"/>
    <x v="0"/>
  </r>
  <r>
    <x v="5"/>
    <x v="2"/>
    <x v="2"/>
    <x v="717"/>
    <x v="1181"/>
    <s v="6th November 2020"/>
    <s v="6th"/>
    <x v="6"/>
    <x v="3"/>
    <x v="0"/>
  </r>
  <r>
    <x v="5"/>
    <x v="4"/>
    <x v="2"/>
    <x v="1535"/>
    <x v="1623"/>
    <s v="6th November 2020"/>
    <s v="6th"/>
    <x v="6"/>
    <x v="3"/>
    <x v="0"/>
  </r>
  <r>
    <x v="5"/>
    <x v="2"/>
    <x v="2"/>
    <x v="1536"/>
    <x v="1624"/>
    <s v="6th November 2020"/>
    <s v="6th"/>
    <x v="6"/>
    <x v="3"/>
    <x v="0"/>
  </r>
  <r>
    <x v="5"/>
    <x v="2"/>
    <x v="2"/>
    <x v="1537"/>
    <x v="1624"/>
    <s v="4th October 2020"/>
    <s v="4th"/>
    <x v="0"/>
    <x v="3"/>
    <x v="0"/>
  </r>
  <r>
    <x v="5"/>
    <x v="1"/>
    <x v="1"/>
    <x v="1538"/>
    <x v="1625"/>
    <s v="4th October 2020"/>
    <s v="4th"/>
    <x v="0"/>
    <x v="3"/>
    <x v="1"/>
  </r>
  <r>
    <x v="5"/>
    <x v="2"/>
    <x v="2"/>
    <x v="1539"/>
    <x v="117"/>
    <s v="4th October 2020"/>
    <s v="4th"/>
    <x v="0"/>
    <x v="3"/>
    <x v="0"/>
  </r>
  <r>
    <x v="5"/>
    <x v="2"/>
    <x v="2"/>
    <x v="1540"/>
    <x v="1626"/>
    <s v="4th October 2020"/>
    <s v="4th"/>
    <x v="0"/>
    <x v="3"/>
    <x v="0"/>
  </r>
  <r>
    <x v="5"/>
    <x v="6"/>
    <x v="1"/>
    <x v="1541"/>
    <x v="1627"/>
    <s v="4th October 2020"/>
    <s v="4th"/>
    <x v="0"/>
    <x v="3"/>
    <x v="1"/>
  </r>
  <r>
    <x v="5"/>
    <x v="1"/>
    <x v="1"/>
    <x v="1542"/>
    <x v="1628"/>
    <s v="4th October 2020"/>
    <s v="4th"/>
    <x v="0"/>
    <x v="3"/>
    <x v="1"/>
  </r>
  <r>
    <x v="5"/>
    <x v="1"/>
    <x v="1"/>
    <x v="1543"/>
    <x v="1629"/>
    <s v="4th October 2020"/>
    <s v="4th"/>
    <x v="0"/>
    <x v="3"/>
    <x v="1"/>
  </r>
  <r>
    <x v="5"/>
    <x v="1"/>
    <x v="1"/>
    <x v="552"/>
    <x v="1630"/>
    <s v="4th October 2020"/>
    <s v="4th"/>
    <x v="0"/>
    <x v="3"/>
    <x v="1"/>
  </r>
  <r>
    <x v="5"/>
    <x v="1"/>
    <x v="1"/>
    <x v="1544"/>
    <x v="1631"/>
    <s v="4th October 2020"/>
    <s v="4th"/>
    <x v="0"/>
    <x v="3"/>
    <x v="1"/>
  </r>
  <r>
    <x v="5"/>
    <x v="6"/>
    <x v="1"/>
    <x v="1545"/>
    <x v="1632"/>
    <s v="4th October 2020"/>
    <s v="4th"/>
    <x v="0"/>
    <x v="3"/>
    <x v="1"/>
  </r>
  <r>
    <x v="5"/>
    <x v="4"/>
    <x v="2"/>
    <x v="1546"/>
    <x v="707"/>
    <s v="30th March 2020"/>
    <s v="30th"/>
    <x v="10"/>
    <x v="3"/>
    <x v="0"/>
  </r>
  <r>
    <x v="5"/>
    <x v="1"/>
    <x v="1"/>
    <x v="16"/>
    <x v="1633"/>
    <s v="30th March 2020"/>
    <s v="30th"/>
    <x v="10"/>
    <x v="3"/>
    <x v="1"/>
  </r>
  <r>
    <x v="5"/>
    <x v="3"/>
    <x v="2"/>
    <x v="1547"/>
    <x v="1634"/>
    <s v="30th March 2020"/>
    <s v="30th"/>
    <x v="10"/>
    <x v="3"/>
    <x v="0"/>
  </r>
  <r>
    <x v="5"/>
    <x v="3"/>
    <x v="2"/>
    <x v="1548"/>
    <x v="1635"/>
    <s v="30th March 2020"/>
    <s v="30th"/>
    <x v="10"/>
    <x v="3"/>
    <x v="0"/>
  </r>
  <r>
    <x v="5"/>
    <x v="1"/>
    <x v="1"/>
    <x v="1549"/>
    <x v="1636"/>
    <s v="30th March 2020"/>
    <s v="30th"/>
    <x v="10"/>
    <x v="3"/>
    <x v="1"/>
  </r>
  <r>
    <x v="5"/>
    <x v="1"/>
    <x v="1"/>
    <x v="1550"/>
    <x v="1637"/>
    <s v="30th March 2020"/>
    <s v="30th"/>
    <x v="10"/>
    <x v="3"/>
    <x v="1"/>
  </r>
  <r>
    <x v="5"/>
    <x v="5"/>
    <x v="0"/>
    <x v="1551"/>
    <x v="1638"/>
    <s v="30th March 2020"/>
    <s v="30th"/>
    <x v="10"/>
    <x v="3"/>
    <x v="0"/>
  </r>
  <r>
    <x v="5"/>
    <x v="1"/>
    <x v="1"/>
    <x v="550"/>
    <x v="1639"/>
    <s v="30th March 2020"/>
    <s v="30th"/>
    <x v="10"/>
    <x v="3"/>
    <x v="1"/>
  </r>
  <r>
    <x v="5"/>
    <x v="2"/>
    <x v="2"/>
    <x v="1552"/>
    <x v="1640"/>
    <s v="30th March 2020"/>
    <s v="30th"/>
    <x v="10"/>
    <x v="3"/>
    <x v="0"/>
  </r>
  <r>
    <x v="5"/>
    <x v="1"/>
    <x v="1"/>
    <x v="1553"/>
    <x v="1641"/>
    <s v="30th March 2020"/>
    <s v="30th"/>
    <x v="10"/>
    <x v="3"/>
    <x v="1"/>
  </r>
  <r>
    <x v="5"/>
    <x v="1"/>
    <x v="1"/>
    <x v="1554"/>
    <x v="1642"/>
    <s v="17th March 2020"/>
    <s v="17th"/>
    <x v="10"/>
    <x v="3"/>
    <x v="1"/>
  </r>
  <r>
    <x v="5"/>
    <x v="8"/>
    <x v="1"/>
    <x v="1555"/>
    <x v="1643"/>
    <s v="17th March 2020"/>
    <s v="17th"/>
    <x v="10"/>
    <x v="3"/>
    <x v="1"/>
  </r>
  <r>
    <x v="5"/>
    <x v="1"/>
    <x v="1"/>
    <x v="1556"/>
    <x v="1644"/>
    <s v="17th March 2020"/>
    <s v="17th"/>
    <x v="10"/>
    <x v="3"/>
    <x v="1"/>
  </r>
  <r>
    <x v="5"/>
    <x v="1"/>
    <x v="1"/>
    <x v="1557"/>
    <x v="1645"/>
    <s v="17th March 2020"/>
    <s v="17th"/>
    <x v="10"/>
    <x v="3"/>
    <x v="1"/>
  </r>
  <r>
    <x v="5"/>
    <x v="1"/>
    <x v="1"/>
    <x v="622"/>
    <x v="1646"/>
    <s v="17th March 2020"/>
    <s v="17th"/>
    <x v="10"/>
    <x v="3"/>
    <x v="1"/>
  </r>
  <r>
    <x v="5"/>
    <x v="7"/>
    <x v="0"/>
    <x v="1558"/>
    <x v="1647"/>
    <s v="17th March 2020"/>
    <s v="17th"/>
    <x v="10"/>
    <x v="3"/>
    <x v="1"/>
  </r>
  <r>
    <x v="5"/>
    <x v="2"/>
    <x v="2"/>
    <x v="963"/>
    <x v="1648"/>
    <s v="17th March 2020"/>
    <s v="17th"/>
    <x v="10"/>
    <x v="3"/>
    <x v="0"/>
  </r>
  <r>
    <x v="5"/>
    <x v="4"/>
    <x v="2"/>
    <x v="1559"/>
    <x v="1649"/>
    <s v="17th March 2020"/>
    <s v="17th"/>
    <x v="10"/>
    <x v="3"/>
    <x v="0"/>
  </r>
  <r>
    <x v="5"/>
    <x v="2"/>
    <x v="2"/>
    <x v="1560"/>
    <x v="1650"/>
    <s v="17th March 2020"/>
    <s v="17th"/>
    <x v="10"/>
    <x v="3"/>
    <x v="0"/>
  </r>
  <r>
    <x v="5"/>
    <x v="1"/>
    <x v="1"/>
    <x v="1561"/>
    <x v="1651"/>
    <s v="17th March 2020"/>
    <s v="17th"/>
    <x v="10"/>
    <x v="3"/>
    <x v="1"/>
  </r>
  <r>
    <x v="5"/>
    <x v="1"/>
    <x v="1"/>
    <x v="1562"/>
    <x v="1652"/>
    <s v="15th February 2020"/>
    <s v="15th"/>
    <x v="5"/>
    <x v="3"/>
    <x v="1"/>
  </r>
  <r>
    <x v="5"/>
    <x v="5"/>
    <x v="0"/>
    <x v="1563"/>
    <x v="1653"/>
    <s v="15th February 2020"/>
    <s v="15th"/>
    <x v="5"/>
    <x v="3"/>
    <x v="0"/>
  </r>
  <r>
    <x v="5"/>
    <x v="1"/>
    <x v="1"/>
    <x v="1564"/>
    <x v="1654"/>
    <s v="15th February 2020"/>
    <s v="15th"/>
    <x v="5"/>
    <x v="3"/>
    <x v="1"/>
  </r>
  <r>
    <x v="5"/>
    <x v="1"/>
    <x v="1"/>
    <x v="1565"/>
    <x v="1655"/>
    <s v="15th February 2020"/>
    <s v="15th"/>
    <x v="5"/>
    <x v="3"/>
    <x v="1"/>
  </r>
  <r>
    <x v="5"/>
    <x v="1"/>
    <x v="1"/>
    <x v="1566"/>
    <x v="1656"/>
    <s v="15th February 2020"/>
    <s v="15th"/>
    <x v="5"/>
    <x v="3"/>
    <x v="1"/>
  </r>
  <r>
    <x v="5"/>
    <x v="5"/>
    <x v="0"/>
    <x v="1567"/>
    <x v="360"/>
    <s v="15th February 2020"/>
    <s v="15th"/>
    <x v="5"/>
    <x v="3"/>
    <x v="0"/>
  </r>
  <r>
    <x v="5"/>
    <x v="5"/>
    <x v="0"/>
    <x v="1568"/>
    <x v="1657"/>
    <s v="15th February 2020"/>
    <s v="15th"/>
    <x v="5"/>
    <x v="3"/>
    <x v="0"/>
  </r>
  <r>
    <x v="5"/>
    <x v="4"/>
    <x v="2"/>
    <x v="1569"/>
    <x v="1658"/>
    <s v="15th February 2020"/>
    <s v="15th"/>
    <x v="5"/>
    <x v="3"/>
    <x v="0"/>
  </r>
  <r>
    <x v="5"/>
    <x v="4"/>
    <x v="2"/>
    <x v="963"/>
    <x v="1659"/>
    <s v="15th February 2020"/>
    <s v="15th"/>
    <x v="5"/>
    <x v="3"/>
    <x v="0"/>
  </r>
  <r>
    <x v="5"/>
    <x v="6"/>
    <x v="1"/>
    <x v="1565"/>
    <x v="1660"/>
    <s v="15th February 2020"/>
    <s v="15th"/>
    <x v="5"/>
    <x v="3"/>
    <x v="1"/>
  </r>
  <r>
    <x v="5"/>
    <x v="1"/>
    <x v="1"/>
    <x v="776"/>
    <x v="1661"/>
    <s v="30th January 2020"/>
    <s v="30th"/>
    <x v="11"/>
    <x v="3"/>
    <x v="1"/>
  </r>
  <r>
    <x v="5"/>
    <x v="4"/>
    <x v="2"/>
    <x v="1570"/>
    <x v="1662"/>
    <s v="30th January 2020"/>
    <s v="30th"/>
    <x v="11"/>
    <x v="3"/>
    <x v="0"/>
  </r>
  <r>
    <x v="5"/>
    <x v="2"/>
    <x v="2"/>
    <x v="1571"/>
    <x v="1663"/>
    <s v="30th January 2020"/>
    <s v="30th"/>
    <x v="11"/>
    <x v="3"/>
    <x v="0"/>
  </r>
  <r>
    <x v="5"/>
    <x v="1"/>
    <x v="1"/>
    <x v="1572"/>
    <x v="1664"/>
    <s v="30th January 2020"/>
    <s v="30th"/>
    <x v="11"/>
    <x v="3"/>
    <x v="1"/>
  </r>
  <r>
    <x v="5"/>
    <x v="8"/>
    <x v="1"/>
    <x v="1573"/>
    <x v="1665"/>
    <s v="30th January 2020"/>
    <s v="30th"/>
    <x v="11"/>
    <x v="3"/>
    <x v="1"/>
  </r>
  <r>
    <x v="5"/>
    <x v="1"/>
    <x v="1"/>
    <x v="1574"/>
    <x v="1666"/>
    <s v="30th January 2020"/>
    <s v="30th"/>
    <x v="11"/>
    <x v="3"/>
    <x v="1"/>
  </r>
  <r>
    <x v="5"/>
    <x v="1"/>
    <x v="1"/>
    <x v="1575"/>
    <x v="1667"/>
    <s v="30th January 2020"/>
    <s v="30th"/>
    <x v="11"/>
    <x v="3"/>
    <x v="1"/>
  </r>
  <r>
    <x v="5"/>
    <x v="1"/>
    <x v="1"/>
    <x v="481"/>
    <x v="1668"/>
    <s v="30th January 2020"/>
    <s v="30th"/>
    <x v="11"/>
    <x v="3"/>
    <x v="1"/>
  </r>
  <r>
    <x v="5"/>
    <x v="2"/>
    <x v="2"/>
    <x v="1576"/>
    <x v="1669"/>
    <s v="30th January 2020"/>
    <s v="30th"/>
    <x v="11"/>
    <x v="3"/>
    <x v="0"/>
  </r>
  <r>
    <x v="5"/>
    <x v="1"/>
    <x v="1"/>
    <x v="1577"/>
    <x v="1670"/>
    <s v="30th January 2020"/>
    <s v="30th"/>
    <x v="11"/>
    <x v="3"/>
    <x v="1"/>
  </r>
  <r>
    <x v="5"/>
    <x v="3"/>
    <x v="2"/>
    <x v="1578"/>
    <x v="1671"/>
    <s v="16th January 2020"/>
    <s v="16th"/>
    <x v="11"/>
    <x v="3"/>
    <x v="0"/>
  </r>
  <r>
    <x v="5"/>
    <x v="4"/>
    <x v="2"/>
    <x v="1579"/>
    <x v="1672"/>
    <s v="16th January 2020"/>
    <s v="16th"/>
    <x v="11"/>
    <x v="3"/>
    <x v="0"/>
  </r>
  <r>
    <x v="5"/>
    <x v="1"/>
    <x v="1"/>
    <x v="1580"/>
    <x v="1673"/>
    <s v="16th January 2020"/>
    <s v="16th"/>
    <x v="11"/>
    <x v="3"/>
    <x v="1"/>
  </r>
  <r>
    <x v="5"/>
    <x v="6"/>
    <x v="1"/>
    <x v="1581"/>
    <x v="1674"/>
    <s v="16th January 2020"/>
    <s v="16th"/>
    <x v="11"/>
    <x v="3"/>
    <x v="1"/>
  </r>
  <r>
    <x v="5"/>
    <x v="1"/>
    <x v="1"/>
    <x v="1582"/>
    <x v="1675"/>
    <s v="16th January 2020"/>
    <s v="16th"/>
    <x v="11"/>
    <x v="3"/>
    <x v="1"/>
  </r>
  <r>
    <x v="5"/>
    <x v="6"/>
    <x v="1"/>
    <x v="1583"/>
    <x v="1676"/>
    <s v="16th January 2020"/>
    <s v="16th"/>
    <x v="11"/>
    <x v="3"/>
    <x v="1"/>
  </r>
  <r>
    <x v="5"/>
    <x v="3"/>
    <x v="2"/>
    <x v="1584"/>
    <x v="1677"/>
    <s v="16th January 2020"/>
    <s v="16th"/>
    <x v="11"/>
    <x v="3"/>
    <x v="0"/>
  </r>
  <r>
    <x v="5"/>
    <x v="3"/>
    <x v="2"/>
    <x v="1585"/>
    <x v="1678"/>
    <s v="16th January 2020"/>
    <s v="16th"/>
    <x v="11"/>
    <x v="3"/>
    <x v="0"/>
  </r>
  <r>
    <x v="5"/>
    <x v="2"/>
    <x v="2"/>
    <x v="1586"/>
    <x v="1679"/>
    <s v="16th January 2020"/>
    <s v="16th"/>
    <x v="11"/>
    <x v="3"/>
    <x v="0"/>
  </r>
  <r>
    <x v="5"/>
    <x v="1"/>
    <x v="1"/>
    <x v="209"/>
    <x v="1680"/>
    <s v="16th January 2020"/>
    <s v="16th"/>
    <x v="11"/>
    <x v="3"/>
    <x v="1"/>
  </r>
  <r>
    <x v="5"/>
    <x v="1"/>
    <x v="1"/>
    <x v="1587"/>
    <x v="1681"/>
    <s v="1st January 2020"/>
    <s v="1st"/>
    <x v="11"/>
    <x v="3"/>
    <x v="1"/>
  </r>
  <r>
    <x v="5"/>
    <x v="1"/>
    <x v="1"/>
    <x v="1588"/>
    <x v="1682"/>
    <s v="1st January 2020"/>
    <s v="1st"/>
    <x v="11"/>
    <x v="3"/>
    <x v="1"/>
  </r>
  <r>
    <x v="5"/>
    <x v="4"/>
    <x v="2"/>
    <x v="1589"/>
    <x v="1683"/>
    <s v="1st January 2020"/>
    <s v="1st"/>
    <x v="11"/>
    <x v="3"/>
    <x v="0"/>
  </r>
  <r>
    <x v="5"/>
    <x v="1"/>
    <x v="1"/>
    <x v="1590"/>
    <x v="131"/>
    <s v="1st January 2020"/>
    <s v="1st"/>
    <x v="11"/>
    <x v="3"/>
    <x v="1"/>
  </r>
  <r>
    <x v="5"/>
    <x v="0"/>
    <x v="0"/>
    <x v="1591"/>
    <x v="1684"/>
    <s v="1st January 2020"/>
    <s v="1st"/>
    <x v="11"/>
    <x v="3"/>
    <x v="0"/>
  </r>
  <r>
    <x v="5"/>
    <x v="6"/>
    <x v="1"/>
    <x v="1592"/>
    <x v="1685"/>
    <s v="1st January 2020"/>
    <s v="1st"/>
    <x v="11"/>
    <x v="3"/>
    <x v="1"/>
  </r>
  <r>
    <x v="5"/>
    <x v="1"/>
    <x v="1"/>
    <x v="1593"/>
    <x v="1686"/>
    <s v="1st January 2020"/>
    <s v="1st"/>
    <x v="11"/>
    <x v="3"/>
    <x v="1"/>
  </r>
  <r>
    <x v="5"/>
    <x v="1"/>
    <x v="1"/>
    <x v="1594"/>
    <x v="1687"/>
    <s v="1st January 2020"/>
    <s v="1st"/>
    <x v="11"/>
    <x v="3"/>
    <x v="1"/>
  </r>
  <r>
    <x v="5"/>
    <x v="4"/>
    <x v="2"/>
    <x v="1595"/>
    <x v="1688"/>
    <s v="1st January 2020"/>
    <s v="1st"/>
    <x v="11"/>
    <x v="3"/>
    <x v="0"/>
  </r>
  <r>
    <x v="5"/>
    <x v="6"/>
    <x v="1"/>
    <x v="1596"/>
    <x v="1689"/>
    <s v="1st January 2020"/>
    <s v="1st"/>
    <x v="11"/>
    <x v="3"/>
    <x v="1"/>
  </r>
  <r>
    <x v="5"/>
    <x v="1"/>
    <x v="1"/>
    <x v="1597"/>
    <x v="1690"/>
    <s v="7th December 2019"/>
    <s v="7th"/>
    <x v="4"/>
    <x v="4"/>
    <x v="1"/>
  </r>
  <r>
    <x v="5"/>
    <x v="1"/>
    <x v="1"/>
    <x v="1598"/>
    <x v="1691"/>
    <s v="7th December 2019"/>
    <s v="7th"/>
    <x v="4"/>
    <x v="4"/>
    <x v="1"/>
  </r>
  <r>
    <x v="5"/>
    <x v="1"/>
    <x v="1"/>
    <x v="1599"/>
    <x v="1692"/>
    <s v="7th December 2019"/>
    <s v="7th"/>
    <x v="4"/>
    <x v="4"/>
    <x v="1"/>
  </r>
  <r>
    <x v="5"/>
    <x v="5"/>
    <x v="0"/>
    <x v="1600"/>
    <x v="1693"/>
    <s v="7th December 2019"/>
    <s v="7th"/>
    <x v="4"/>
    <x v="4"/>
    <x v="1"/>
  </r>
  <r>
    <x v="5"/>
    <x v="4"/>
    <x v="2"/>
    <x v="1601"/>
    <x v="1694"/>
    <s v="7th December 2019"/>
    <s v="7th"/>
    <x v="4"/>
    <x v="4"/>
    <x v="0"/>
  </r>
  <r>
    <x v="5"/>
    <x v="1"/>
    <x v="1"/>
    <x v="827"/>
    <x v="1695"/>
    <s v="7th December 2019"/>
    <s v="7th"/>
    <x v="4"/>
    <x v="4"/>
    <x v="1"/>
  </r>
  <r>
    <x v="5"/>
    <x v="1"/>
    <x v="1"/>
    <x v="1602"/>
    <x v="1696"/>
    <s v="7th December 2019"/>
    <s v="7th"/>
    <x v="4"/>
    <x v="4"/>
    <x v="1"/>
  </r>
  <r>
    <x v="5"/>
    <x v="2"/>
    <x v="2"/>
    <x v="1603"/>
    <x v="1697"/>
    <s v="7th December 2019"/>
    <s v="7th"/>
    <x v="4"/>
    <x v="4"/>
    <x v="0"/>
  </r>
  <r>
    <x v="5"/>
    <x v="1"/>
    <x v="1"/>
    <x v="1604"/>
    <x v="1698"/>
    <s v="7th December 2019"/>
    <s v="7th"/>
    <x v="4"/>
    <x v="4"/>
    <x v="1"/>
  </r>
  <r>
    <x v="5"/>
    <x v="6"/>
    <x v="1"/>
    <x v="1605"/>
    <x v="1699"/>
    <s v="7th December 2019"/>
    <s v="7th"/>
    <x v="4"/>
    <x v="4"/>
    <x v="1"/>
  </r>
  <r>
    <x v="5"/>
    <x v="1"/>
    <x v="1"/>
    <x v="1606"/>
    <x v="1700"/>
    <s v="21st November 2019"/>
    <s v="21st"/>
    <x v="6"/>
    <x v="4"/>
    <x v="1"/>
  </r>
  <r>
    <x v="5"/>
    <x v="4"/>
    <x v="2"/>
    <x v="1607"/>
    <x v="1701"/>
    <s v="21st November 2019"/>
    <s v="21st"/>
    <x v="6"/>
    <x v="4"/>
    <x v="0"/>
  </r>
  <r>
    <x v="5"/>
    <x v="4"/>
    <x v="2"/>
    <x v="1608"/>
    <x v="1702"/>
    <s v="21st November 2019"/>
    <s v="21st"/>
    <x v="6"/>
    <x v="4"/>
    <x v="0"/>
  </r>
  <r>
    <x v="5"/>
    <x v="8"/>
    <x v="1"/>
    <x v="1609"/>
    <x v="1703"/>
    <s v="21st November 2019"/>
    <s v="21st"/>
    <x v="6"/>
    <x v="4"/>
    <x v="1"/>
  </r>
  <r>
    <x v="5"/>
    <x v="1"/>
    <x v="1"/>
    <x v="1610"/>
    <x v="1704"/>
    <s v="21st November 2019"/>
    <s v="21st"/>
    <x v="6"/>
    <x v="4"/>
    <x v="1"/>
  </r>
  <r>
    <x v="5"/>
    <x v="1"/>
    <x v="1"/>
    <x v="1611"/>
    <x v="1705"/>
    <s v="21st November 2019"/>
    <s v="21st"/>
    <x v="6"/>
    <x v="4"/>
    <x v="1"/>
  </r>
  <r>
    <x v="5"/>
    <x v="1"/>
    <x v="1"/>
    <x v="1612"/>
    <x v="1706"/>
    <s v="21st November 2019"/>
    <s v="21st"/>
    <x v="6"/>
    <x v="4"/>
    <x v="1"/>
  </r>
  <r>
    <x v="5"/>
    <x v="2"/>
    <x v="2"/>
    <x v="1613"/>
    <x v="1707"/>
    <s v="21st November 2019"/>
    <s v="21st"/>
    <x v="6"/>
    <x v="4"/>
    <x v="0"/>
  </r>
  <r>
    <x v="5"/>
    <x v="1"/>
    <x v="1"/>
    <x v="334"/>
    <x v="1708"/>
    <s v="21st November 2019"/>
    <s v="21st"/>
    <x v="6"/>
    <x v="4"/>
    <x v="1"/>
  </r>
  <r>
    <x v="5"/>
    <x v="4"/>
    <x v="2"/>
    <x v="1614"/>
    <x v="1709"/>
    <s v="21st November 2019"/>
    <s v="21st"/>
    <x v="6"/>
    <x v="4"/>
    <x v="0"/>
  </r>
  <r>
    <x v="5"/>
    <x v="1"/>
    <x v="1"/>
    <x v="1615"/>
    <x v="1710"/>
    <s v="4th November 2019"/>
    <s v="4th"/>
    <x v="6"/>
    <x v="4"/>
    <x v="1"/>
  </r>
  <r>
    <x v="5"/>
    <x v="1"/>
    <x v="1"/>
    <x v="1616"/>
    <x v="1711"/>
    <s v="4th November 2019"/>
    <s v="4th"/>
    <x v="6"/>
    <x v="4"/>
    <x v="1"/>
  </r>
  <r>
    <x v="5"/>
    <x v="1"/>
    <x v="1"/>
    <x v="1617"/>
    <x v="1712"/>
    <s v="4th November 2019"/>
    <s v="4th"/>
    <x v="6"/>
    <x v="4"/>
    <x v="1"/>
  </r>
  <r>
    <x v="5"/>
    <x v="1"/>
    <x v="1"/>
    <x v="1618"/>
    <x v="1713"/>
    <s v="4th November 2019"/>
    <s v="4th"/>
    <x v="6"/>
    <x v="4"/>
    <x v="1"/>
  </r>
  <r>
    <x v="5"/>
    <x v="1"/>
    <x v="1"/>
    <x v="1619"/>
    <x v="1714"/>
    <s v="4th November 2019"/>
    <s v="4th"/>
    <x v="6"/>
    <x v="4"/>
    <x v="1"/>
  </r>
  <r>
    <x v="5"/>
    <x v="9"/>
    <x v="1"/>
    <x v="1620"/>
    <x v="1715"/>
    <s v="4th November 2019"/>
    <s v="4th"/>
    <x v="6"/>
    <x v="4"/>
    <x v="1"/>
  </r>
  <r>
    <x v="5"/>
    <x v="5"/>
    <x v="0"/>
    <x v="1621"/>
    <x v="1716"/>
    <s v="4th November 2019"/>
    <s v="4th"/>
    <x v="6"/>
    <x v="4"/>
    <x v="0"/>
  </r>
  <r>
    <x v="5"/>
    <x v="6"/>
    <x v="1"/>
    <x v="1622"/>
    <x v="1717"/>
    <s v="4th November 2019"/>
    <s v="4th"/>
    <x v="6"/>
    <x v="4"/>
    <x v="1"/>
  </r>
  <r>
    <x v="5"/>
    <x v="6"/>
    <x v="1"/>
    <x v="1623"/>
    <x v="1718"/>
    <s v="4th November 2019"/>
    <s v="4th"/>
    <x v="6"/>
    <x v="4"/>
    <x v="1"/>
  </r>
  <r>
    <x v="5"/>
    <x v="3"/>
    <x v="2"/>
    <x v="1624"/>
    <x v="1719"/>
    <s v="4th November 2019"/>
    <s v="4th"/>
    <x v="6"/>
    <x v="4"/>
    <x v="0"/>
  </r>
  <r>
    <x v="5"/>
    <x v="4"/>
    <x v="2"/>
    <x v="1625"/>
    <x v="252"/>
    <s v="10th October 2019"/>
    <s v="10th"/>
    <x v="0"/>
    <x v="4"/>
    <x v="0"/>
  </r>
  <r>
    <x v="5"/>
    <x v="2"/>
    <x v="2"/>
    <x v="1626"/>
    <x v="1720"/>
    <s v="10th October 2019"/>
    <s v="10th"/>
    <x v="0"/>
    <x v="4"/>
    <x v="0"/>
  </r>
  <r>
    <x v="5"/>
    <x v="1"/>
    <x v="1"/>
    <x v="1627"/>
    <x v="1721"/>
    <s v="10th October 2019"/>
    <s v="10th"/>
    <x v="0"/>
    <x v="4"/>
    <x v="1"/>
  </r>
  <r>
    <x v="5"/>
    <x v="6"/>
    <x v="1"/>
    <x v="1628"/>
    <x v="1722"/>
    <s v="10th October 2019"/>
    <s v="10th"/>
    <x v="0"/>
    <x v="4"/>
    <x v="1"/>
  </r>
  <r>
    <x v="5"/>
    <x v="8"/>
    <x v="1"/>
    <x v="1629"/>
    <x v="1723"/>
    <s v="10th October 2019"/>
    <s v="10th"/>
    <x v="0"/>
    <x v="4"/>
    <x v="1"/>
  </r>
  <r>
    <x v="5"/>
    <x v="0"/>
    <x v="0"/>
    <x v="1630"/>
    <x v="1144"/>
    <s v="10th October 2019"/>
    <s v="10th"/>
    <x v="0"/>
    <x v="4"/>
    <x v="0"/>
  </r>
  <r>
    <x v="5"/>
    <x v="6"/>
    <x v="1"/>
    <x v="1631"/>
    <x v="1724"/>
    <s v="10th October 2019"/>
    <s v="10th"/>
    <x v="0"/>
    <x v="4"/>
    <x v="1"/>
  </r>
  <r>
    <x v="5"/>
    <x v="1"/>
    <x v="1"/>
    <x v="1632"/>
    <x v="1725"/>
    <s v="10th October 2019"/>
    <s v="10th"/>
    <x v="0"/>
    <x v="4"/>
    <x v="1"/>
  </r>
  <r>
    <x v="5"/>
    <x v="6"/>
    <x v="1"/>
    <x v="1633"/>
    <x v="1726"/>
    <s v="10th October 2019"/>
    <s v="10th"/>
    <x v="0"/>
    <x v="4"/>
    <x v="1"/>
  </r>
  <r>
    <x v="5"/>
    <x v="1"/>
    <x v="1"/>
    <x v="1634"/>
    <x v="1727"/>
    <s v="10th October 2019"/>
    <s v="10th"/>
    <x v="0"/>
    <x v="4"/>
    <x v="1"/>
  </r>
  <r>
    <x v="5"/>
    <x v="6"/>
    <x v="1"/>
    <x v="1635"/>
    <x v="1728"/>
    <s v="18th September 2019"/>
    <s v="18th"/>
    <x v="2"/>
    <x v="4"/>
    <x v="1"/>
  </r>
  <r>
    <x v="5"/>
    <x v="8"/>
    <x v="1"/>
    <x v="1636"/>
    <x v="1729"/>
    <s v="18th September 2019"/>
    <s v="18th"/>
    <x v="2"/>
    <x v="4"/>
    <x v="1"/>
  </r>
  <r>
    <x v="5"/>
    <x v="1"/>
    <x v="1"/>
    <x v="291"/>
    <x v="1730"/>
    <s v="18th September 2019"/>
    <s v="18th"/>
    <x v="2"/>
    <x v="4"/>
    <x v="1"/>
  </r>
  <r>
    <x v="5"/>
    <x v="7"/>
    <x v="0"/>
    <x v="1637"/>
    <x v="1145"/>
    <s v="18th September 2019"/>
    <s v="18th"/>
    <x v="2"/>
    <x v="4"/>
    <x v="0"/>
  </r>
  <r>
    <x v="5"/>
    <x v="5"/>
    <x v="0"/>
    <x v="931"/>
    <x v="1731"/>
    <s v="18th September 2019"/>
    <s v="18th"/>
    <x v="2"/>
    <x v="4"/>
    <x v="0"/>
  </r>
  <r>
    <x v="5"/>
    <x v="1"/>
    <x v="1"/>
    <x v="1638"/>
    <x v="81"/>
    <s v="18th September 2019"/>
    <s v="18th"/>
    <x v="2"/>
    <x v="4"/>
    <x v="1"/>
  </r>
  <r>
    <x v="5"/>
    <x v="1"/>
    <x v="1"/>
    <x v="1639"/>
    <x v="1732"/>
    <s v="18th September 2019"/>
    <s v="18th"/>
    <x v="2"/>
    <x v="4"/>
    <x v="1"/>
  </r>
  <r>
    <x v="5"/>
    <x v="1"/>
    <x v="1"/>
    <x v="351"/>
    <x v="1733"/>
    <s v="18th September 2019"/>
    <s v="18th"/>
    <x v="2"/>
    <x v="4"/>
    <x v="1"/>
  </r>
  <r>
    <x v="5"/>
    <x v="6"/>
    <x v="1"/>
    <x v="1640"/>
    <x v="1734"/>
    <s v="18th September 2019"/>
    <s v="18th"/>
    <x v="2"/>
    <x v="4"/>
    <x v="1"/>
  </r>
  <r>
    <x v="5"/>
    <x v="8"/>
    <x v="1"/>
    <x v="1604"/>
    <x v="1735"/>
    <s v="18th September 2019"/>
    <s v="18th"/>
    <x v="2"/>
    <x v="4"/>
    <x v="1"/>
  </r>
  <r>
    <x v="5"/>
    <x v="1"/>
    <x v="1"/>
    <x v="1641"/>
    <x v="1736"/>
    <s v="8th August 2019"/>
    <s v="8th"/>
    <x v="8"/>
    <x v="4"/>
    <x v="1"/>
  </r>
  <r>
    <x v="5"/>
    <x v="1"/>
    <x v="1"/>
    <x v="1642"/>
    <x v="1737"/>
    <s v="8th August 2019"/>
    <s v="8th"/>
    <x v="8"/>
    <x v="4"/>
    <x v="1"/>
  </r>
  <r>
    <x v="5"/>
    <x v="1"/>
    <x v="1"/>
    <x v="1643"/>
    <x v="1738"/>
    <s v="8th August 2019"/>
    <s v="8th"/>
    <x v="8"/>
    <x v="4"/>
    <x v="1"/>
  </r>
  <r>
    <x v="5"/>
    <x v="6"/>
    <x v="1"/>
    <x v="1644"/>
    <x v="1739"/>
    <s v="8th August 2019"/>
    <s v="8th"/>
    <x v="8"/>
    <x v="4"/>
    <x v="1"/>
  </r>
  <r>
    <x v="5"/>
    <x v="1"/>
    <x v="1"/>
    <x v="1645"/>
    <x v="1740"/>
    <s v="8th August 2019"/>
    <s v="8th"/>
    <x v="8"/>
    <x v="4"/>
    <x v="0"/>
  </r>
  <r>
    <x v="5"/>
    <x v="1"/>
    <x v="1"/>
    <x v="1646"/>
    <x v="1741"/>
    <s v="8th August 2019"/>
    <s v="8th"/>
    <x v="8"/>
    <x v="4"/>
    <x v="1"/>
  </r>
  <r>
    <x v="5"/>
    <x v="1"/>
    <x v="1"/>
    <x v="434"/>
    <x v="1742"/>
    <s v="8th August 2019"/>
    <s v="8th"/>
    <x v="8"/>
    <x v="4"/>
    <x v="1"/>
  </r>
  <r>
    <x v="5"/>
    <x v="0"/>
    <x v="0"/>
    <x v="1647"/>
    <x v="1743"/>
    <s v="8th August 2019"/>
    <s v="8th"/>
    <x v="8"/>
    <x v="4"/>
    <x v="0"/>
  </r>
  <r>
    <x v="5"/>
    <x v="8"/>
    <x v="1"/>
    <x v="1648"/>
    <x v="1744"/>
    <s v="8th August 2019"/>
    <s v="8th"/>
    <x v="8"/>
    <x v="4"/>
    <x v="1"/>
  </r>
  <r>
    <x v="5"/>
    <x v="1"/>
    <x v="1"/>
    <x v="857"/>
    <x v="1745"/>
    <s v="8th August 2019"/>
    <s v="8th"/>
    <x v="8"/>
    <x v="4"/>
    <x v="1"/>
  </r>
  <r>
    <x v="5"/>
    <x v="6"/>
    <x v="1"/>
    <x v="1649"/>
    <x v="1746"/>
    <s v="22nd July 2019"/>
    <s v="22nd"/>
    <x v="9"/>
    <x v="4"/>
    <x v="1"/>
  </r>
  <r>
    <x v="5"/>
    <x v="1"/>
    <x v="1"/>
    <x v="1650"/>
    <x v="1747"/>
    <s v="22nd July 2019"/>
    <s v="22nd"/>
    <x v="9"/>
    <x v="4"/>
    <x v="1"/>
  </r>
  <r>
    <x v="5"/>
    <x v="1"/>
    <x v="1"/>
    <x v="1651"/>
    <x v="220"/>
    <s v="22nd July 2019"/>
    <s v="22nd"/>
    <x v="9"/>
    <x v="4"/>
    <x v="1"/>
  </r>
  <r>
    <x v="5"/>
    <x v="6"/>
    <x v="1"/>
    <x v="1652"/>
    <x v="1748"/>
    <s v="22nd July 2019"/>
    <s v="22nd"/>
    <x v="9"/>
    <x v="4"/>
    <x v="1"/>
  </r>
  <r>
    <x v="5"/>
    <x v="3"/>
    <x v="2"/>
    <x v="1653"/>
    <x v="1749"/>
    <s v="22nd July 2019"/>
    <s v="22nd"/>
    <x v="9"/>
    <x v="4"/>
    <x v="0"/>
  </r>
  <r>
    <x v="5"/>
    <x v="6"/>
    <x v="1"/>
    <x v="1335"/>
    <x v="1750"/>
    <s v="22nd July 2019"/>
    <s v="22nd"/>
    <x v="9"/>
    <x v="4"/>
    <x v="1"/>
  </r>
  <r>
    <x v="5"/>
    <x v="1"/>
    <x v="1"/>
    <x v="142"/>
    <x v="1751"/>
    <s v="22nd July 2019"/>
    <s v="22nd"/>
    <x v="9"/>
    <x v="4"/>
    <x v="1"/>
  </r>
  <r>
    <x v="5"/>
    <x v="1"/>
    <x v="1"/>
    <x v="1654"/>
    <x v="1752"/>
    <s v="22nd July 2019"/>
    <s v="22nd"/>
    <x v="9"/>
    <x v="4"/>
    <x v="1"/>
  </r>
  <r>
    <x v="5"/>
    <x v="1"/>
    <x v="1"/>
    <x v="1644"/>
    <x v="1753"/>
    <s v="22nd July 2019"/>
    <s v="22nd"/>
    <x v="9"/>
    <x v="4"/>
    <x v="1"/>
  </r>
  <r>
    <x v="5"/>
    <x v="3"/>
    <x v="2"/>
    <x v="59"/>
    <x v="1754"/>
    <s v="22nd July 2019"/>
    <s v="22nd"/>
    <x v="9"/>
    <x v="4"/>
    <x v="0"/>
  </r>
  <r>
    <x v="5"/>
    <x v="1"/>
    <x v="1"/>
    <x v="1655"/>
    <x v="1536"/>
    <s v="24th June 2019"/>
    <s v="24th"/>
    <x v="3"/>
    <x v="4"/>
    <x v="1"/>
  </r>
  <r>
    <x v="5"/>
    <x v="3"/>
    <x v="2"/>
    <x v="1656"/>
    <x v="1755"/>
    <s v="24th June 2019"/>
    <s v="24th"/>
    <x v="3"/>
    <x v="4"/>
    <x v="0"/>
  </r>
  <r>
    <x v="5"/>
    <x v="6"/>
    <x v="1"/>
    <x v="1657"/>
    <x v="1756"/>
    <s v="24th June 2019"/>
    <s v="24th"/>
    <x v="3"/>
    <x v="4"/>
    <x v="1"/>
  </r>
  <r>
    <x v="5"/>
    <x v="7"/>
    <x v="0"/>
    <x v="1658"/>
    <x v="1757"/>
    <s v="24th June 2019"/>
    <s v="24th"/>
    <x v="3"/>
    <x v="4"/>
    <x v="0"/>
  </r>
  <r>
    <x v="5"/>
    <x v="1"/>
    <x v="1"/>
    <x v="1659"/>
    <x v="1758"/>
    <s v="24th June 2019"/>
    <s v="24th"/>
    <x v="3"/>
    <x v="4"/>
    <x v="1"/>
  </r>
  <r>
    <x v="5"/>
    <x v="8"/>
    <x v="1"/>
    <x v="1660"/>
    <x v="1759"/>
    <s v="24th June 2019"/>
    <s v="24th"/>
    <x v="3"/>
    <x v="4"/>
    <x v="1"/>
  </r>
  <r>
    <x v="5"/>
    <x v="6"/>
    <x v="1"/>
    <x v="1661"/>
    <x v="1760"/>
    <s v="24th June 2019"/>
    <s v="24th"/>
    <x v="3"/>
    <x v="4"/>
    <x v="1"/>
  </r>
  <r>
    <x v="5"/>
    <x v="1"/>
    <x v="1"/>
    <x v="1662"/>
    <x v="1761"/>
    <s v="24th June 2019"/>
    <s v="24th"/>
    <x v="3"/>
    <x v="4"/>
    <x v="1"/>
  </r>
  <r>
    <x v="5"/>
    <x v="1"/>
    <x v="1"/>
    <x v="1663"/>
    <x v="1762"/>
    <s v="24th June 2019"/>
    <s v="24th"/>
    <x v="3"/>
    <x v="4"/>
    <x v="1"/>
  </r>
  <r>
    <x v="5"/>
    <x v="6"/>
    <x v="1"/>
    <x v="1664"/>
    <x v="1763"/>
    <s v="24th June 2019"/>
    <s v="24th"/>
    <x v="3"/>
    <x v="4"/>
    <x v="1"/>
  </r>
  <r>
    <x v="5"/>
    <x v="8"/>
    <x v="1"/>
    <x v="1665"/>
    <x v="1764"/>
    <s v="29th May 2019"/>
    <s v="29th"/>
    <x v="7"/>
    <x v="4"/>
    <x v="1"/>
  </r>
  <r>
    <x v="5"/>
    <x v="8"/>
    <x v="1"/>
    <x v="663"/>
    <x v="1765"/>
    <s v="29th May 2019"/>
    <s v="29th"/>
    <x v="7"/>
    <x v="4"/>
    <x v="1"/>
  </r>
  <r>
    <x v="5"/>
    <x v="1"/>
    <x v="1"/>
    <x v="1666"/>
    <x v="1766"/>
    <s v="29th May 2019"/>
    <s v="29th"/>
    <x v="7"/>
    <x v="4"/>
    <x v="1"/>
  </r>
  <r>
    <x v="5"/>
    <x v="1"/>
    <x v="1"/>
    <x v="1667"/>
    <x v="1766"/>
    <s v="29th May 2019"/>
    <s v="29th"/>
    <x v="7"/>
    <x v="4"/>
    <x v="1"/>
  </r>
  <r>
    <x v="5"/>
    <x v="1"/>
    <x v="1"/>
    <x v="1668"/>
    <x v="1767"/>
    <s v="29th May 2019"/>
    <s v="29th"/>
    <x v="7"/>
    <x v="4"/>
    <x v="1"/>
  </r>
  <r>
    <x v="5"/>
    <x v="6"/>
    <x v="1"/>
    <x v="1669"/>
    <x v="1768"/>
    <s v="29th May 2019"/>
    <s v="29th"/>
    <x v="7"/>
    <x v="4"/>
    <x v="1"/>
  </r>
  <r>
    <x v="5"/>
    <x v="6"/>
    <x v="1"/>
    <x v="1670"/>
    <x v="1769"/>
    <s v="29th May 2019"/>
    <s v="29th"/>
    <x v="7"/>
    <x v="4"/>
    <x v="1"/>
  </r>
  <r>
    <x v="5"/>
    <x v="5"/>
    <x v="0"/>
    <x v="1671"/>
    <x v="1770"/>
    <s v="29th May 2019"/>
    <s v="29th"/>
    <x v="7"/>
    <x v="4"/>
    <x v="0"/>
  </r>
  <r>
    <x v="5"/>
    <x v="5"/>
    <x v="0"/>
    <x v="1672"/>
    <x v="255"/>
    <s v="29th May 2019"/>
    <s v="29th"/>
    <x v="7"/>
    <x v="4"/>
    <x v="0"/>
  </r>
  <r>
    <x v="5"/>
    <x v="5"/>
    <x v="0"/>
    <x v="1673"/>
    <x v="1771"/>
    <s v="29th May 2019"/>
    <s v="29th"/>
    <x v="7"/>
    <x v="4"/>
    <x v="0"/>
  </r>
  <r>
    <x v="5"/>
    <x v="3"/>
    <x v="2"/>
    <x v="1674"/>
    <x v="1772"/>
    <s v="6th May 2019"/>
    <s v="6th"/>
    <x v="7"/>
    <x v="4"/>
    <x v="0"/>
  </r>
  <r>
    <x v="5"/>
    <x v="1"/>
    <x v="1"/>
    <x v="1675"/>
    <x v="1773"/>
    <s v="6th May 2019"/>
    <s v="6th"/>
    <x v="7"/>
    <x v="4"/>
    <x v="1"/>
  </r>
  <r>
    <x v="5"/>
    <x v="8"/>
    <x v="1"/>
    <x v="1676"/>
    <x v="1774"/>
    <s v="6th May 2019"/>
    <s v="6th"/>
    <x v="7"/>
    <x v="4"/>
    <x v="1"/>
  </r>
  <r>
    <x v="5"/>
    <x v="1"/>
    <x v="1"/>
    <x v="1677"/>
    <x v="1775"/>
    <s v="6th May 2019"/>
    <s v="6th"/>
    <x v="7"/>
    <x v="4"/>
    <x v="1"/>
  </r>
  <r>
    <x v="5"/>
    <x v="8"/>
    <x v="1"/>
    <x v="1678"/>
    <x v="1776"/>
    <s v="6th May 2019"/>
    <s v="6th"/>
    <x v="7"/>
    <x v="4"/>
    <x v="1"/>
  </r>
  <r>
    <x v="5"/>
    <x v="2"/>
    <x v="2"/>
    <x v="1679"/>
    <x v="1777"/>
    <s v="6th May 2019"/>
    <s v="6th"/>
    <x v="7"/>
    <x v="4"/>
    <x v="0"/>
  </r>
  <r>
    <x v="5"/>
    <x v="1"/>
    <x v="1"/>
    <x v="1680"/>
    <x v="1778"/>
    <s v="6th May 2019"/>
    <s v="6th"/>
    <x v="7"/>
    <x v="4"/>
    <x v="1"/>
  </r>
  <r>
    <x v="5"/>
    <x v="1"/>
    <x v="1"/>
    <x v="1681"/>
    <x v="1779"/>
    <s v="6th May 2019"/>
    <s v="6th"/>
    <x v="7"/>
    <x v="4"/>
    <x v="1"/>
  </r>
  <r>
    <x v="5"/>
    <x v="8"/>
    <x v="1"/>
    <x v="1682"/>
    <x v="1780"/>
    <s v="6th May 2019"/>
    <s v="6th"/>
    <x v="7"/>
    <x v="4"/>
    <x v="1"/>
  </r>
  <r>
    <x v="5"/>
    <x v="9"/>
    <x v="1"/>
    <x v="1683"/>
    <x v="1781"/>
    <s v="6th May 2019"/>
    <s v="6th"/>
    <x v="7"/>
    <x v="4"/>
    <x v="1"/>
  </r>
  <r>
    <x v="5"/>
    <x v="6"/>
    <x v="1"/>
    <x v="1684"/>
    <x v="1782"/>
    <s v="21st April 2019"/>
    <s v="21st"/>
    <x v="1"/>
    <x v="4"/>
    <x v="1"/>
  </r>
  <r>
    <x v="5"/>
    <x v="1"/>
    <x v="1"/>
    <x v="1685"/>
    <x v="1783"/>
    <s v="21st April 2019"/>
    <s v="21st"/>
    <x v="1"/>
    <x v="4"/>
    <x v="1"/>
  </r>
  <r>
    <x v="5"/>
    <x v="1"/>
    <x v="1"/>
    <x v="1686"/>
    <x v="1784"/>
    <s v="21st April 2019"/>
    <s v="21st"/>
    <x v="1"/>
    <x v="4"/>
    <x v="1"/>
  </r>
  <r>
    <x v="5"/>
    <x v="2"/>
    <x v="2"/>
    <x v="1687"/>
    <x v="1785"/>
    <s v="21st April 2019"/>
    <s v="21st"/>
    <x v="1"/>
    <x v="4"/>
    <x v="0"/>
  </r>
  <r>
    <x v="5"/>
    <x v="1"/>
    <x v="1"/>
    <x v="1688"/>
    <x v="1786"/>
    <s v="21st April 2019"/>
    <s v="21st"/>
    <x v="1"/>
    <x v="4"/>
    <x v="1"/>
  </r>
  <r>
    <x v="5"/>
    <x v="1"/>
    <x v="1"/>
    <x v="1689"/>
    <x v="1787"/>
    <s v="21st April 2019"/>
    <s v="21st"/>
    <x v="1"/>
    <x v="4"/>
    <x v="1"/>
  </r>
  <r>
    <x v="5"/>
    <x v="1"/>
    <x v="1"/>
    <x v="1690"/>
    <x v="1788"/>
    <s v="21st April 2019"/>
    <s v="21st"/>
    <x v="1"/>
    <x v="4"/>
    <x v="1"/>
  </r>
  <r>
    <x v="5"/>
    <x v="0"/>
    <x v="0"/>
    <x v="1691"/>
    <x v="1789"/>
    <s v="21st April 2019"/>
    <s v="21st"/>
    <x v="1"/>
    <x v="4"/>
    <x v="0"/>
  </r>
  <r>
    <x v="5"/>
    <x v="7"/>
    <x v="0"/>
    <x v="1692"/>
    <x v="1790"/>
    <s v="21st April 2019"/>
    <s v="21st"/>
    <x v="1"/>
    <x v="4"/>
    <x v="0"/>
  </r>
  <r>
    <x v="5"/>
    <x v="0"/>
    <x v="0"/>
    <x v="1529"/>
    <x v="1791"/>
    <s v="21st April 2019"/>
    <s v="21st"/>
    <x v="1"/>
    <x v="4"/>
    <x v="0"/>
  </r>
  <r>
    <x v="5"/>
    <x v="0"/>
    <x v="0"/>
    <x v="1693"/>
    <x v="681"/>
    <s v="28th March 2019"/>
    <s v="28th"/>
    <x v="10"/>
    <x v="4"/>
    <x v="0"/>
  </r>
  <r>
    <x v="5"/>
    <x v="7"/>
    <x v="0"/>
    <x v="1694"/>
    <x v="1792"/>
    <s v="28th March 2019"/>
    <s v="28th"/>
    <x v="10"/>
    <x v="4"/>
    <x v="0"/>
  </r>
  <r>
    <x v="5"/>
    <x v="0"/>
    <x v="0"/>
    <x v="1695"/>
    <x v="1793"/>
    <s v="28th March 2019"/>
    <s v="28th"/>
    <x v="10"/>
    <x v="4"/>
    <x v="0"/>
  </r>
  <r>
    <x v="5"/>
    <x v="1"/>
    <x v="1"/>
    <x v="351"/>
    <x v="1794"/>
    <s v="28th March 2019"/>
    <s v="28th"/>
    <x v="10"/>
    <x v="4"/>
    <x v="1"/>
  </r>
  <r>
    <x v="5"/>
    <x v="5"/>
    <x v="0"/>
    <x v="1696"/>
    <x v="1795"/>
    <s v="28th March 2019"/>
    <s v="28th"/>
    <x v="10"/>
    <x v="4"/>
    <x v="0"/>
  </r>
  <r>
    <x v="5"/>
    <x v="1"/>
    <x v="1"/>
    <x v="1697"/>
    <x v="1796"/>
    <s v="28th March 2019"/>
    <s v="28th"/>
    <x v="10"/>
    <x v="4"/>
    <x v="1"/>
  </r>
  <r>
    <x v="5"/>
    <x v="2"/>
    <x v="2"/>
    <x v="1698"/>
    <x v="1797"/>
    <s v="28th March 2019"/>
    <s v="28th"/>
    <x v="10"/>
    <x v="4"/>
    <x v="0"/>
  </r>
  <r>
    <x v="5"/>
    <x v="1"/>
    <x v="1"/>
    <x v="1699"/>
    <x v="1675"/>
    <s v="28th March 2019"/>
    <s v="28th"/>
    <x v="10"/>
    <x v="4"/>
    <x v="1"/>
  </r>
  <r>
    <x v="5"/>
    <x v="1"/>
    <x v="1"/>
    <x v="16"/>
    <x v="1798"/>
    <s v="28th March 2019"/>
    <s v="28th"/>
    <x v="10"/>
    <x v="4"/>
    <x v="1"/>
  </r>
  <r>
    <x v="5"/>
    <x v="1"/>
    <x v="1"/>
    <x v="334"/>
    <x v="1799"/>
    <s v="28th March 2019"/>
    <s v="28th"/>
    <x v="10"/>
    <x v="4"/>
    <x v="1"/>
  </r>
  <r>
    <x v="5"/>
    <x v="1"/>
    <x v="1"/>
    <x v="1700"/>
    <x v="1800"/>
    <s v="26th February 2019"/>
    <s v="26th"/>
    <x v="5"/>
    <x v="4"/>
    <x v="1"/>
  </r>
  <r>
    <x v="5"/>
    <x v="1"/>
    <x v="1"/>
    <x v="1701"/>
    <x v="1801"/>
    <s v="26th February 2019"/>
    <s v="26th"/>
    <x v="5"/>
    <x v="4"/>
    <x v="1"/>
  </r>
  <r>
    <x v="5"/>
    <x v="1"/>
    <x v="1"/>
    <x v="1702"/>
    <x v="1802"/>
    <s v="26th February 2019"/>
    <s v="26th"/>
    <x v="5"/>
    <x v="4"/>
    <x v="1"/>
  </r>
  <r>
    <x v="5"/>
    <x v="1"/>
    <x v="1"/>
    <x v="1703"/>
    <x v="1803"/>
    <s v="26th February 2019"/>
    <s v="26th"/>
    <x v="5"/>
    <x v="4"/>
    <x v="1"/>
  </r>
  <r>
    <x v="5"/>
    <x v="3"/>
    <x v="2"/>
    <x v="351"/>
    <x v="1804"/>
    <s v="26th February 2019"/>
    <s v="26th"/>
    <x v="5"/>
    <x v="4"/>
    <x v="1"/>
  </r>
  <r>
    <x v="5"/>
    <x v="1"/>
    <x v="1"/>
    <x v="776"/>
    <x v="1805"/>
    <s v="26th February 2019"/>
    <s v="26th"/>
    <x v="5"/>
    <x v="4"/>
    <x v="1"/>
  </r>
  <r>
    <x v="5"/>
    <x v="1"/>
    <x v="1"/>
    <x v="1704"/>
    <x v="1806"/>
    <s v="26th February 2019"/>
    <s v="26th"/>
    <x v="5"/>
    <x v="4"/>
    <x v="1"/>
  </r>
  <r>
    <x v="5"/>
    <x v="1"/>
    <x v="1"/>
    <x v="1295"/>
    <x v="1807"/>
    <s v="26th February 2019"/>
    <s v="26th"/>
    <x v="5"/>
    <x v="4"/>
    <x v="1"/>
  </r>
  <r>
    <x v="5"/>
    <x v="1"/>
    <x v="1"/>
    <x v="1705"/>
    <x v="1808"/>
    <s v="26th February 2019"/>
    <s v="26th"/>
    <x v="5"/>
    <x v="4"/>
    <x v="1"/>
  </r>
  <r>
    <x v="5"/>
    <x v="8"/>
    <x v="1"/>
    <x v="1706"/>
    <x v="1809"/>
    <s v="26th February 2019"/>
    <s v="26th"/>
    <x v="5"/>
    <x v="4"/>
    <x v="1"/>
  </r>
  <r>
    <x v="5"/>
    <x v="1"/>
    <x v="1"/>
    <x v="1707"/>
    <x v="1810"/>
    <s v="1st January 2019"/>
    <s v="1st"/>
    <x v="11"/>
    <x v="4"/>
    <x v="1"/>
  </r>
  <r>
    <x v="5"/>
    <x v="1"/>
    <x v="1"/>
    <x v="1708"/>
    <x v="1811"/>
    <s v="1st January 2019"/>
    <s v="1st"/>
    <x v="11"/>
    <x v="4"/>
    <x v="1"/>
  </r>
  <r>
    <x v="5"/>
    <x v="1"/>
    <x v="1"/>
    <x v="1709"/>
    <x v="1812"/>
    <s v="1st January 2019"/>
    <s v="1st"/>
    <x v="11"/>
    <x v="4"/>
    <x v="1"/>
  </r>
  <r>
    <x v="5"/>
    <x v="1"/>
    <x v="1"/>
    <x v="1710"/>
    <x v="1813"/>
    <s v="1st January 2019"/>
    <s v="1st"/>
    <x v="11"/>
    <x v="4"/>
    <x v="1"/>
  </r>
  <r>
    <x v="5"/>
    <x v="6"/>
    <x v="1"/>
    <x v="1201"/>
    <x v="1814"/>
    <s v="1st January 2019"/>
    <s v="1st"/>
    <x v="11"/>
    <x v="4"/>
    <x v="1"/>
  </r>
  <r>
    <x v="5"/>
    <x v="1"/>
    <x v="1"/>
    <x v="1711"/>
    <x v="1815"/>
    <s v="1st January 2019"/>
    <s v="1st"/>
    <x v="11"/>
    <x v="4"/>
    <x v="1"/>
  </r>
  <r>
    <x v="5"/>
    <x v="6"/>
    <x v="1"/>
    <x v="899"/>
    <x v="1816"/>
    <s v="1st January 2019"/>
    <s v="1st"/>
    <x v="11"/>
    <x v="4"/>
    <x v="1"/>
  </r>
  <r>
    <x v="5"/>
    <x v="1"/>
    <x v="1"/>
    <x v="1712"/>
    <x v="1817"/>
    <s v="1st January 2019"/>
    <s v="1st"/>
    <x v="11"/>
    <x v="4"/>
    <x v="1"/>
  </r>
  <r>
    <x v="5"/>
    <x v="1"/>
    <x v="1"/>
    <x v="1713"/>
    <x v="1818"/>
    <s v="1st January 2019"/>
    <s v="1st"/>
    <x v="11"/>
    <x v="4"/>
    <x v="1"/>
  </r>
  <r>
    <x v="5"/>
    <x v="1"/>
    <x v="1"/>
    <x v="1714"/>
    <x v="1819"/>
    <s v="1st January 2019"/>
    <s v="1st"/>
    <x v="11"/>
    <x v="4"/>
    <x v="1"/>
  </r>
  <r>
    <x v="5"/>
    <x v="1"/>
    <x v="1"/>
    <x v="1715"/>
    <x v="1820"/>
    <s v="2nd December 2018"/>
    <s v="2nd"/>
    <x v="4"/>
    <x v="5"/>
    <x v="1"/>
  </r>
  <r>
    <x v="5"/>
    <x v="1"/>
    <x v="1"/>
    <x v="1716"/>
    <x v="1821"/>
    <s v="2nd December 2018"/>
    <s v="2nd"/>
    <x v="4"/>
    <x v="5"/>
    <x v="1"/>
  </r>
  <r>
    <x v="5"/>
    <x v="2"/>
    <x v="2"/>
    <x v="1717"/>
    <x v="1822"/>
    <s v="2nd December 2018"/>
    <s v="2nd"/>
    <x v="4"/>
    <x v="5"/>
    <x v="0"/>
  </r>
  <r>
    <x v="5"/>
    <x v="6"/>
    <x v="1"/>
    <x v="1718"/>
    <x v="1823"/>
    <s v="2nd December 2018"/>
    <s v="2nd"/>
    <x v="4"/>
    <x v="5"/>
    <x v="1"/>
  </r>
  <r>
    <x v="5"/>
    <x v="1"/>
    <x v="1"/>
    <x v="434"/>
    <x v="1824"/>
    <s v="2nd December 2018"/>
    <s v="2nd"/>
    <x v="4"/>
    <x v="5"/>
    <x v="1"/>
  </r>
  <r>
    <x v="5"/>
    <x v="1"/>
    <x v="1"/>
    <x v="1719"/>
    <x v="1825"/>
    <s v="2nd December 2018"/>
    <s v="2nd"/>
    <x v="4"/>
    <x v="5"/>
    <x v="1"/>
  </r>
  <r>
    <x v="5"/>
    <x v="6"/>
    <x v="1"/>
    <x v="1720"/>
    <x v="1826"/>
    <s v="2nd December 2018"/>
    <s v="2nd"/>
    <x v="4"/>
    <x v="5"/>
    <x v="1"/>
  </r>
  <r>
    <x v="5"/>
    <x v="1"/>
    <x v="1"/>
    <x v="1715"/>
    <x v="1827"/>
    <s v="2nd December 2018"/>
    <s v="2nd"/>
    <x v="4"/>
    <x v="5"/>
    <x v="1"/>
  </r>
  <r>
    <x v="5"/>
    <x v="4"/>
    <x v="2"/>
    <x v="1721"/>
    <x v="1828"/>
    <s v="2nd December 2018"/>
    <s v="2nd"/>
    <x v="4"/>
    <x v="5"/>
    <x v="0"/>
  </r>
  <r>
    <x v="5"/>
    <x v="6"/>
    <x v="1"/>
    <x v="1722"/>
    <x v="1829"/>
    <s v="2nd December 2018"/>
    <s v="2nd"/>
    <x v="4"/>
    <x v="5"/>
    <x v="1"/>
  </r>
  <r>
    <x v="5"/>
    <x v="1"/>
    <x v="1"/>
    <x v="142"/>
    <x v="1830"/>
    <s v="15th November 2018"/>
    <s v="15th"/>
    <x v="6"/>
    <x v="5"/>
    <x v="1"/>
  </r>
  <r>
    <x v="5"/>
    <x v="6"/>
    <x v="1"/>
    <x v="1723"/>
    <x v="1831"/>
    <s v="15th November 2018"/>
    <s v="15th"/>
    <x v="6"/>
    <x v="5"/>
    <x v="1"/>
  </r>
  <r>
    <x v="5"/>
    <x v="7"/>
    <x v="0"/>
    <x v="1724"/>
    <x v="1832"/>
    <s v="15th November 2018"/>
    <s v="15th"/>
    <x v="6"/>
    <x v="5"/>
    <x v="1"/>
  </r>
  <r>
    <x v="5"/>
    <x v="1"/>
    <x v="1"/>
    <x v="1725"/>
    <x v="1833"/>
    <s v="15th November 2018"/>
    <s v="15th"/>
    <x v="6"/>
    <x v="5"/>
    <x v="1"/>
  </r>
  <r>
    <x v="5"/>
    <x v="1"/>
    <x v="1"/>
    <x v="1726"/>
    <x v="1834"/>
    <s v="15th November 2018"/>
    <s v="15th"/>
    <x v="6"/>
    <x v="5"/>
    <x v="1"/>
  </r>
  <r>
    <x v="5"/>
    <x v="0"/>
    <x v="0"/>
    <x v="1727"/>
    <x v="1835"/>
    <s v="15th November 2018"/>
    <s v="15th"/>
    <x v="6"/>
    <x v="5"/>
    <x v="1"/>
  </r>
  <r>
    <x v="5"/>
    <x v="1"/>
    <x v="1"/>
    <x v="1728"/>
    <x v="1836"/>
    <s v="15th November 2018"/>
    <s v="15th"/>
    <x v="6"/>
    <x v="5"/>
    <x v="1"/>
  </r>
  <r>
    <x v="5"/>
    <x v="6"/>
    <x v="1"/>
    <x v="1729"/>
    <x v="1837"/>
    <s v="15th November 2018"/>
    <s v="15th"/>
    <x v="6"/>
    <x v="5"/>
    <x v="1"/>
  </r>
  <r>
    <x v="5"/>
    <x v="6"/>
    <x v="1"/>
    <x v="1730"/>
    <x v="1838"/>
    <s v="15th November 2018"/>
    <s v="15th"/>
    <x v="6"/>
    <x v="5"/>
    <x v="1"/>
  </r>
  <r>
    <x v="5"/>
    <x v="6"/>
    <x v="1"/>
    <x v="1731"/>
    <x v="1839"/>
    <s v="15th November 2018"/>
    <s v="15th"/>
    <x v="6"/>
    <x v="5"/>
    <x v="1"/>
  </r>
  <r>
    <x v="6"/>
    <x v="1"/>
    <x v="1"/>
    <x v="1732"/>
    <x v="1840"/>
    <s v="28th August 2024"/>
    <s v="28th"/>
    <x v="8"/>
    <x v="7"/>
    <x v="1"/>
  </r>
  <r>
    <x v="6"/>
    <x v="0"/>
    <x v="0"/>
    <x v="1733"/>
    <x v="1841"/>
    <s v="28th August 2024"/>
    <s v="28th"/>
    <x v="8"/>
    <x v="7"/>
    <x v="0"/>
  </r>
  <r>
    <x v="6"/>
    <x v="1"/>
    <x v="1"/>
    <x v="1734"/>
    <x v="1842"/>
    <s v="28th August 2024"/>
    <s v="28th"/>
    <x v="8"/>
    <x v="7"/>
    <x v="1"/>
  </r>
  <r>
    <x v="6"/>
    <x v="2"/>
    <x v="2"/>
    <x v="1735"/>
    <x v="1843"/>
    <s v="28th August 2024"/>
    <s v="28th"/>
    <x v="8"/>
    <x v="7"/>
    <x v="0"/>
  </r>
  <r>
    <x v="6"/>
    <x v="0"/>
    <x v="0"/>
    <x v="1736"/>
    <x v="220"/>
    <s v="28th August 2024"/>
    <s v="28th"/>
    <x v="8"/>
    <x v="7"/>
    <x v="0"/>
  </r>
  <r>
    <x v="6"/>
    <x v="5"/>
    <x v="0"/>
    <x v="1737"/>
    <x v="1844"/>
    <s v="28th August 2024"/>
    <s v="28th"/>
    <x v="8"/>
    <x v="7"/>
    <x v="0"/>
  </r>
  <r>
    <x v="6"/>
    <x v="1"/>
    <x v="1"/>
    <x v="1738"/>
    <x v="1845"/>
    <s v="28th August 2024"/>
    <s v="28th"/>
    <x v="8"/>
    <x v="7"/>
    <x v="1"/>
  </r>
  <r>
    <x v="6"/>
    <x v="2"/>
    <x v="2"/>
    <x v="1739"/>
    <x v="1846"/>
    <s v="28th August 2024"/>
    <s v="28th"/>
    <x v="8"/>
    <x v="7"/>
    <x v="0"/>
  </r>
  <r>
    <x v="6"/>
    <x v="5"/>
    <x v="0"/>
    <x v="1740"/>
    <x v="117"/>
    <s v="28th August 2024"/>
    <s v="28th"/>
    <x v="8"/>
    <x v="7"/>
    <x v="0"/>
  </r>
  <r>
    <x v="6"/>
    <x v="9"/>
    <x v="1"/>
    <x v="1741"/>
    <x v="1847"/>
    <s v="28th August 2024"/>
    <s v="28th"/>
    <x v="8"/>
    <x v="7"/>
    <x v="1"/>
  </r>
  <r>
    <x v="6"/>
    <x v="3"/>
    <x v="2"/>
    <x v="1742"/>
    <x v="1848"/>
    <s v="30th April 2024"/>
    <s v="30th"/>
    <x v="1"/>
    <x v="7"/>
    <x v="0"/>
  </r>
  <r>
    <x v="6"/>
    <x v="2"/>
    <x v="2"/>
    <x v="1743"/>
    <x v="180"/>
    <s v="30th April 2024"/>
    <s v="30th"/>
    <x v="1"/>
    <x v="7"/>
    <x v="0"/>
  </r>
  <r>
    <x v="6"/>
    <x v="1"/>
    <x v="1"/>
    <x v="1744"/>
    <x v="1849"/>
    <s v="30th April 2024"/>
    <s v="30th"/>
    <x v="1"/>
    <x v="7"/>
    <x v="1"/>
  </r>
  <r>
    <x v="6"/>
    <x v="4"/>
    <x v="2"/>
    <x v="1745"/>
    <x v="1850"/>
    <s v="30th April 2024"/>
    <s v="30th"/>
    <x v="1"/>
    <x v="7"/>
    <x v="0"/>
  </r>
  <r>
    <x v="6"/>
    <x v="8"/>
    <x v="1"/>
    <x v="1746"/>
    <x v="1851"/>
    <s v="30th April 2024"/>
    <s v="30th"/>
    <x v="1"/>
    <x v="7"/>
    <x v="0"/>
  </r>
  <r>
    <x v="6"/>
    <x v="5"/>
    <x v="0"/>
    <x v="1747"/>
    <x v="1852"/>
    <s v="30th April 2024"/>
    <s v="30th"/>
    <x v="1"/>
    <x v="7"/>
    <x v="0"/>
  </r>
  <r>
    <x v="6"/>
    <x v="1"/>
    <x v="1"/>
    <x v="1748"/>
    <x v="1853"/>
    <s v="30th April 2024"/>
    <s v="30th"/>
    <x v="1"/>
    <x v="7"/>
    <x v="1"/>
  </r>
  <r>
    <x v="6"/>
    <x v="1"/>
    <x v="1"/>
    <x v="1749"/>
    <x v="1854"/>
    <s v="30th April 2024"/>
    <s v="30th"/>
    <x v="1"/>
    <x v="7"/>
    <x v="1"/>
  </r>
  <r>
    <x v="6"/>
    <x v="1"/>
    <x v="1"/>
    <x v="1750"/>
    <x v="1855"/>
    <s v="30th April 2024"/>
    <s v="30th"/>
    <x v="1"/>
    <x v="7"/>
    <x v="1"/>
  </r>
  <r>
    <x v="6"/>
    <x v="4"/>
    <x v="2"/>
    <x v="1751"/>
    <x v="1856"/>
    <s v="30th April 2024"/>
    <s v="30th"/>
    <x v="1"/>
    <x v="7"/>
    <x v="0"/>
  </r>
  <r>
    <x v="6"/>
    <x v="2"/>
    <x v="2"/>
    <x v="294"/>
    <x v="1857"/>
    <s v="17th February 2024"/>
    <s v="17th"/>
    <x v="5"/>
    <x v="7"/>
    <x v="0"/>
  </r>
  <r>
    <x v="6"/>
    <x v="1"/>
    <x v="1"/>
    <x v="1752"/>
    <x v="81"/>
    <s v="17th February 2024"/>
    <s v="17th"/>
    <x v="5"/>
    <x v="7"/>
    <x v="1"/>
  </r>
  <r>
    <x v="6"/>
    <x v="1"/>
    <x v="1"/>
    <x v="1753"/>
    <x v="1858"/>
    <s v="17th February 2024"/>
    <s v="17th"/>
    <x v="5"/>
    <x v="7"/>
    <x v="1"/>
  </r>
  <r>
    <x v="6"/>
    <x v="4"/>
    <x v="2"/>
    <x v="1754"/>
    <x v="1859"/>
    <s v="17th February 2024"/>
    <s v="17th"/>
    <x v="5"/>
    <x v="7"/>
    <x v="0"/>
  </r>
  <r>
    <x v="6"/>
    <x v="6"/>
    <x v="1"/>
    <x v="1755"/>
    <x v="1860"/>
    <s v="17th February 2024"/>
    <s v="17th"/>
    <x v="5"/>
    <x v="7"/>
    <x v="1"/>
  </r>
  <r>
    <x v="6"/>
    <x v="4"/>
    <x v="2"/>
    <x v="1756"/>
    <x v="1861"/>
    <s v="17th February 2024"/>
    <s v="17th"/>
    <x v="5"/>
    <x v="7"/>
    <x v="0"/>
  </r>
  <r>
    <x v="6"/>
    <x v="2"/>
    <x v="2"/>
    <x v="1757"/>
    <x v="1862"/>
    <s v="17th February 2024"/>
    <s v="17th"/>
    <x v="5"/>
    <x v="7"/>
    <x v="0"/>
  </r>
  <r>
    <x v="6"/>
    <x v="2"/>
    <x v="2"/>
    <x v="1758"/>
    <x v="1863"/>
    <s v="17th February 2024"/>
    <s v="17th"/>
    <x v="5"/>
    <x v="7"/>
    <x v="0"/>
  </r>
  <r>
    <x v="6"/>
    <x v="2"/>
    <x v="2"/>
    <x v="1759"/>
    <x v="1864"/>
    <s v="17th February 2024"/>
    <s v="17th"/>
    <x v="5"/>
    <x v="7"/>
    <x v="0"/>
  </r>
  <r>
    <x v="6"/>
    <x v="1"/>
    <x v="1"/>
    <x v="1760"/>
    <x v="726"/>
    <s v="17th February 2024"/>
    <s v="17th"/>
    <x v="5"/>
    <x v="7"/>
    <x v="1"/>
  </r>
  <r>
    <x v="6"/>
    <x v="4"/>
    <x v="2"/>
    <x v="1761"/>
    <x v="1865"/>
    <s v="28th November 2023"/>
    <s v="28th"/>
    <x v="6"/>
    <x v="0"/>
    <x v="0"/>
  </r>
  <r>
    <x v="6"/>
    <x v="1"/>
    <x v="1"/>
    <x v="1733"/>
    <x v="1866"/>
    <s v="28th November 2023"/>
    <s v="28th"/>
    <x v="6"/>
    <x v="0"/>
    <x v="1"/>
  </r>
  <r>
    <x v="6"/>
    <x v="4"/>
    <x v="2"/>
    <x v="1762"/>
    <x v="1867"/>
    <s v="28th November 2023"/>
    <s v="28th"/>
    <x v="6"/>
    <x v="0"/>
    <x v="0"/>
  </r>
  <r>
    <x v="6"/>
    <x v="5"/>
    <x v="0"/>
    <x v="1763"/>
    <x v="580"/>
    <s v="28th November 2023"/>
    <s v="28th"/>
    <x v="6"/>
    <x v="0"/>
    <x v="0"/>
  </r>
  <r>
    <x v="6"/>
    <x v="1"/>
    <x v="1"/>
    <x v="1764"/>
    <x v="1868"/>
    <s v="28th November 2023"/>
    <s v="28th"/>
    <x v="6"/>
    <x v="0"/>
    <x v="1"/>
  </r>
  <r>
    <x v="6"/>
    <x v="0"/>
    <x v="0"/>
    <x v="1765"/>
    <x v="580"/>
    <s v="28th November 2023"/>
    <s v="28th"/>
    <x v="6"/>
    <x v="0"/>
    <x v="0"/>
  </r>
  <r>
    <x v="6"/>
    <x v="4"/>
    <x v="2"/>
    <x v="1766"/>
    <x v="580"/>
    <s v="28th November 2023"/>
    <s v="28th"/>
    <x v="6"/>
    <x v="0"/>
    <x v="0"/>
  </r>
  <r>
    <x v="6"/>
    <x v="6"/>
    <x v="1"/>
    <x v="1767"/>
    <x v="1869"/>
    <s v="28th November 2023"/>
    <s v="28th"/>
    <x v="6"/>
    <x v="0"/>
    <x v="1"/>
  </r>
  <r>
    <x v="6"/>
    <x v="8"/>
    <x v="1"/>
    <x v="1768"/>
    <x v="1870"/>
    <s v="28th November 2023"/>
    <s v="28th"/>
    <x v="6"/>
    <x v="0"/>
    <x v="1"/>
  </r>
  <r>
    <x v="6"/>
    <x v="2"/>
    <x v="2"/>
    <x v="1769"/>
    <x v="1871"/>
    <s v="28th November 2023"/>
    <s v="28th"/>
    <x v="6"/>
    <x v="0"/>
    <x v="0"/>
  </r>
  <r>
    <x v="6"/>
    <x v="8"/>
    <x v="1"/>
    <x v="75"/>
    <x v="1872"/>
    <s v="25th September 2023"/>
    <s v="25th"/>
    <x v="2"/>
    <x v="0"/>
    <x v="1"/>
  </r>
  <r>
    <x v="6"/>
    <x v="9"/>
    <x v="1"/>
    <x v="1770"/>
    <x v="1873"/>
    <s v="25th September 2023"/>
    <s v="25th"/>
    <x v="2"/>
    <x v="0"/>
    <x v="1"/>
  </r>
  <r>
    <x v="6"/>
    <x v="2"/>
    <x v="2"/>
    <x v="1771"/>
    <x v="1874"/>
    <s v="25th September 2023"/>
    <s v="25th"/>
    <x v="2"/>
    <x v="0"/>
    <x v="0"/>
  </r>
  <r>
    <x v="6"/>
    <x v="1"/>
    <x v="1"/>
    <x v="1772"/>
    <x v="255"/>
    <s v="25th September 2023"/>
    <s v="25th"/>
    <x v="2"/>
    <x v="0"/>
    <x v="1"/>
  </r>
  <r>
    <x v="6"/>
    <x v="3"/>
    <x v="2"/>
    <x v="1773"/>
    <x v="1875"/>
    <s v="25th September 2023"/>
    <s v="25th"/>
    <x v="2"/>
    <x v="0"/>
    <x v="0"/>
  </r>
  <r>
    <x v="6"/>
    <x v="2"/>
    <x v="2"/>
    <x v="1774"/>
    <x v="1876"/>
    <s v="25th September 2023"/>
    <s v="25th"/>
    <x v="2"/>
    <x v="0"/>
    <x v="0"/>
  </r>
  <r>
    <x v="6"/>
    <x v="6"/>
    <x v="1"/>
    <x v="1775"/>
    <x v="1877"/>
    <s v="25th September 2023"/>
    <s v="25th"/>
    <x v="2"/>
    <x v="0"/>
    <x v="1"/>
  </r>
  <r>
    <x v="6"/>
    <x v="1"/>
    <x v="1"/>
    <x v="1776"/>
    <x v="1878"/>
    <s v="25th September 2023"/>
    <s v="25th"/>
    <x v="2"/>
    <x v="0"/>
    <x v="1"/>
  </r>
  <r>
    <x v="6"/>
    <x v="1"/>
    <x v="1"/>
    <x v="1777"/>
    <x v="1879"/>
    <s v="25th September 2023"/>
    <s v="25th"/>
    <x v="2"/>
    <x v="0"/>
    <x v="1"/>
  </r>
  <r>
    <x v="6"/>
    <x v="6"/>
    <x v="1"/>
    <x v="1778"/>
    <x v="81"/>
    <s v="25th September 2023"/>
    <s v="25th"/>
    <x v="2"/>
    <x v="0"/>
    <x v="1"/>
  </r>
  <r>
    <x v="6"/>
    <x v="2"/>
    <x v="2"/>
    <x v="1779"/>
    <x v="1880"/>
    <s v="14th August 2023"/>
    <s v="14th"/>
    <x v="8"/>
    <x v="0"/>
    <x v="0"/>
  </r>
  <r>
    <x v="6"/>
    <x v="5"/>
    <x v="0"/>
    <x v="1780"/>
    <x v="1881"/>
    <s v="14th August 2023"/>
    <s v="14th"/>
    <x v="8"/>
    <x v="0"/>
    <x v="0"/>
  </r>
  <r>
    <x v="6"/>
    <x v="1"/>
    <x v="1"/>
    <x v="1781"/>
    <x v="1882"/>
    <s v="14th August 2023"/>
    <s v="14th"/>
    <x v="8"/>
    <x v="0"/>
    <x v="1"/>
  </r>
  <r>
    <x v="6"/>
    <x v="3"/>
    <x v="2"/>
    <x v="1782"/>
    <x v="1883"/>
    <s v="14th August 2023"/>
    <s v="14th"/>
    <x v="8"/>
    <x v="0"/>
    <x v="0"/>
  </r>
  <r>
    <x v="6"/>
    <x v="2"/>
    <x v="2"/>
    <x v="1783"/>
    <x v="1875"/>
    <s v="14th August 2023"/>
    <s v="14th"/>
    <x v="8"/>
    <x v="0"/>
    <x v="0"/>
  </r>
  <r>
    <x v="6"/>
    <x v="3"/>
    <x v="2"/>
    <x v="1784"/>
    <x v="580"/>
    <s v="14th August 2023"/>
    <s v="14th"/>
    <x v="8"/>
    <x v="0"/>
    <x v="0"/>
  </r>
  <r>
    <x v="6"/>
    <x v="1"/>
    <x v="1"/>
    <x v="776"/>
    <x v="1884"/>
    <s v="14th August 2023"/>
    <s v="14th"/>
    <x v="8"/>
    <x v="0"/>
    <x v="1"/>
  </r>
  <r>
    <x v="6"/>
    <x v="7"/>
    <x v="0"/>
    <x v="1785"/>
    <x v="1885"/>
    <s v="14th August 2023"/>
    <s v="14th"/>
    <x v="8"/>
    <x v="0"/>
    <x v="0"/>
  </r>
  <r>
    <x v="6"/>
    <x v="1"/>
    <x v="1"/>
    <x v="1786"/>
    <x v="1886"/>
    <s v="14th August 2023"/>
    <s v="14th"/>
    <x v="8"/>
    <x v="0"/>
    <x v="1"/>
  </r>
  <r>
    <x v="6"/>
    <x v="2"/>
    <x v="2"/>
    <x v="1787"/>
    <x v="1887"/>
    <s v="14th August 2023"/>
    <s v="14th"/>
    <x v="8"/>
    <x v="0"/>
    <x v="0"/>
  </r>
  <r>
    <x v="6"/>
    <x v="1"/>
    <x v="1"/>
    <x v="1788"/>
    <x v="1888"/>
    <s v="14th June 2023"/>
    <s v="14th"/>
    <x v="3"/>
    <x v="0"/>
    <x v="1"/>
  </r>
  <r>
    <x v="6"/>
    <x v="1"/>
    <x v="1"/>
    <x v="1789"/>
    <x v="1889"/>
    <s v="14th June 2023"/>
    <s v="14th"/>
    <x v="3"/>
    <x v="0"/>
    <x v="0"/>
  </r>
  <r>
    <x v="6"/>
    <x v="4"/>
    <x v="2"/>
    <x v="1790"/>
    <x v="1890"/>
    <s v="14th June 2023"/>
    <s v="14th"/>
    <x v="3"/>
    <x v="0"/>
    <x v="0"/>
  </r>
  <r>
    <x v="6"/>
    <x v="2"/>
    <x v="2"/>
    <x v="1791"/>
    <x v="1891"/>
    <s v="14th June 2023"/>
    <s v="14th"/>
    <x v="3"/>
    <x v="0"/>
    <x v="0"/>
  </r>
  <r>
    <x v="6"/>
    <x v="2"/>
    <x v="2"/>
    <x v="349"/>
    <x v="1892"/>
    <s v="14th June 2023"/>
    <s v="14th"/>
    <x v="3"/>
    <x v="0"/>
    <x v="0"/>
  </r>
  <r>
    <x v="6"/>
    <x v="4"/>
    <x v="2"/>
    <x v="1792"/>
    <x v="1893"/>
    <s v="14th June 2023"/>
    <s v="14th"/>
    <x v="3"/>
    <x v="0"/>
    <x v="0"/>
  </r>
  <r>
    <x v="6"/>
    <x v="2"/>
    <x v="2"/>
    <x v="1793"/>
    <x v="765"/>
    <s v="14th June 2023"/>
    <s v="14th"/>
    <x v="3"/>
    <x v="0"/>
    <x v="0"/>
  </r>
  <r>
    <x v="6"/>
    <x v="6"/>
    <x v="1"/>
    <x v="537"/>
    <x v="1894"/>
    <s v="14th June 2023"/>
    <s v="14th"/>
    <x v="3"/>
    <x v="0"/>
    <x v="1"/>
  </r>
  <r>
    <x v="6"/>
    <x v="2"/>
    <x v="2"/>
    <x v="1794"/>
    <x v="1895"/>
    <s v="14th June 2023"/>
    <s v="14th"/>
    <x v="3"/>
    <x v="0"/>
    <x v="0"/>
  </r>
  <r>
    <x v="6"/>
    <x v="9"/>
    <x v="1"/>
    <x v="1795"/>
    <x v="1896"/>
    <s v="14th June 2023"/>
    <s v="14th"/>
    <x v="3"/>
    <x v="0"/>
    <x v="1"/>
  </r>
  <r>
    <x v="6"/>
    <x v="2"/>
    <x v="2"/>
    <x v="1796"/>
    <x v="1897"/>
    <s v="11th April 2023"/>
    <s v="11th"/>
    <x v="1"/>
    <x v="0"/>
    <x v="0"/>
  </r>
  <r>
    <x v="6"/>
    <x v="6"/>
    <x v="1"/>
    <x v="1797"/>
    <x v="1898"/>
    <s v="11th April 2023"/>
    <s v="11th"/>
    <x v="1"/>
    <x v="0"/>
    <x v="1"/>
  </r>
  <r>
    <x v="6"/>
    <x v="6"/>
    <x v="1"/>
    <x v="1798"/>
    <x v="1899"/>
    <s v="11th April 2023"/>
    <s v="11th"/>
    <x v="1"/>
    <x v="0"/>
    <x v="1"/>
  </r>
  <r>
    <x v="6"/>
    <x v="1"/>
    <x v="1"/>
    <x v="1799"/>
    <x v="1900"/>
    <s v="11th April 2023"/>
    <s v="11th"/>
    <x v="1"/>
    <x v="0"/>
    <x v="1"/>
  </r>
  <r>
    <x v="6"/>
    <x v="6"/>
    <x v="1"/>
    <x v="1800"/>
    <x v="1901"/>
    <s v="11th April 2023"/>
    <s v="11th"/>
    <x v="1"/>
    <x v="0"/>
    <x v="1"/>
  </r>
  <r>
    <x v="6"/>
    <x v="2"/>
    <x v="2"/>
    <x v="1801"/>
    <x v="1902"/>
    <s v="11th April 2023"/>
    <s v="11th"/>
    <x v="1"/>
    <x v="0"/>
    <x v="0"/>
  </r>
  <r>
    <x v="6"/>
    <x v="2"/>
    <x v="2"/>
    <x v="1802"/>
    <x v="1021"/>
    <s v="11th April 2023"/>
    <s v="11th"/>
    <x v="1"/>
    <x v="0"/>
    <x v="0"/>
  </r>
  <r>
    <x v="6"/>
    <x v="2"/>
    <x v="2"/>
    <x v="1803"/>
    <x v="1903"/>
    <s v="11th April 2023"/>
    <s v="11th"/>
    <x v="1"/>
    <x v="0"/>
    <x v="0"/>
  </r>
  <r>
    <x v="6"/>
    <x v="4"/>
    <x v="2"/>
    <x v="1804"/>
    <x v="1904"/>
    <s v="11th April 2023"/>
    <s v="11th"/>
    <x v="1"/>
    <x v="0"/>
    <x v="0"/>
  </r>
  <r>
    <x v="6"/>
    <x v="2"/>
    <x v="2"/>
    <x v="1787"/>
    <x v="1905"/>
    <s v="11th April 2023"/>
    <s v="11th"/>
    <x v="1"/>
    <x v="0"/>
    <x v="0"/>
  </r>
  <r>
    <x v="6"/>
    <x v="5"/>
    <x v="0"/>
    <x v="1805"/>
    <x v="1906"/>
    <s v="19th January 2023"/>
    <s v="19th"/>
    <x v="11"/>
    <x v="0"/>
    <x v="0"/>
  </r>
  <r>
    <x v="6"/>
    <x v="2"/>
    <x v="2"/>
    <x v="1806"/>
    <x v="1907"/>
    <s v="19th January 2023"/>
    <s v="19th"/>
    <x v="11"/>
    <x v="0"/>
    <x v="0"/>
  </r>
  <r>
    <x v="6"/>
    <x v="2"/>
    <x v="2"/>
    <x v="1807"/>
    <x v="1908"/>
    <s v="19th January 2023"/>
    <s v="19th"/>
    <x v="11"/>
    <x v="0"/>
    <x v="0"/>
  </r>
  <r>
    <x v="6"/>
    <x v="0"/>
    <x v="0"/>
    <x v="832"/>
    <x v="12"/>
    <s v="19th January 2023"/>
    <s v="19th"/>
    <x v="11"/>
    <x v="0"/>
    <x v="0"/>
  </r>
  <r>
    <x v="6"/>
    <x v="2"/>
    <x v="2"/>
    <x v="1808"/>
    <x v="1909"/>
    <s v="19th January 2023"/>
    <s v="19th"/>
    <x v="11"/>
    <x v="0"/>
    <x v="0"/>
  </r>
  <r>
    <x v="6"/>
    <x v="8"/>
    <x v="1"/>
    <x v="1809"/>
    <x v="1910"/>
    <s v="19th January 2023"/>
    <s v="19th"/>
    <x v="11"/>
    <x v="0"/>
    <x v="1"/>
  </r>
  <r>
    <x v="6"/>
    <x v="2"/>
    <x v="2"/>
    <x v="1279"/>
    <x v="1875"/>
    <s v="19th January 2023"/>
    <s v="19th"/>
    <x v="11"/>
    <x v="0"/>
    <x v="0"/>
  </r>
  <r>
    <x v="6"/>
    <x v="2"/>
    <x v="2"/>
    <x v="1810"/>
    <x v="1875"/>
    <s v="19th January 2023"/>
    <s v="19th"/>
    <x v="11"/>
    <x v="0"/>
    <x v="0"/>
  </r>
  <r>
    <x v="6"/>
    <x v="6"/>
    <x v="1"/>
    <x v="1811"/>
    <x v="1911"/>
    <s v="19th January 2023"/>
    <s v="19th"/>
    <x v="11"/>
    <x v="0"/>
    <x v="1"/>
  </r>
  <r>
    <x v="6"/>
    <x v="3"/>
    <x v="2"/>
    <x v="493"/>
    <x v="12"/>
    <s v="19th January 2023"/>
    <s v="19th"/>
    <x v="11"/>
    <x v="0"/>
    <x v="0"/>
  </r>
  <r>
    <x v="6"/>
    <x v="9"/>
    <x v="1"/>
    <x v="1812"/>
    <x v="1912"/>
    <s v="4th October 2022"/>
    <s v="4th"/>
    <x v="0"/>
    <x v="1"/>
    <x v="1"/>
  </r>
  <r>
    <x v="6"/>
    <x v="3"/>
    <x v="2"/>
    <x v="493"/>
    <x v="12"/>
    <s v="4th October 2022"/>
    <s v="4th"/>
    <x v="0"/>
    <x v="1"/>
    <x v="0"/>
  </r>
  <r>
    <x v="6"/>
    <x v="3"/>
    <x v="2"/>
    <x v="1096"/>
    <x v="12"/>
    <s v="4th October 2022"/>
    <s v="4th"/>
    <x v="0"/>
    <x v="1"/>
    <x v="0"/>
  </r>
  <r>
    <x v="6"/>
    <x v="3"/>
    <x v="2"/>
    <x v="1813"/>
    <x v="514"/>
    <s v="4th October 2022"/>
    <s v="4th"/>
    <x v="0"/>
    <x v="1"/>
    <x v="0"/>
  </r>
  <r>
    <x v="6"/>
    <x v="2"/>
    <x v="2"/>
    <x v="1814"/>
    <x v="12"/>
    <s v="4th October 2022"/>
    <s v="4th"/>
    <x v="0"/>
    <x v="1"/>
    <x v="0"/>
  </r>
  <r>
    <x v="6"/>
    <x v="5"/>
    <x v="0"/>
    <x v="493"/>
    <x v="12"/>
    <s v="4th October 2022"/>
    <s v="4th"/>
    <x v="0"/>
    <x v="1"/>
    <x v="0"/>
  </r>
  <r>
    <x v="6"/>
    <x v="5"/>
    <x v="0"/>
    <x v="1041"/>
    <x v="12"/>
    <s v="4th October 2022"/>
    <s v="4th"/>
    <x v="0"/>
    <x v="1"/>
    <x v="0"/>
  </r>
  <r>
    <x v="6"/>
    <x v="4"/>
    <x v="2"/>
    <x v="1815"/>
    <x v="1913"/>
    <s v="4th October 2022"/>
    <s v="4th"/>
    <x v="0"/>
    <x v="1"/>
    <x v="0"/>
  </r>
  <r>
    <x v="6"/>
    <x v="0"/>
    <x v="0"/>
    <x v="1816"/>
    <x v="12"/>
    <s v="4th October 2022"/>
    <s v="4th"/>
    <x v="0"/>
    <x v="1"/>
    <x v="0"/>
  </r>
  <r>
    <x v="6"/>
    <x v="7"/>
    <x v="0"/>
    <x v="267"/>
    <x v="12"/>
    <s v="4th October 2022"/>
    <s v="4th"/>
    <x v="0"/>
    <x v="1"/>
    <x v="1"/>
  </r>
  <r>
    <x v="6"/>
    <x v="4"/>
    <x v="2"/>
    <x v="1817"/>
    <x v="1914"/>
    <s v="4th August 2022"/>
    <s v="4th"/>
    <x v="8"/>
    <x v="1"/>
    <x v="0"/>
  </r>
  <r>
    <x v="6"/>
    <x v="6"/>
    <x v="1"/>
    <x v="1818"/>
    <x v="1915"/>
    <s v="4th August 2022"/>
    <s v="4th"/>
    <x v="8"/>
    <x v="1"/>
    <x v="1"/>
  </r>
  <r>
    <x v="6"/>
    <x v="0"/>
    <x v="0"/>
    <x v="1819"/>
    <x v="1916"/>
    <s v="4th August 2022"/>
    <s v="4th"/>
    <x v="8"/>
    <x v="1"/>
    <x v="0"/>
  </r>
  <r>
    <x v="6"/>
    <x v="2"/>
    <x v="2"/>
    <x v="1095"/>
    <x v="1917"/>
    <s v="4th August 2022"/>
    <s v="4th"/>
    <x v="8"/>
    <x v="1"/>
    <x v="0"/>
  </r>
  <r>
    <x v="6"/>
    <x v="2"/>
    <x v="2"/>
    <x v="1820"/>
    <x v="1918"/>
    <s v="4th August 2022"/>
    <s v="4th"/>
    <x v="8"/>
    <x v="1"/>
    <x v="0"/>
  </r>
  <r>
    <x v="6"/>
    <x v="1"/>
    <x v="1"/>
    <x v="1821"/>
    <x v="1919"/>
    <s v="4th August 2022"/>
    <s v="4th"/>
    <x v="8"/>
    <x v="1"/>
    <x v="1"/>
  </r>
  <r>
    <x v="6"/>
    <x v="6"/>
    <x v="1"/>
    <x v="1822"/>
    <x v="1920"/>
    <s v="4th August 2022"/>
    <s v="4th"/>
    <x v="8"/>
    <x v="1"/>
    <x v="0"/>
  </r>
  <r>
    <x v="6"/>
    <x v="6"/>
    <x v="1"/>
    <x v="1823"/>
    <x v="1921"/>
    <s v="4th August 2022"/>
    <s v="4th"/>
    <x v="8"/>
    <x v="1"/>
    <x v="1"/>
  </r>
  <r>
    <x v="6"/>
    <x v="1"/>
    <x v="1"/>
    <x v="1824"/>
    <x v="1922"/>
    <s v="4th August 2022"/>
    <s v="4th"/>
    <x v="8"/>
    <x v="1"/>
    <x v="1"/>
  </r>
  <r>
    <x v="6"/>
    <x v="2"/>
    <x v="2"/>
    <x v="1825"/>
    <x v="1923"/>
    <s v="4th August 2022"/>
    <s v="4th"/>
    <x v="8"/>
    <x v="1"/>
    <x v="0"/>
  </r>
  <r>
    <x v="6"/>
    <x v="2"/>
    <x v="2"/>
    <x v="1826"/>
    <x v="1924"/>
    <s v="5th June 2022"/>
    <s v="5th"/>
    <x v="3"/>
    <x v="1"/>
    <x v="0"/>
  </r>
  <r>
    <x v="6"/>
    <x v="2"/>
    <x v="2"/>
    <x v="1827"/>
    <x v="1925"/>
    <s v="5th June 2022"/>
    <s v="5th"/>
    <x v="3"/>
    <x v="1"/>
    <x v="0"/>
  </r>
  <r>
    <x v="6"/>
    <x v="0"/>
    <x v="0"/>
    <x v="1828"/>
    <x v="1926"/>
    <s v="5th June 2022"/>
    <s v="5th"/>
    <x v="3"/>
    <x v="1"/>
    <x v="1"/>
  </r>
  <r>
    <x v="6"/>
    <x v="8"/>
    <x v="1"/>
    <x v="1829"/>
    <x v="1927"/>
    <s v="5th June 2022"/>
    <s v="5th"/>
    <x v="3"/>
    <x v="1"/>
    <x v="1"/>
  </r>
  <r>
    <x v="6"/>
    <x v="2"/>
    <x v="2"/>
    <x v="1830"/>
    <x v="1928"/>
    <s v="5th June 2022"/>
    <s v="5th"/>
    <x v="3"/>
    <x v="1"/>
    <x v="0"/>
  </r>
  <r>
    <x v="6"/>
    <x v="4"/>
    <x v="2"/>
    <x v="1831"/>
    <x v="960"/>
    <s v="5th June 2022"/>
    <s v="5th"/>
    <x v="3"/>
    <x v="1"/>
    <x v="0"/>
  </r>
  <r>
    <x v="6"/>
    <x v="3"/>
    <x v="2"/>
    <x v="1832"/>
    <x v="1929"/>
    <s v="5th June 2022"/>
    <s v="5th"/>
    <x v="3"/>
    <x v="1"/>
    <x v="0"/>
  </r>
  <r>
    <x v="6"/>
    <x v="7"/>
    <x v="0"/>
    <x v="1833"/>
    <x v="1930"/>
    <s v="5th June 2022"/>
    <s v="5th"/>
    <x v="3"/>
    <x v="1"/>
    <x v="0"/>
  </r>
  <r>
    <x v="6"/>
    <x v="3"/>
    <x v="2"/>
    <x v="1834"/>
    <x v="1931"/>
    <s v="5th June 2022"/>
    <s v="5th"/>
    <x v="3"/>
    <x v="1"/>
    <x v="0"/>
  </r>
  <r>
    <x v="6"/>
    <x v="0"/>
    <x v="0"/>
    <x v="1835"/>
    <x v="1932"/>
    <s v="5th June 2022"/>
    <s v="5th"/>
    <x v="3"/>
    <x v="1"/>
    <x v="0"/>
  </r>
  <r>
    <x v="6"/>
    <x v="2"/>
    <x v="2"/>
    <x v="1836"/>
    <x v="1933"/>
    <s v="1st April 2022"/>
    <s v="1st"/>
    <x v="1"/>
    <x v="1"/>
    <x v="0"/>
  </r>
  <r>
    <x v="6"/>
    <x v="5"/>
    <x v="0"/>
    <x v="1041"/>
    <x v="12"/>
    <s v="1st April 2022"/>
    <s v="1st"/>
    <x v="1"/>
    <x v="1"/>
    <x v="0"/>
  </r>
  <r>
    <x v="6"/>
    <x v="8"/>
    <x v="1"/>
    <x v="1837"/>
    <x v="12"/>
    <s v="1st April 2022"/>
    <s v="1st"/>
    <x v="1"/>
    <x v="1"/>
    <x v="1"/>
  </r>
  <r>
    <x v="6"/>
    <x v="2"/>
    <x v="2"/>
    <x v="1838"/>
    <x v="1934"/>
    <s v="1st April 2022"/>
    <s v="1st"/>
    <x v="1"/>
    <x v="1"/>
    <x v="0"/>
  </r>
  <r>
    <x v="6"/>
    <x v="4"/>
    <x v="2"/>
    <x v="1839"/>
    <x v="1875"/>
    <s v="1st April 2022"/>
    <s v="1st"/>
    <x v="1"/>
    <x v="1"/>
    <x v="0"/>
  </r>
  <r>
    <x v="6"/>
    <x v="1"/>
    <x v="1"/>
    <x v="842"/>
    <x v="1935"/>
    <s v="1st April 2022"/>
    <s v="1st"/>
    <x v="1"/>
    <x v="1"/>
    <x v="1"/>
  </r>
  <r>
    <x v="6"/>
    <x v="6"/>
    <x v="1"/>
    <x v="1840"/>
    <x v="1936"/>
    <s v="1st April 2022"/>
    <s v="1st"/>
    <x v="1"/>
    <x v="1"/>
    <x v="1"/>
  </r>
  <r>
    <x v="6"/>
    <x v="2"/>
    <x v="2"/>
    <x v="1841"/>
    <x v="1937"/>
    <s v="1st April 2022"/>
    <s v="1st"/>
    <x v="1"/>
    <x v="1"/>
    <x v="0"/>
  </r>
  <r>
    <x v="6"/>
    <x v="4"/>
    <x v="2"/>
    <x v="1842"/>
    <x v="1875"/>
    <s v="1st April 2022"/>
    <s v="1st"/>
    <x v="1"/>
    <x v="1"/>
    <x v="0"/>
  </r>
  <r>
    <x v="6"/>
    <x v="2"/>
    <x v="2"/>
    <x v="1843"/>
    <x v="1938"/>
    <s v="1st April 2022"/>
    <s v="1st"/>
    <x v="1"/>
    <x v="1"/>
    <x v="0"/>
  </r>
  <r>
    <x v="6"/>
    <x v="2"/>
    <x v="2"/>
    <x v="1844"/>
    <x v="1939"/>
    <s v="26th November 2021"/>
    <s v="26th"/>
    <x v="6"/>
    <x v="2"/>
    <x v="0"/>
  </r>
  <r>
    <x v="6"/>
    <x v="1"/>
    <x v="1"/>
    <x v="1845"/>
    <x v="1940"/>
    <s v="26th November 2021"/>
    <s v="26th"/>
    <x v="6"/>
    <x v="2"/>
    <x v="1"/>
  </r>
  <r>
    <x v="6"/>
    <x v="4"/>
    <x v="2"/>
    <x v="1846"/>
    <x v="252"/>
    <s v="26th November 2021"/>
    <s v="26th"/>
    <x v="6"/>
    <x v="2"/>
    <x v="0"/>
  </r>
  <r>
    <x v="6"/>
    <x v="6"/>
    <x v="1"/>
    <x v="1847"/>
    <x v="1941"/>
    <s v="26th November 2021"/>
    <s v="26th"/>
    <x v="6"/>
    <x v="2"/>
    <x v="1"/>
  </r>
  <r>
    <x v="6"/>
    <x v="2"/>
    <x v="2"/>
    <x v="1848"/>
    <x v="1942"/>
    <s v="26th November 2021"/>
    <s v="26th"/>
    <x v="6"/>
    <x v="2"/>
    <x v="0"/>
  </r>
  <r>
    <x v="6"/>
    <x v="2"/>
    <x v="2"/>
    <x v="1849"/>
    <x v="1943"/>
    <s v="26th November 2021"/>
    <s v="26th"/>
    <x v="6"/>
    <x v="2"/>
    <x v="0"/>
  </r>
  <r>
    <x v="6"/>
    <x v="2"/>
    <x v="2"/>
    <x v="1850"/>
    <x v="681"/>
    <s v="26th November 2021"/>
    <s v="26th"/>
    <x v="6"/>
    <x v="2"/>
    <x v="0"/>
  </r>
  <r>
    <x v="6"/>
    <x v="0"/>
    <x v="0"/>
    <x v="1851"/>
    <x v="1944"/>
    <s v="26th November 2021"/>
    <s v="26th"/>
    <x v="6"/>
    <x v="2"/>
    <x v="1"/>
  </r>
  <r>
    <x v="6"/>
    <x v="4"/>
    <x v="2"/>
    <x v="1852"/>
    <x v="1945"/>
    <s v="26th November 2021"/>
    <s v="26th"/>
    <x v="6"/>
    <x v="2"/>
    <x v="0"/>
  </r>
  <r>
    <x v="6"/>
    <x v="1"/>
    <x v="1"/>
    <x v="1853"/>
    <x v="1946"/>
    <s v="26th November 2021"/>
    <s v="26th"/>
    <x v="6"/>
    <x v="2"/>
    <x v="1"/>
  </r>
  <r>
    <x v="6"/>
    <x v="1"/>
    <x v="1"/>
    <x v="1854"/>
    <x v="1947"/>
    <s v="15th May 2021"/>
    <s v="15th"/>
    <x v="7"/>
    <x v="2"/>
    <x v="1"/>
  </r>
  <r>
    <x v="6"/>
    <x v="4"/>
    <x v="2"/>
    <x v="1855"/>
    <x v="1948"/>
    <s v="15th May 2021"/>
    <s v="15th"/>
    <x v="7"/>
    <x v="2"/>
    <x v="0"/>
  </r>
  <r>
    <x v="6"/>
    <x v="6"/>
    <x v="1"/>
    <x v="1856"/>
    <x v="1949"/>
    <s v="15th May 2021"/>
    <s v="15th"/>
    <x v="7"/>
    <x v="2"/>
    <x v="1"/>
  </r>
  <r>
    <x v="6"/>
    <x v="4"/>
    <x v="2"/>
    <x v="1857"/>
    <x v="1950"/>
    <s v="15th May 2021"/>
    <s v="15th"/>
    <x v="7"/>
    <x v="2"/>
    <x v="0"/>
  </r>
  <r>
    <x v="6"/>
    <x v="3"/>
    <x v="2"/>
    <x v="1858"/>
    <x v="12"/>
    <s v="15th May 2021"/>
    <s v="15th"/>
    <x v="7"/>
    <x v="2"/>
    <x v="0"/>
  </r>
  <r>
    <x v="6"/>
    <x v="4"/>
    <x v="2"/>
    <x v="1859"/>
    <x v="12"/>
    <s v="15th May 2021"/>
    <s v="15th"/>
    <x v="7"/>
    <x v="2"/>
    <x v="0"/>
  </r>
  <r>
    <x v="6"/>
    <x v="1"/>
    <x v="1"/>
    <x v="1860"/>
    <x v="1951"/>
    <s v="15th May 2021"/>
    <s v="15th"/>
    <x v="7"/>
    <x v="2"/>
    <x v="1"/>
  </r>
  <r>
    <x v="6"/>
    <x v="4"/>
    <x v="2"/>
    <x v="1861"/>
    <x v="1875"/>
    <s v="15th May 2021"/>
    <s v="15th"/>
    <x v="7"/>
    <x v="2"/>
    <x v="0"/>
  </r>
  <r>
    <x v="6"/>
    <x v="3"/>
    <x v="2"/>
    <x v="1862"/>
    <x v="1875"/>
    <s v="15th May 2021"/>
    <s v="15th"/>
    <x v="7"/>
    <x v="2"/>
    <x v="0"/>
  </r>
  <r>
    <x v="6"/>
    <x v="2"/>
    <x v="2"/>
    <x v="1863"/>
    <x v="34"/>
    <s v="15th May 2021"/>
    <s v="15th"/>
    <x v="7"/>
    <x v="2"/>
    <x v="0"/>
  </r>
  <r>
    <x v="6"/>
    <x v="6"/>
    <x v="1"/>
    <x v="1864"/>
    <x v="1952"/>
    <s v="29th November 2020"/>
    <s v="29th"/>
    <x v="6"/>
    <x v="3"/>
    <x v="1"/>
  </r>
  <r>
    <x v="6"/>
    <x v="1"/>
    <x v="1"/>
    <x v="1865"/>
    <x v="1953"/>
    <s v="29th November 2020"/>
    <s v="29th"/>
    <x v="6"/>
    <x v="3"/>
    <x v="1"/>
  </r>
  <r>
    <x v="6"/>
    <x v="2"/>
    <x v="2"/>
    <x v="1866"/>
    <x v="1954"/>
    <s v="29th November 2020"/>
    <s v="29th"/>
    <x v="6"/>
    <x v="3"/>
    <x v="0"/>
  </r>
  <r>
    <x v="6"/>
    <x v="1"/>
    <x v="1"/>
    <x v="1867"/>
    <x v="1955"/>
    <s v="29th November 2020"/>
    <s v="29th"/>
    <x v="6"/>
    <x v="3"/>
    <x v="1"/>
  </r>
  <r>
    <x v="6"/>
    <x v="1"/>
    <x v="1"/>
    <x v="1868"/>
    <x v="1956"/>
    <s v="29th November 2020"/>
    <s v="29th"/>
    <x v="6"/>
    <x v="3"/>
    <x v="1"/>
  </r>
  <r>
    <x v="6"/>
    <x v="1"/>
    <x v="1"/>
    <x v="1869"/>
    <x v="1957"/>
    <s v="29th November 2020"/>
    <s v="29th"/>
    <x v="6"/>
    <x v="3"/>
    <x v="1"/>
  </r>
  <r>
    <x v="6"/>
    <x v="1"/>
    <x v="1"/>
    <x v="1870"/>
    <x v="1958"/>
    <s v="29th November 2020"/>
    <s v="29th"/>
    <x v="6"/>
    <x v="3"/>
    <x v="1"/>
  </r>
  <r>
    <x v="6"/>
    <x v="1"/>
    <x v="1"/>
    <x v="1871"/>
    <x v="1959"/>
    <s v="29th November 2020"/>
    <s v="29th"/>
    <x v="6"/>
    <x v="3"/>
    <x v="1"/>
  </r>
  <r>
    <x v="6"/>
    <x v="2"/>
    <x v="2"/>
    <x v="1872"/>
    <x v="1960"/>
    <s v="29th November 2020"/>
    <s v="29th"/>
    <x v="6"/>
    <x v="3"/>
    <x v="0"/>
  </r>
  <r>
    <x v="6"/>
    <x v="7"/>
    <x v="0"/>
    <x v="1873"/>
    <x v="1961"/>
    <s v="29th November 2020"/>
    <s v="29th"/>
    <x v="6"/>
    <x v="3"/>
    <x v="1"/>
  </r>
  <r>
    <x v="6"/>
    <x v="1"/>
    <x v="1"/>
    <x v="1874"/>
    <x v="1962"/>
    <s v="27th February 2020"/>
    <s v="27th"/>
    <x v="5"/>
    <x v="3"/>
    <x v="1"/>
  </r>
  <r>
    <x v="6"/>
    <x v="1"/>
    <x v="1"/>
    <x v="1875"/>
    <x v="1963"/>
    <s v="27th February 2020"/>
    <s v="27th"/>
    <x v="5"/>
    <x v="3"/>
    <x v="1"/>
  </r>
  <r>
    <x v="6"/>
    <x v="2"/>
    <x v="2"/>
    <x v="1876"/>
    <x v="1964"/>
    <s v="27th February 2020"/>
    <s v="27th"/>
    <x v="5"/>
    <x v="3"/>
    <x v="0"/>
  </r>
  <r>
    <x v="6"/>
    <x v="2"/>
    <x v="2"/>
    <x v="1877"/>
    <x v="1965"/>
    <s v="27th February 2020"/>
    <s v="27th"/>
    <x v="5"/>
    <x v="3"/>
    <x v="0"/>
  </r>
  <r>
    <x v="6"/>
    <x v="6"/>
    <x v="1"/>
    <x v="1878"/>
    <x v="1966"/>
    <s v="27th February 2020"/>
    <s v="27th"/>
    <x v="5"/>
    <x v="3"/>
    <x v="0"/>
  </r>
  <r>
    <x v="6"/>
    <x v="1"/>
    <x v="1"/>
    <x v="220"/>
    <x v="1967"/>
    <s v="27th February 2020"/>
    <s v="27th"/>
    <x v="5"/>
    <x v="3"/>
    <x v="1"/>
  </r>
  <r>
    <x v="6"/>
    <x v="2"/>
    <x v="2"/>
    <x v="1879"/>
    <x v="1968"/>
    <s v="27th February 2020"/>
    <s v="27th"/>
    <x v="5"/>
    <x v="3"/>
    <x v="0"/>
  </r>
  <r>
    <x v="6"/>
    <x v="2"/>
    <x v="2"/>
    <x v="1880"/>
    <x v="1969"/>
    <s v="27th February 2020"/>
    <s v="27th"/>
    <x v="5"/>
    <x v="3"/>
    <x v="0"/>
  </r>
  <r>
    <x v="6"/>
    <x v="4"/>
    <x v="2"/>
    <x v="1881"/>
    <x v="1970"/>
    <s v="27th February 2020"/>
    <s v="27th"/>
    <x v="5"/>
    <x v="3"/>
    <x v="0"/>
  </r>
  <r>
    <x v="6"/>
    <x v="1"/>
    <x v="1"/>
    <x v="1882"/>
    <x v="1971"/>
    <s v="27th February 2020"/>
    <s v="27th"/>
    <x v="5"/>
    <x v="3"/>
    <x v="1"/>
  </r>
  <r>
    <x v="6"/>
    <x v="1"/>
    <x v="1"/>
    <x v="1883"/>
    <x v="1972"/>
    <s v="10th November 2019"/>
    <s v="10th"/>
    <x v="6"/>
    <x v="4"/>
    <x v="1"/>
  </r>
  <r>
    <x v="6"/>
    <x v="2"/>
    <x v="2"/>
    <x v="1884"/>
    <x v="1973"/>
    <s v="10th November 2019"/>
    <s v="10th"/>
    <x v="6"/>
    <x v="4"/>
    <x v="0"/>
  </r>
  <r>
    <x v="6"/>
    <x v="1"/>
    <x v="1"/>
    <x v="1885"/>
    <x v="1974"/>
    <s v="10th November 2019"/>
    <s v="10th"/>
    <x v="6"/>
    <x v="4"/>
    <x v="1"/>
  </r>
  <r>
    <x v="6"/>
    <x v="2"/>
    <x v="2"/>
    <x v="1886"/>
    <x v="1975"/>
    <s v="10th November 2019"/>
    <s v="10th"/>
    <x v="6"/>
    <x v="4"/>
    <x v="0"/>
  </r>
  <r>
    <x v="6"/>
    <x v="2"/>
    <x v="2"/>
    <x v="1761"/>
    <x v="1976"/>
    <s v="10th November 2019"/>
    <s v="10th"/>
    <x v="6"/>
    <x v="4"/>
    <x v="0"/>
  </r>
  <r>
    <x v="6"/>
    <x v="4"/>
    <x v="2"/>
    <x v="1887"/>
    <x v="1977"/>
    <s v="10th November 2019"/>
    <s v="10th"/>
    <x v="6"/>
    <x v="4"/>
    <x v="0"/>
  </r>
  <r>
    <x v="6"/>
    <x v="2"/>
    <x v="2"/>
    <x v="1888"/>
    <x v="1978"/>
    <s v="10th November 2019"/>
    <s v="10th"/>
    <x v="6"/>
    <x v="4"/>
    <x v="0"/>
  </r>
  <r>
    <x v="6"/>
    <x v="2"/>
    <x v="2"/>
    <x v="1237"/>
    <x v="1979"/>
    <s v="10th November 2019"/>
    <s v="10th"/>
    <x v="6"/>
    <x v="4"/>
    <x v="0"/>
  </r>
  <r>
    <x v="6"/>
    <x v="1"/>
    <x v="1"/>
    <x v="1889"/>
    <x v="1980"/>
    <s v="10th November 2019"/>
    <s v="10th"/>
    <x v="6"/>
    <x v="4"/>
    <x v="1"/>
  </r>
  <r>
    <x v="6"/>
    <x v="2"/>
    <x v="2"/>
    <x v="1890"/>
    <x v="1147"/>
    <s v="10th November 2019"/>
    <s v="10th"/>
    <x v="6"/>
    <x v="4"/>
    <x v="0"/>
  </r>
  <r>
    <x v="6"/>
    <x v="2"/>
    <x v="2"/>
    <x v="1891"/>
    <x v="1981"/>
    <s v="5th August 2019"/>
    <s v="5th"/>
    <x v="8"/>
    <x v="4"/>
    <x v="0"/>
  </r>
  <r>
    <x v="6"/>
    <x v="2"/>
    <x v="2"/>
    <x v="1892"/>
    <x v="1982"/>
    <s v="5th August 2019"/>
    <s v="5th"/>
    <x v="8"/>
    <x v="4"/>
    <x v="0"/>
  </r>
  <r>
    <x v="6"/>
    <x v="4"/>
    <x v="2"/>
    <x v="1893"/>
    <x v="1983"/>
    <s v="5th August 2019"/>
    <s v="5th"/>
    <x v="8"/>
    <x v="4"/>
    <x v="0"/>
  </r>
  <r>
    <x v="6"/>
    <x v="4"/>
    <x v="2"/>
    <x v="1894"/>
    <x v="1984"/>
    <s v="5th August 2019"/>
    <s v="5th"/>
    <x v="8"/>
    <x v="4"/>
    <x v="0"/>
  </r>
  <r>
    <x v="6"/>
    <x v="2"/>
    <x v="2"/>
    <x v="1895"/>
    <x v="1985"/>
    <s v="5th August 2019"/>
    <s v="5th"/>
    <x v="8"/>
    <x v="4"/>
    <x v="0"/>
  </r>
  <r>
    <x v="6"/>
    <x v="6"/>
    <x v="1"/>
    <x v="1896"/>
    <x v="1986"/>
    <s v="5th August 2019"/>
    <s v="5th"/>
    <x v="8"/>
    <x v="4"/>
    <x v="1"/>
  </r>
  <r>
    <x v="6"/>
    <x v="2"/>
    <x v="2"/>
    <x v="1897"/>
    <x v="1987"/>
    <s v="5th August 2019"/>
    <s v="5th"/>
    <x v="8"/>
    <x v="4"/>
    <x v="0"/>
  </r>
  <r>
    <x v="6"/>
    <x v="4"/>
    <x v="2"/>
    <x v="1898"/>
    <x v="1559"/>
    <s v="5th August 2019"/>
    <s v="5th"/>
    <x v="8"/>
    <x v="4"/>
    <x v="0"/>
  </r>
  <r>
    <x v="6"/>
    <x v="2"/>
    <x v="2"/>
    <x v="1899"/>
    <x v="1988"/>
    <s v="5th August 2019"/>
    <s v="5th"/>
    <x v="8"/>
    <x v="4"/>
    <x v="0"/>
  </r>
  <r>
    <x v="6"/>
    <x v="2"/>
    <x v="2"/>
    <x v="1900"/>
    <x v="1989"/>
    <s v="5th August 2019"/>
    <s v="5th"/>
    <x v="8"/>
    <x v="4"/>
    <x v="0"/>
  </r>
  <r>
    <x v="6"/>
    <x v="2"/>
    <x v="2"/>
    <x v="1901"/>
    <x v="1990"/>
    <s v="22nd March 2019"/>
    <s v="22nd"/>
    <x v="10"/>
    <x v="4"/>
    <x v="0"/>
  </r>
  <r>
    <x v="6"/>
    <x v="4"/>
    <x v="2"/>
    <x v="1902"/>
    <x v="1991"/>
    <s v="22nd March 2019"/>
    <s v="22nd"/>
    <x v="10"/>
    <x v="4"/>
    <x v="0"/>
  </r>
  <r>
    <x v="6"/>
    <x v="8"/>
    <x v="1"/>
    <x v="1903"/>
    <x v="1992"/>
    <s v="22nd March 2019"/>
    <s v="22nd"/>
    <x v="10"/>
    <x v="4"/>
    <x v="1"/>
  </r>
  <r>
    <x v="6"/>
    <x v="1"/>
    <x v="1"/>
    <x v="1904"/>
    <x v="1993"/>
    <s v="22nd March 2019"/>
    <s v="22nd"/>
    <x v="10"/>
    <x v="4"/>
    <x v="1"/>
  </r>
  <r>
    <x v="6"/>
    <x v="6"/>
    <x v="1"/>
    <x v="1905"/>
    <x v="1994"/>
    <s v="22nd March 2019"/>
    <s v="22nd"/>
    <x v="10"/>
    <x v="4"/>
    <x v="1"/>
  </r>
  <r>
    <x v="6"/>
    <x v="2"/>
    <x v="2"/>
    <x v="1906"/>
    <x v="1995"/>
    <s v="22nd March 2019"/>
    <s v="22nd"/>
    <x v="10"/>
    <x v="4"/>
    <x v="0"/>
  </r>
  <r>
    <x v="6"/>
    <x v="8"/>
    <x v="1"/>
    <x v="1907"/>
    <x v="1996"/>
    <s v="22nd March 2019"/>
    <s v="22nd"/>
    <x v="10"/>
    <x v="4"/>
    <x v="1"/>
  </r>
  <r>
    <x v="6"/>
    <x v="2"/>
    <x v="2"/>
    <x v="1908"/>
    <x v="1997"/>
    <s v="22nd March 2019"/>
    <s v="22nd"/>
    <x v="10"/>
    <x v="4"/>
    <x v="0"/>
  </r>
  <r>
    <x v="6"/>
    <x v="2"/>
    <x v="2"/>
    <x v="1909"/>
    <x v="1998"/>
    <s v="22nd March 2019"/>
    <s v="22nd"/>
    <x v="10"/>
    <x v="4"/>
    <x v="0"/>
  </r>
  <r>
    <x v="6"/>
    <x v="2"/>
    <x v="2"/>
    <x v="1910"/>
    <x v="1294"/>
    <s v="22nd March 2019"/>
    <s v="22nd"/>
    <x v="10"/>
    <x v="4"/>
    <x v="0"/>
  </r>
  <r>
    <x v="6"/>
    <x v="4"/>
    <x v="2"/>
    <x v="1911"/>
    <x v="1999"/>
    <s v="13th September 2018"/>
    <s v="13th"/>
    <x v="2"/>
    <x v="5"/>
    <x v="0"/>
  </r>
  <r>
    <x v="6"/>
    <x v="5"/>
    <x v="0"/>
    <x v="931"/>
    <x v="2000"/>
    <s v="13th September 2018"/>
    <s v="13th"/>
    <x v="2"/>
    <x v="5"/>
    <x v="0"/>
  </r>
  <r>
    <x v="6"/>
    <x v="4"/>
    <x v="2"/>
    <x v="1912"/>
    <x v="2001"/>
    <s v="13th September 2018"/>
    <s v="13th"/>
    <x v="2"/>
    <x v="5"/>
    <x v="0"/>
  </r>
  <r>
    <x v="6"/>
    <x v="2"/>
    <x v="2"/>
    <x v="1913"/>
    <x v="1321"/>
    <s v="13th September 2018"/>
    <s v="13th"/>
    <x v="2"/>
    <x v="5"/>
    <x v="0"/>
  </r>
  <r>
    <x v="6"/>
    <x v="3"/>
    <x v="2"/>
    <x v="1914"/>
    <x v="2002"/>
    <s v="13th September 2018"/>
    <s v="13th"/>
    <x v="2"/>
    <x v="5"/>
    <x v="0"/>
  </r>
  <r>
    <x v="6"/>
    <x v="2"/>
    <x v="2"/>
    <x v="1915"/>
    <x v="2003"/>
    <s v="13th September 2018"/>
    <s v="13th"/>
    <x v="2"/>
    <x v="5"/>
    <x v="0"/>
  </r>
  <r>
    <x v="6"/>
    <x v="8"/>
    <x v="1"/>
    <x v="773"/>
    <x v="2004"/>
    <s v="13th September 2018"/>
    <s v="13th"/>
    <x v="2"/>
    <x v="5"/>
    <x v="1"/>
  </r>
  <r>
    <x v="6"/>
    <x v="4"/>
    <x v="2"/>
    <x v="1916"/>
    <x v="85"/>
    <s v="13th September 2018"/>
    <s v="13th"/>
    <x v="2"/>
    <x v="5"/>
    <x v="0"/>
  </r>
  <r>
    <x v="6"/>
    <x v="2"/>
    <x v="2"/>
    <x v="1917"/>
    <x v="2005"/>
    <s v="13th September 2018"/>
    <s v="13th"/>
    <x v="2"/>
    <x v="5"/>
    <x v="0"/>
  </r>
  <r>
    <x v="6"/>
    <x v="2"/>
    <x v="2"/>
    <x v="1918"/>
    <x v="2006"/>
    <s v="13th September 2018"/>
    <s v="13th"/>
    <x v="2"/>
    <x v="5"/>
    <x v="0"/>
  </r>
  <r>
    <x v="6"/>
    <x v="2"/>
    <x v="2"/>
    <x v="1919"/>
    <x v="2007"/>
    <s v="24th March 2018"/>
    <s v="24th"/>
    <x v="10"/>
    <x v="5"/>
    <x v="0"/>
  </r>
  <r>
    <x v="6"/>
    <x v="2"/>
    <x v="2"/>
    <x v="1920"/>
    <x v="2008"/>
    <s v="24th March 2018"/>
    <s v="24th"/>
    <x v="10"/>
    <x v="5"/>
    <x v="0"/>
  </r>
  <r>
    <x v="6"/>
    <x v="2"/>
    <x v="2"/>
    <x v="1921"/>
    <x v="2009"/>
    <s v="24th March 2018"/>
    <s v="24th"/>
    <x v="10"/>
    <x v="5"/>
    <x v="0"/>
  </r>
  <r>
    <x v="6"/>
    <x v="4"/>
    <x v="2"/>
    <x v="1922"/>
    <x v="2010"/>
    <s v="24th March 2018"/>
    <s v="24th"/>
    <x v="10"/>
    <x v="5"/>
    <x v="0"/>
  </r>
  <r>
    <x v="6"/>
    <x v="3"/>
    <x v="2"/>
    <x v="1923"/>
    <x v="2011"/>
    <s v="24th March 2018"/>
    <s v="24th"/>
    <x v="10"/>
    <x v="5"/>
    <x v="0"/>
  </r>
  <r>
    <x v="6"/>
    <x v="2"/>
    <x v="2"/>
    <x v="1924"/>
    <x v="2012"/>
    <s v="24th March 2018"/>
    <s v="24th"/>
    <x v="10"/>
    <x v="5"/>
    <x v="0"/>
  </r>
  <r>
    <x v="6"/>
    <x v="2"/>
    <x v="2"/>
    <x v="1925"/>
    <x v="2013"/>
    <s v="24th March 2018"/>
    <s v="24th"/>
    <x v="10"/>
    <x v="5"/>
    <x v="0"/>
  </r>
  <r>
    <x v="6"/>
    <x v="2"/>
    <x v="2"/>
    <x v="1926"/>
    <x v="2014"/>
    <s v="24th March 2018"/>
    <s v="24th"/>
    <x v="10"/>
    <x v="5"/>
    <x v="0"/>
  </r>
  <r>
    <x v="6"/>
    <x v="3"/>
    <x v="2"/>
    <x v="1733"/>
    <x v="2015"/>
    <s v="24th March 2018"/>
    <s v="24th"/>
    <x v="10"/>
    <x v="5"/>
    <x v="0"/>
  </r>
  <r>
    <x v="6"/>
    <x v="2"/>
    <x v="2"/>
    <x v="1927"/>
    <x v="2016"/>
    <s v="24th March 2018"/>
    <s v="24th"/>
    <x v="10"/>
    <x v="5"/>
    <x v="0"/>
  </r>
  <r>
    <x v="6"/>
    <x v="5"/>
    <x v="0"/>
    <x v="1928"/>
    <x v="2017"/>
    <s v="19th October 2017"/>
    <s v="19th"/>
    <x v="0"/>
    <x v="6"/>
    <x v="0"/>
  </r>
  <r>
    <x v="6"/>
    <x v="6"/>
    <x v="1"/>
    <x v="1929"/>
    <x v="2018"/>
    <s v="19th October 2017"/>
    <s v="19th"/>
    <x v="0"/>
    <x v="6"/>
    <x v="1"/>
  </r>
  <r>
    <x v="6"/>
    <x v="2"/>
    <x v="2"/>
    <x v="1930"/>
    <x v="2019"/>
    <s v="19th October 2017"/>
    <s v="19th"/>
    <x v="0"/>
    <x v="6"/>
    <x v="0"/>
  </r>
  <r>
    <x v="6"/>
    <x v="2"/>
    <x v="2"/>
    <x v="1931"/>
    <x v="2020"/>
    <s v="19th October 2017"/>
    <s v="19th"/>
    <x v="0"/>
    <x v="6"/>
    <x v="0"/>
  </r>
  <r>
    <x v="6"/>
    <x v="5"/>
    <x v="0"/>
    <x v="931"/>
    <x v="2021"/>
    <s v="19th October 2017"/>
    <s v="19th"/>
    <x v="0"/>
    <x v="6"/>
    <x v="0"/>
  </r>
  <r>
    <x v="6"/>
    <x v="1"/>
    <x v="1"/>
    <x v="1932"/>
    <x v="2022"/>
    <s v="19th October 2017"/>
    <s v="19th"/>
    <x v="0"/>
    <x v="6"/>
    <x v="1"/>
  </r>
  <r>
    <x v="6"/>
    <x v="7"/>
    <x v="0"/>
    <x v="1933"/>
    <x v="2023"/>
    <s v="19th October 2017"/>
    <s v="19th"/>
    <x v="0"/>
    <x v="6"/>
    <x v="1"/>
  </r>
  <r>
    <x v="6"/>
    <x v="4"/>
    <x v="2"/>
    <x v="1934"/>
    <x v="2024"/>
    <s v="19th October 2017"/>
    <s v="19th"/>
    <x v="0"/>
    <x v="6"/>
    <x v="0"/>
  </r>
  <r>
    <x v="6"/>
    <x v="4"/>
    <x v="2"/>
    <x v="1935"/>
    <x v="2025"/>
    <s v="19th October 2017"/>
    <s v="19th"/>
    <x v="0"/>
    <x v="6"/>
    <x v="0"/>
  </r>
  <r>
    <x v="6"/>
    <x v="2"/>
    <x v="2"/>
    <x v="1936"/>
    <x v="2026"/>
    <s v="19th October 2017"/>
    <s v="19th"/>
    <x v="0"/>
    <x v="6"/>
    <x v="0"/>
  </r>
  <r>
    <x v="6"/>
    <x v="5"/>
    <x v="0"/>
    <x v="1937"/>
    <x v="2027"/>
    <s v="22nd January 2017"/>
    <s v="22nd"/>
    <x v="11"/>
    <x v="6"/>
    <x v="0"/>
  </r>
  <r>
    <x v="6"/>
    <x v="2"/>
    <x v="2"/>
    <x v="1938"/>
    <x v="1875"/>
    <s v="22nd January 2017"/>
    <s v="22nd"/>
    <x v="11"/>
    <x v="6"/>
    <x v="0"/>
  </r>
  <r>
    <x v="6"/>
    <x v="2"/>
    <x v="2"/>
    <x v="1939"/>
    <x v="1875"/>
    <s v="22nd January 2017"/>
    <s v="22nd"/>
    <x v="11"/>
    <x v="6"/>
    <x v="0"/>
  </r>
  <r>
    <x v="6"/>
    <x v="4"/>
    <x v="2"/>
    <x v="1940"/>
    <x v="2028"/>
    <s v="22nd January 2017"/>
    <s v="22nd"/>
    <x v="11"/>
    <x v="6"/>
    <x v="0"/>
  </r>
  <r>
    <x v="6"/>
    <x v="2"/>
    <x v="2"/>
    <x v="1941"/>
    <x v="2029"/>
    <s v="22nd January 2017"/>
    <s v="22nd"/>
    <x v="11"/>
    <x v="6"/>
    <x v="0"/>
  </r>
  <r>
    <x v="6"/>
    <x v="4"/>
    <x v="2"/>
    <x v="1942"/>
    <x v="2030"/>
    <s v="22nd January 2017"/>
    <s v="22nd"/>
    <x v="11"/>
    <x v="6"/>
    <x v="0"/>
  </r>
  <r>
    <x v="6"/>
    <x v="2"/>
    <x v="2"/>
    <x v="1943"/>
    <x v="2031"/>
    <s v="22nd January 2017"/>
    <s v="22nd"/>
    <x v="11"/>
    <x v="6"/>
    <x v="0"/>
  </r>
  <r>
    <x v="6"/>
    <x v="2"/>
    <x v="2"/>
    <x v="1944"/>
    <x v="2032"/>
    <s v="22nd January 2017"/>
    <s v="22nd"/>
    <x v="11"/>
    <x v="6"/>
    <x v="0"/>
  </r>
  <r>
    <x v="6"/>
    <x v="0"/>
    <x v="0"/>
    <x v="1945"/>
    <x v="2033"/>
    <s v="22nd January 2017"/>
    <s v="22nd"/>
    <x v="11"/>
    <x v="6"/>
    <x v="0"/>
  </r>
  <r>
    <x v="6"/>
    <x v="8"/>
    <x v="1"/>
    <x v="1946"/>
    <x v="2034"/>
    <s v="22nd January 2017"/>
    <s v="22nd"/>
    <x v="11"/>
    <x v="6"/>
    <x v="1"/>
  </r>
  <r>
    <x v="6"/>
    <x v="2"/>
    <x v="2"/>
    <x v="1947"/>
    <x v="2035"/>
    <s v="9th October 2016"/>
    <s v="9th"/>
    <x v="0"/>
    <x v="9"/>
    <x v="0"/>
  </r>
  <r>
    <x v="6"/>
    <x v="2"/>
    <x v="2"/>
    <x v="1948"/>
    <x v="2031"/>
    <s v="9th October 2016"/>
    <s v="9th"/>
    <x v="0"/>
    <x v="9"/>
    <x v="0"/>
  </r>
  <r>
    <x v="6"/>
    <x v="2"/>
    <x v="2"/>
    <x v="1949"/>
    <x v="2036"/>
    <s v="9th October 2016"/>
    <s v="9th"/>
    <x v="0"/>
    <x v="9"/>
    <x v="0"/>
  </r>
  <r>
    <x v="6"/>
    <x v="4"/>
    <x v="2"/>
    <x v="1353"/>
    <x v="2037"/>
    <s v="9th October 2016"/>
    <s v="9th"/>
    <x v="0"/>
    <x v="9"/>
    <x v="0"/>
  </r>
  <r>
    <x v="6"/>
    <x v="2"/>
    <x v="2"/>
    <x v="1950"/>
    <x v="2038"/>
    <s v="9th October 2016"/>
    <s v="9th"/>
    <x v="0"/>
    <x v="9"/>
    <x v="0"/>
  </r>
  <r>
    <x v="6"/>
    <x v="2"/>
    <x v="2"/>
    <x v="1951"/>
    <x v="1875"/>
    <s v="9th October 2016"/>
    <s v="9th"/>
    <x v="0"/>
    <x v="9"/>
    <x v="0"/>
  </r>
  <r>
    <x v="6"/>
    <x v="2"/>
    <x v="2"/>
    <x v="1952"/>
    <x v="2039"/>
    <s v="9th October 2016"/>
    <s v="9th"/>
    <x v="0"/>
    <x v="9"/>
    <x v="0"/>
  </r>
  <r>
    <x v="6"/>
    <x v="2"/>
    <x v="2"/>
    <x v="1953"/>
    <x v="2040"/>
    <s v="9th October 2016"/>
    <s v="9th"/>
    <x v="0"/>
    <x v="9"/>
    <x v="0"/>
  </r>
  <r>
    <x v="6"/>
    <x v="3"/>
    <x v="2"/>
    <x v="1954"/>
    <x v="2041"/>
    <s v="9th October 2016"/>
    <s v="9th"/>
    <x v="0"/>
    <x v="9"/>
    <x v="0"/>
  </r>
  <r>
    <x v="6"/>
    <x v="4"/>
    <x v="2"/>
    <x v="1955"/>
    <x v="2042"/>
    <s v="9th October 2016"/>
    <s v="9th"/>
    <x v="0"/>
    <x v="9"/>
    <x v="0"/>
  </r>
  <r>
    <x v="6"/>
    <x v="2"/>
    <x v="2"/>
    <x v="1956"/>
    <x v="2043"/>
    <s v="15th June 2016"/>
    <s v="15th"/>
    <x v="3"/>
    <x v="9"/>
    <x v="0"/>
  </r>
  <r>
    <x v="6"/>
    <x v="2"/>
    <x v="2"/>
    <x v="1957"/>
    <x v="2044"/>
    <s v="15th June 2016"/>
    <s v="15th"/>
    <x v="3"/>
    <x v="9"/>
    <x v="0"/>
  </r>
  <r>
    <x v="6"/>
    <x v="4"/>
    <x v="2"/>
    <x v="1958"/>
    <x v="2045"/>
    <s v="15th June 2016"/>
    <s v="15th"/>
    <x v="3"/>
    <x v="9"/>
    <x v="0"/>
  </r>
  <r>
    <x v="6"/>
    <x v="4"/>
    <x v="2"/>
    <x v="1959"/>
    <x v="587"/>
    <s v="15th June 2016"/>
    <s v="15th"/>
    <x v="3"/>
    <x v="9"/>
    <x v="0"/>
  </r>
  <r>
    <x v="6"/>
    <x v="2"/>
    <x v="2"/>
    <x v="1960"/>
    <x v="2046"/>
    <s v="15th June 2016"/>
    <s v="15th"/>
    <x v="3"/>
    <x v="9"/>
    <x v="0"/>
  </r>
  <r>
    <x v="6"/>
    <x v="3"/>
    <x v="2"/>
    <x v="1961"/>
    <x v="2047"/>
    <s v="15th June 2016"/>
    <s v="15th"/>
    <x v="3"/>
    <x v="9"/>
    <x v="0"/>
  </r>
  <r>
    <x v="6"/>
    <x v="0"/>
    <x v="0"/>
    <x v="1962"/>
    <x v="2048"/>
    <s v="15th June 2016"/>
    <s v="15th"/>
    <x v="3"/>
    <x v="9"/>
    <x v="0"/>
  </r>
  <r>
    <x v="6"/>
    <x v="2"/>
    <x v="2"/>
    <x v="902"/>
    <x v="2049"/>
    <s v="15th June 2016"/>
    <s v="15th"/>
    <x v="3"/>
    <x v="9"/>
    <x v="0"/>
  </r>
  <r>
    <x v="6"/>
    <x v="3"/>
    <x v="2"/>
    <x v="1963"/>
    <x v="2050"/>
    <s v="15th June 2016"/>
    <s v="15th"/>
    <x v="3"/>
    <x v="9"/>
    <x v="0"/>
  </r>
  <r>
    <x v="6"/>
    <x v="2"/>
    <x v="2"/>
    <x v="1733"/>
    <x v="2029"/>
    <s v="15th June 2016"/>
    <s v="15th"/>
    <x v="3"/>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D0C94F-CACD-4257-AE5D-924E402014F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11" firstHeaderRow="1" firstDataRow="1" firstDataCol="1"/>
  <pivotFields count="10">
    <pivotField axis="axisRow" showAll="0">
      <items count="8">
        <item x="2"/>
        <item x="0"/>
        <item x="1"/>
        <item x="3"/>
        <item x="4"/>
        <item x="5"/>
        <item x="6"/>
        <item t="default"/>
      </items>
    </pivotField>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66F5D-09FE-405B-AEA4-53D7E567606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1" firstHeaderRow="1" firstDataRow="1" firstDataCol="1"/>
  <pivotFields count="10">
    <pivotField axis="axisRow" showAll="0">
      <items count="8">
        <item x="2"/>
        <item x="0"/>
        <item x="1"/>
        <item x="3"/>
        <item x="4"/>
        <item x="5"/>
        <item x="6"/>
        <item t="default"/>
      </items>
    </pivotField>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B5436-2FA5-42E1-B49A-036C9C70BCA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E9" firstHeaderRow="1" firstDataRow="1" firstDataCol="1"/>
  <pivotFields count="10">
    <pivotField axis="axisRow" showAll="0">
      <items count="8">
        <item x="2"/>
        <item x="0"/>
        <item x="1"/>
        <item x="3"/>
        <item x="4"/>
        <item x="5"/>
        <item x="6"/>
        <item t="default"/>
      </items>
    </pivotField>
    <pivotField dataField="1"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Average of Rating" fld="1" subtotal="average" baseField="0" baseItem="0" numFmtId="165"/>
  </dataFields>
  <formats count="2">
    <format dxfId="229">
      <pivotArea outline="0" collapsedLevelsAreSubtotals="1" fieldPosition="0"/>
    </format>
    <format dxfId="22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8EC16B-7FD3-4564-A73A-ADFFCE4EE34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9" firstHeaderRow="1" firstDataRow="1" firstDataCol="1"/>
  <pivotFields count="10">
    <pivotField axis="axisRow" showAll="0">
      <items count="8">
        <item x="2"/>
        <item x="0"/>
        <item x="1"/>
        <item x="3"/>
        <item x="4"/>
        <item x="5"/>
        <item x="6"/>
        <item t="default"/>
      </items>
    </pivotField>
    <pivotField dataField="1"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Average of Rating" fld="1" subtotal="average" baseField="0" baseItem="0" numFmtId="165"/>
  </dataFields>
  <formats count="2">
    <format dxfId="231">
      <pivotArea outline="0" collapsedLevelsAreSubtotals="1" fieldPosition="0"/>
    </format>
    <format dxfId="23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843F5-5702-4D95-AA96-FFCEB2C2F84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10">
    <pivotField showAll="0">
      <items count="8">
        <item x="2"/>
        <item x="0"/>
        <item x="1"/>
        <item x="3"/>
        <item x="4"/>
        <item x="5"/>
        <item x="6"/>
        <item t="default"/>
      </items>
    </pivotField>
    <pivotField showAll="0">
      <items count="12">
        <item x="1"/>
        <item x="6"/>
        <item x="8"/>
        <item x="9"/>
        <item x="7"/>
        <item x="0"/>
        <item x="5"/>
        <item x="3"/>
        <item x="4"/>
        <item x="2"/>
        <item x="10"/>
        <item t="default"/>
      </items>
    </pivotField>
    <pivotField axis="axisRow" showAll="0">
      <items count="4">
        <item x="1"/>
        <item x="2"/>
        <item x="0"/>
        <item t="default"/>
      </items>
    </pivotField>
    <pivotField showAll="0"/>
    <pivotField dataField="1" showAll="0">
      <items count="2052">
        <item x="1213"/>
        <item x="1262"/>
        <item x="1572"/>
        <item x="1422"/>
        <item x="1691"/>
        <item x="1535"/>
        <item x="1185"/>
        <item x="2035"/>
        <item x="1950"/>
        <item x="986"/>
        <item x="1130"/>
        <item x="77"/>
        <item x="1141"/>
        <item x="979"/>
        <item x="212"/>
        <item x="155"/>
        <item x="1656"/>
        <item x="1137"/>
        <item x="1268"/>
        <item x="1459"/>
        <item x="905"/>
        <item x="368"/>
        <item x="1079"/>
        <item x="900"/>
        <item x="1860"/>
        <item x="1380"/>
        <item x="544"/>
        <item x="428"/>
        <item x="1913"/>
        <item x="1116"/>
        <item x="872"/>
        <item x="1340"/>
        <item x="239"/>
        <item x="1353"/>
        <item x="1492"/>
        <item x="1996"/>
        <item x="1115"/>
        <item x="1036"/>
        <item x="546"/>
        <item x="1117"/>
        <item x="1383"/>
        <item x="461"/>
        <item x="554"/>
        <item x="763"/>
        <item x="1278"/>
        <item x="1498"/>
        <item x="233"/>
        <item x="1645"/>
        <item x="1901"/>
        <item x="1793"/>
        <item x="968"/>
        <item x="476"/>
        <item x="1193"/>
        <item x="578"/>
        <item x="1256"/>
        <item x="79"/>
        <item x="1802"/>
        <item x="1653"/>
        <item x="1727"/>
        <item x="384"/>
        <item x="1180"/>
        <item x="112"/>
        <item x="1345"/>
        <item x="1867"/>
        <item x="1080"/>
        <item x="1388"/>
        <item x="1300"/>
        <item x="2004"/>
        <item x="1090"/>
        <item x="811"/>
        <item x="948"/>
        <item x="1138"/>
        <item x="1164"/>
        <item x="1534"/>
        <item x="1062"/>
        <item x="361"/>
        <item x="819"/>
        <item x="1888"/>
        <item x="1536"/>
        <item x="1420"/>
        <item x="398"/>
        <item x="689"/>
        <item x="717"/>
        <item x="2049"/>
        <item x="341"/>
        <item x="406"/>
        <item x="1557"/>
        <item x="421"/>
        <item x="964"/>
        <item x="1319"/>
        <item x="403"/>
        <item x="348"/>
        <item x="1596"/>
        <item x="560"/>
        <item x="355"/>
        <item x="1965"/>
        <item x="1296"/>
        <item x="514"/>
        <item x="495"/>
        <item x="1199"/>
        <item x="893"/>
        <item x="595"/>
        <item x="675"/>
        <item x="1684"/>
        <item x="992"/>
        <item x="1735"/>
        <item x="760"/>
        <item x="686"/>
        <item x="876"/>
        <item x="1083"/>
        <item x="1416"/>
        <item x="522"/>
        <item x="1460"/>
        <item x="774"/>
        <item x="1874"/>
        <item x="1658"/>
        <item x="218"/>
        <item x="914"/>
        <item x="1359"/>
        <item x="707"/>
        <item x="1778"/>
        <item x="1954"/>
        <item x="202"/>
        <item x="119"/>
        <item x="1788"/>
        <item x="1051"/>
        <item x="1757"/>
        <item x="180"/>
        <item x="521"/>
        <item x="1564"/>
        <item x="672"/>
        <item x="1796"/>
        <item x="553"/>
        <item x="1924"/>
        <item x="235"/>
        <item x="1689"/>
        <item x="358"/>
        <item x="556"/>
        <item x="1066"/>
        <item x="1365"/>
        <item x="547"/>
        <item x="1920"/>
        <item x="17"/>
        <item x="1411"/>
        <item x="523"/>
        <item x="125"/>
        <item x="805"/>
        <item x="1095"/>
        <item x="1554"/>
        <item x="1170"/>
        <item x="696"/>
        <item x="1962"/>
        <item x="1292"/>
        <item x="62"/>
        <item x="499"/>
        <item x="1719"/>
        <item x="353"/>
        <item x="614"/>
        <item x="1497"/>
        <item x="1118"/>
        <item x="1677"/>
        <item x="1659"/>
        <item x="859"/>
        <item x="1467"/>
        <item x="294"/>
        <item x="1712"/>
        <item x="175"/>
        <item x="1889"/>
        <item x="585"/>
        <item x="2033"/>
        <item x="772"/>
        <item x="593"/>
        <item x="589"/>
        <item x="203"/>
        <item x="1246"/>
        <item x="1663"/>
        <item x="769"/>
        <item x="587"/>
        <item x="50"/>
        <item x="863"/>
        <item x="1984"/>
        <item x="787"/>
        <item x="1581"/>
        <item x="817"/>
        <item x="13"/>
        <item x="312"/>
        <item x="1989"/>
        <item x="642"/>
        <item x="624"/>
        <item x="1622"/>
        <item x="1524"/>
        <item x="1966"/>
        <item x="1628"/>
        <item x="1294"/>
        <item x="1568"/>
        <item x="415"/>
        <item x="335"/>
        <item x="352"/>
        <item x="1509"/>
        <item x="1453"/>
        <item x="1436"/>
        <item x="1419"/>
        <item x="727"/>
        <item x="1159"/>
        <item x="830"/>
        <item x="1718"/>
        <item x="1212"/>
        <item x="991"/>
        <item x="869"/>
        <item x="110"/>
        <item x="5"/>
        <item x="1207"/>
        <item x="1147"/>
        <item x="1758"/>
        <item x="1232"/>
        <item x="439"/>
        <item x="606"/>
        <item x="1530"/>
        <item x="33"/>
        <item x="1321"/>
        <item x="1892"/>
        <item x="596"/>
        <item x="1421"/>
        <item x="349"/>
        <item x="598"/>
        <item x="1091"/>
        <item x="1242"/>
        <item x="1588"/>
        <item x="315"/>
        <item x="146"/>
        <item x="401"/>
        <item x="1276"/>
        <item x="1665"/>
        <item x="1400"/>
        <item x="806"/>
        <item x="1414"/>
        <item x="2048"/>
        <item x="634"/>
        <item x="1034"/>
        <item x="1529"/>
        <item x="387"/>
        <item x="1279"/>
        <item x="790"/>
        <item x="2034"/>
        <item x="725"/>
        <item x="892"/>
        <item x="1162"/>
        <item x="531"/>
        <item x="823"/>
        <item x="1625"/>
        <item x="972"/>
        <item x="1110"/>
        <item x="1963"/>
        <item x="1484"/>
        <item x="1309"/>
        <item x="1777"/>
        <item x="1190"/>
        <item x="737"/>
        <item x="205"/>
        <item x="1720"/>
        <item x="678"/>
        <item x="1483"/>
        <item x="1047"/>
        <item x="225"/>
        <item x="670"/>
        <item x="706"/>
        <item x="962"/>
        <item x="710"/>
        <item x="1223"/>
        <item x="1769"/>
        <item x="635"/>
        <item x="197"/>
        <item x="674"/>
        <item x="1651"/>
        <item x="884"/>
        <item x="832"/>
        <item x="1191"/>
        <item x="2025"/>
        <item x="1302"/>
        <item x="1064"/>
        <item x="308"/>
        <item x="1298"/>
        <item x="381"/>
        <item x="1825"/>
        <item x="1410"/>
        <item x="666"/>
        <item x="1354"/>
        <item x="687"/>
        <item x="288"/>
        <item x="928"/>
        <item x="72"/>
        <item x="1398"/>
        <item x="648"/>
        <item x="1851"/>
        <item x="663"/>
        <item x="1238"/>
        <item x="410"/>
        <item x="584"/>
        <item x="722"/>
        <item x="987"/>
        <item x="1248"/>
        <item x="1932"/>
        <item x="1559"/>
        <item x="1710"/>
        <item x="243"/>
        <item x="1217"/>
        <item x="1636"/>
        <item x="1815"/>
        <item x="336"/>
        <item x="879"/>
        <item x="1826"/>
        <item x="1725"/>
        <item x="153"/>
        <item x="836"/>
        <item x="1681"/>
        <item x="530"/>
        <item x="477"/>
        <item x="394"/>
        <item x="559"/>
        <item x="1832"/>
        <item x="1447"/>
        <item x="1991"/>
        <item x="1493"/>
        <item x="251"/>
        <item x="427"/>
        <item x="1690"/>
        <item x="32"/>
        <item x="1998"/>
        <item x="2012"/>
        <item x="975"/>
        <item x="1070"/>
        <item x="273"/>
        <item x="1488"/>
        <item x="1728"/>
        <item x="574"/>
        <item x="1172"/>
        <item x="740"/>
        <item x="1731"/>
        <item x="704"/>
        <item x="1696"/>
        <item x="306"/>
        <item x="1744"/>
        <item x="1698"/>
        <item x="1824"/>
        <item x="144"/>
        <item x="1774"/>
        <item x="481"/>
        <item x="579"/>
        <item x="590"/>
        <item x="430"/>
        <item x="921"/>
        <item x="1912"/>
        <item x="1140"/>
        <item x="1899"/>
        <item x="1337"/>
        <item x="1281"/>
        <item x="134"/>
        <item x="1643"/>
        <item x="2023"/>
        <item x="86"/>
        <item x="2032"/>
        <item x="856"/>
        <item x="362"/>
        <item x="1042"/>
        <item x="1682"/>
        <item x="1289"/>
        <item x="29"/>
        <item x="1206"/>
        <item x="671"/>
        <item x="966"/>
        <item x="895"/>
        <item x="173"/>
        <item x="237"/>
        <item x="1423"/>
        <item x="538"/>
        <item x="397"/>
        <item x="1165"/>
        <item x="2031"/>
        <item x="1981"/>
        <item x="74"/>
        <item x="526"/>
        <item x="1898"/>
        <item x="2039"/>
        <item x="2036"/>
        <item x="1694"/>
        <item x="1348"/>
        <item x="213"/>
        <item x="2044"/>
        <item x="21"/>
        <item x="600"/>
        <item x="224"/>
        <item x="304"/>
        <item x="2038"/>
        <item x="1982"/>
        <item x="232"/>
        <item x="540"/>
        <item x="1236"/>
        <item x="1123"/>
        <item x="782"/>
        <item x="1746"/>
        <item x="402"/>
        <item x="841"/>
        <item x="432"/>
        <item x="156"/>
        <item x="1591"/>
        <item x="1522"/>
        <item x="1005"/>
        <item x="238"/>
        <item x="902"/>
        <item x="524"/>
        <item x="1177"/>
        <item x="810"/>
        <item x="1519"/>
        <item x="824"/>
        <item x="1601"/>
        <item x="157"/>
        <item x="1683"/>
        <item x="1351"/>
        <item x="227"/>
        <item x="1934"/>
        <item x="1343"/>
        <item x="1707"/>
        <item x="1293"/>
        <item x="1132"/>
        <item x="43"/>
        <item x="1158"/>
        <item x="1415"/>
        <item x="53"/>
        <item x="99"/>
        <item x="1562"/>
        <item x="267"/>
        <item x="1730"/>
        <item x="71"/>
        <item x="533"/>
        <item x="762"/>
        <item x="858"/>
        <item x="1332"/>
        <item x="148"/>
        <item x="1031"/>
        <item x="867"/>
        <item x="1556"/>
        <item x="767"/>
        <item x="653"/>
        <item x="891"/>
        <item x="333"/>
        <item x="583"/>
        <item x="1627"/>
        <item x="1959"/>
        <item x="953"/>
        <item x="1282"/>
        <item x="1722"/>
        <item x="131"/>
        <item x="114"/>
        <item x="1980"/>
        <item x="404"/>
        <item x="1644"/>
        <item x="1935"/>
        <item x="45"/>
        <item x="1859"/>
        <item x="1475"/>
        <item x="1216"/>
        <item x="1018"/>
        <item x="1104"/>
        <item x="779"/>
        <item x="541"/>
        <item x="680"/>
        <item x="1756"/>
        <item x="167"/>
        <item x="735"/>
        <item x="1065"/>
        <item x="1277"/>
        <item x="459"/>
        <item x="626"/>
        <item x="843"/>
        <item x="444"/>
        <item x="961"/>
        <item x="152"/>
        <item x="1481"/>
        <item x="857"/>
        <item x="543"/>
        <item x="645"/>
        <item x="1112"/>
        <item x="1183"/>
        <item x="731"/>
        <item x="437"/>
        <item x="1245"/>
        <item x="993"/>
        <item x="1606"/>
        <item x="1394"/>
        <item x="1936"/>
        <item x="1058"/>
        <item x="1023"/>
        <item x="1496"/>
        <item x="1762"/>
        <item x="1624"/>
        <item x="1992"/>
        <item x="1450"/>
        <item x="1061"/>
        <item x="729"/>
        <item x="555"/>
        <item x="3"/>
        <item x="1194"/>
        <item x="1716"/>
        <item x="983"/>
        <item x="1205"/>
        <item x="667"/>
        <item x="2009"/>
        <item x="208"/>
        <item x="192"/>
        <item x="1784"/>
        <item x="1255"/>
        <item x="1850"/>
        <item x="990"/>
        <item x="324"/>
        <item x="1133"/>
        <item x="758"/>
        <item x="1243"/>
        <item x="1911"/>
        <item x="503"/>
        <item x="1"/>
        <item x="617"/>
        <item x="502"/>
        <item x="956"/>
        <item x="189"/>
        <item x="68"/>
        <item x="70"/>
        <item x="1153"/>
        <item x="1148"/>
        <item x="1234"/>
        <item x="1713"/>
        <item x="807"/>
        <item x="1542"/>
        <item x="2043"/>
        <item x="339"/>
        <item x="78"/>
        <item x="399"/>
        <item x="290"/>
        <item x="56"/>
        <item x="1594"/>
        <item x="1574"/>
        <item x="870"/>
        <item x="463"/>
        <item x="942"/>
        <item x="2002"/>
        <item x="1714"/>
        <item x="1841"/>
        <item x="1797"/>
        <item x="773"/>
        <item x="1239"/>
        <item x="1743"/>
        <item x="229"/>
        <item x="165"/>
        <item x="356"/>
        <item x="844"/>
        <item x="644"/>
        <item x="1736"/>
        <item x="963"/>
        <item x="1349"/>
        <item x="861"/>
        <item x="998"/>
        <item x="1886"/>
        <item x="1113"/>
        <item x="377"/>
        <item x="1222"/>
        <item x="552"/>
        <item x="1800"/>
        <item x="1745"/>
        <item x="2006"/>
        <item x="1616"/>
        <item x="1444"/>
        <item x="198"/>
        <item x="1513"/>
        <item x="1283"/>
        <item x="1861"/>
        <item x="1856"/>
        <item x="618"/>
        <item x="216"/>
        <item x="300"/>
        <item x="150"/>
        <item x="292"/>
        <item x="1228"/>
        <item x="899"/>
        <item x="1956"/>
        <item x="732"/>
        <item x="934"/>
        <item x="1201"/>
        <item x="1775"/>
        <item x="506"/>
        <item x="887"/>
        <item x="910"/>
        <item x="317"/>
        <item x="242"/>
        <item x="1637"/>
        <item x="1418"/>
        <item x="1098"/>
        <item x="1179"/>
        <item x="572"/>
        <item x="599"/>
        <item x="1804"/>
        <item x="1964"/>
        <item x="1671"/>
        <item x="1648"/>
        <item x="344"/>
        <item x="2003"/>
        <item x="1253"/>
        <item x="447"/>
        <item x="1567"/>
        <item x="1870"/>
        <item x="1089"/>
        <item x="34"/>
        <item x="1038"/>
        <item x="854"/>
        <item x="184"/>
        <item x="1100"/>
        <item x="1486"/>
        <item x="1511"/>
        <item x="271"/>
        <item x="1318"/>
        <item x="296"/>
        <item x="1990"/>
        <item x="518"/>
        <item x="270"/>
        <item x="491"/>
        <item x="1668"/>
        <item x="413"/>
        <item x="545"/>
        <item x="122"/>
        <item x="1940"/>
        <item x="611"/>
        <item x="748"/>
        <item x="803"/>
        <item x="1135"/>
        <item x="1474"/>
        <item x="418"/>
        <item x="1280"/>
        <item x="19"/>
        <item x="688"/>
        <item x="1189"/>
        <item x="1917"/>
        <item x="340"/>
        <item x="1902"/>
        <item x="116"/>
        <item x="649"/>
        <item x="927"/>
        <item x="1264"/>
        <item x="1866"/>
        <item x="1693"/>
        <item x="1007"/>
        <item x="804"/>
        <item x="517"/>
        <item x="1741"/>
        <item x="636"/>
        <item x="1342"/>
        <item x="1168"/>
        <item x="1914"/>
        <item x="1863"/>
        <item x="1463"/>
        <item x="812"/>
        <item x="1937"/>
        <item x="440"/>
        <item x="709"/>
        <item x="370"/>
        <item x="958"/>
        <item x="1087"/>
        <item x="1408"/>
        <item x="539"/>
        <item x="726"/>
        <item x="1985"/>
        <item x="1182"/>
        <item x="880"/>
        <item x="500"/>
        <item x="1900"/>
        <item x="1854"/>
        <item x="625"/>
        <item x="101"/>
        <item x="563"/>
        <item x="1030"/>
        <item x="455"/>
        <item x="1701"/>
        <item x="1226"/>
        <item x="570"/>
        <item x="147"/>
        <item x="1055"/>
        <item x="1367"/>
        <item x="1325"/>
        <item x="601"/>
        <item x="1021"/>
        <item x="473"/>
        <item x="215"/>
        <item x="260"/>
        <item x="1533"/>
        <item x="1214"/>
        <item x="151"/>
        <item x="1639"/>
        <item x="127"/>
        <item x="1633"/>
        <item x="354"/>
        <item x="855"/>
        <item x="1224"/>
        <item x="1341"/>
        <item x="1188"/>
        <item x="338"/>
        <item x="486"/>
        <item x="1960"/>
        <item x="11"/>
        <item x="130"/>
        <item x="1208"/>
        <item x="482"/>
        <item x="775"/>
        <item x="918"/>
        <item x="1020"/>
        <item x="1603"/>
        <item x="1675"/>
        <item x="822"/>
        <item x="91"/>
        <item x="1803"/>
        <item x="282"/>
        <item x="720"/>
        <item x="575"/>
        <item x="1197"/>
        <item x="886"/>
        <item x="1532"/>
        <item x="673"/>
        <item x="1674"/>
        <item x="280"/>
        <item x="1431"/>
        <item x="1632"/>
        <item x="129"/>
        <item x="516"/>
        <item x="372"/>
        <item x="660"/>
        <item x="326"/>
        <item x="307"/>
        <item x="1621"/>
        <item x="995"/>
        <item x="2008"/>
        <item x="894"/>
        <item x="751"/>
        <item x="1107"/>
        <item x="1864"/>
        <item x="196"/>
        <item x="896"/>
        <item x="1432"/>
        <item x="143"/>
        <item x="1891"/>
        <item x="1032"/>
        <item x="1203"/>
        <item x="391"/>
        <item x="269"/>
        <item x="76"/>
        <item x="1957"/>
        <item x="739"/>
        <item x="573"/>
        <item x="1916"/>
        <item x="118"/>
        <item x="1500"/>
        <item x="1071"/>
        <item x="1709"/>
        <item x="609"/>
        <item x="510"/>
        <item x="80"/>
        <item x="620"/>
        <item x="912"/>
        <item x="534"/>
        <item x="200"/>
        <item x="485"/>
        <item x="1053"/>
        <item x="400"/>
        <item x="46"/>
        <item x="1261"/>
        <item x="31"/>
        <item x="1771"/>
        <item x="693"/>
        <item x="1204"/>
        <item x="989"/>
        <item x="1379"/>
        <item x="702"/>
        <item x="1787"/>
        <item x="1721"/>
        <item x="1012"/>
        <item x="1570"/>
        <item x="1035"/>
        <item x="619"/>
        <item x="630"/>
        <item x="1231"/>
        <item x="168"/>
        <item x="81"/>
        <item x="1096"/>
        <item x="1412"/>
        <item x="1008"/>
        <item x="974"/>
        <item x="255"/>
        <item x="161"/>
        <item x="1688"/>
        <item x="2018"/>
        <item x="1473"/>
        <item x="1303"/>
        <item x="730"/>
        <item x="1961"/>
        <item x="1373"/>
        <item x="1805"/>
        <item x="1494"/>
        <item x="257"/>
        <item x="1837"/>
        <item x="1872"/>
        <item x="1363"/>
        <item x="1210"/>
        <item x="2022"/>
        <item x="1630"/>
        <item x="393"/>
        <item x="1357"/>
        <item x="1299"/>
        <item x="734"/>
        <item x="604"/>
        <item x="9"/>
        <item x="1406"/>
        <item x="1544"/>
        <item x="1635"/>
        <item x="291"/>
        <item x="1925"/>
        <item x="240"/>
        <item x="2027"/>
        <item x="483"/>
        <item x="1252"/>
        <item x="1093"/>
        <item x="18"/>
        <item x="1868"/>
        <item x="1640"/>
        <item x="1215"/>
        <item x="1845"/>
        <item x="204"/>
        <item x="1050"/>
        <item x="1454"/>
        <item x="1565"/>
        <item x="1072"/>
        <item x="1156"/>
        <item x="1541"/>
        <item x="723"/>
        <item x="363"/>
        <item x="1923"/>
        <item x="61"/>
        <item x="1317"/>
        <item x="851"/>
        <item x="471"/>
        <item x="1849"/>
        <item x="160"/>
        <item x="1553"/>
        <item x="1528"/>
        <item x="1161"/>
        <item x="458"/>
        <item x="944"/>
        <item x="223"/>
        <item x="1948"/>
        <item x="452"/>
        <item x="1495"/>
        <item x="549"/>
        <item x="1708"/>
        <item x="1506"/>
        <item x="63"/>
        <item x="1809"/>
        <item x="109"/>
        <item x="254"/>
        <item x="371"/>
        <item x="497"/>
        <item x="848"/>
        <item x="1592"/>
        <item x="1782"/>
        <item x="1546"/>
        <item x="1976"/>
        <item x="411"/>
        <item x="1893"/>
        <item x="1449"/>
        <item x="742"/>
        <item x="602"/>
        <item x="1508"/>
        <item x="592"/>
        <item x="951"/>
        <item x="1882"/>
        <item x="1386"/>
        <item x="698"/>
        <item x="302"/>
        <item x="1026"/>
        <item x="347"/>
        <item x="1457"/>
        <item x="1328"/>
        <item x="1184"/>
        <item x="1114"/>
        <item x="1759"/>
        <item x="490"/>
        <item x="932"/>
        <item x="1006"/>
        <item x="1846"/>
        <item x="754"/>
        <item x="904"/>
        <item x="487"/>
        <item x="1520"/>
        <item x="1666"/>
        <item x="364"/>
        <item x="1308"/>
        <item x="1344"/>
        <item x="799"/>
        <item x="1652"/>
        <item x="1000"/>
        <item x="568"/>
        <item x="1151"/>
        <item x="786"/>
        <item x="88"/>
        <item x="1813"/>
        <item x="1650"/>
        <item x="1046"/>
        <item x="261"/>
        <item x="37"/>
        <item x="166"/>
        <item x="923"/>
        <item x="373"/>
        <item x="1402"/>
        <item x="721"/>
        <item x="1491"/>
        <item x="607"/>
        <item x="750"/>
        <item x="1566"/>
        <item x="761"/>
        <item x="1314"/>
        <item x="1843"/>
        <item x="1273"/>
        <item x="610"/>
        <item x="1334"/>
        <item x="1287"/>
        <item x="1752"/>
        <item x="135"/>
        <item x="1968"/>
        <item x="2040"/>
        <item x="733"/>
        <item x="433"/>
        <item x="1869"/>
        <item x="64"/>
        <item x="984"/>
        <item x="1131"/>
        <item x="27"/>
        <item x="1922"/>
        <item x="219"/>
        <item x="1673"/>
        <item x="1446"/>
        <item x="969"/>
        <item x="1144"/>
        <item x="703"/>
        <item x="123"/>
        <item x="120"/>
        <item x="654"/>
        <item x="1887"/>
        <item x="1768"/>
        <item x="1584"/>
        <item x="382"/>
        <item x="1211"/>
        <item x="1397"/>
        <item x="1424"/>
        <item x="603"/>
        <item x="1499"/>
        <item x="359"/>
        <item x="1927"/>
        <item x="1986"/>
        <item x="936"/>
        <item x="1702"/>
        <item x="862"/>
        <item x="1527"/>
        <item x="1403"/>
        <item x="1563"/>
        <item x="293"/>
        <item x="169"/>
        <item x="375"/>
        <item x="1311"/>
        <item x="941"/>
        <item x="1525"/>
        <item x="54"/>
        <item x="441"/>
        <item x="1910"/>
        <item x="724"/>
        <item x="1029"/>
        <item x="1333"/>
        <item x="1862"/>
        <item x="297"/>
        <item x="426"/>
        <item x="1016"/>
        <item x="532"/>
        <item x="1699"/>
        <item x="496"/>
        <item x="1186"/>
        <item x="332"/>
        <item x="719"/>
        <item x="1048"/>
        <item x="658"/>
        <item x="287"/>
        <item x="181"/>
        <item x="1476"/>
        <item x="1615"/>
        <item x="565"/>
        <item x="1060"/>
        <item x="121"/>
        <item x="1538"/>
        <item x="1605"/>
        <item x="1025"/>
        <item x="846"/>
        <item x="1267"/>
        <item x="245"/>
        <item x="875"/>
        <item x="1128"/>
        <item x="111"/>
        <item x="1852"/>
        <item x="275"/>
        <item x="881"/>
        <item x="1101"/>
        <item x="655"/>
        <item x="330"/>
        <item x="1978"/>
        <item x="738"/>
        <item x="217"/>
        <item x="745"/>
        <item x="1010"/>
        <item x="1145"/>
        <item x="712"/>
        <item x="794"/>
        <item x="564"/>
        <item x="1478"/>
        <item x="623"/>
        <item x="1751"/>
        <item x="1585"/>
        <item x="2001"/>
        <item x="1600"/>
        <item x="2007"/>
        <item x="1143"/>
        <item x="289"/>
        <item x="679"/>
        <item x="1471"/>
        <item x="409"/>
        <item x="1441"/>
        <item x="777"/>
        <item x="1915"/>
        <item x="1595"/>
        <item x="631"/>
        <item x="1067"/>
        <item x="16"/>
        <item x="1139"/>
        <item x="873"/>
        <item x="1134"/>
        <item x="1456"/>
        <item x="142"/>
        <item x="1608"/>
        <item x="1392"/>
        <item x="1780"/>
        <item x="1919"/>
        <item x="930"/>
        <item x="221"/>
        <item x="179"/>
        <item x="938"/>
        <item x="133"/>
        <item x="1834"/>
        <item x="1427"/>
        <item x="613"/>
        <item x="784"/>
        <item x="1171"/>
        <item x="392"/>
        <item x="771"/>
        <item x="1724"/>
        <item x="379"/>
        <item x="1729"/>
        <item x="656"/>
        <item x="1555"/>
        <item x="882"/>
        <item x="247"/>
        <item x="1941"/>
        <item x="185"/>
        <item x="878"/>
        <item x="1703"/>
        <item x="1466"/>
        <item x="1772"/>
        <item x="976"/>
        <item x="7"/>
        <item x="1773"/>
        <item x="268"/>
        <item x="1167"/>
        <item x="652"/>
        <item x="1399"/>
        <item x="323"/>
        <item x="1356"/>
        <item x="1930"/>
        <item x="608"/>
        <item x="464"/>
        <item x="1122"/>
        <item x="922"/>
        <item x="515"/>
        <item x="577"/>
        <item x="1355"/>
        <item x="1926"/>
        <item x="30"/>
        <item x="137"/>
        <item x="1230"/>
        <item x="615"/>
        <item x="1943"/>
        <item x="1955"/>
        <item x="1876"/>
        <item x="1905"/>
        <item x="1765"/>
        <item x="187"/>
        <item x="1747"/>
        <item x="345"/>
        <item x="943"/>
        <item x="1921"/>
        <item x="2042"/>
        <item x="906"/>
        <item x="1393"/>
        <item x="1326"/>
        <item x="389"/>
        <item x="597"/>
        <item x="1149"/>
        <item x="408"/>
        <item x="1944"/>
        <item x="1263"/>
        <item x="57"/>
        <item x="1526"/>
        <item x="1391"/>
        <item x="419"/>
        <item x="1903"/>
        <item x="1136"/>
        <item x="124"/>
        <item x="1469"/>
        <item x="800"/>
        <item x="629"/>
        <item x="715"/>
        <item x="346"/>
        <item x="1014"/>
        <item x="316"/>
        <item x="201"/>
        <item x="1551"/>
        <item x="508"/>
        <item x="75"/>
        <item x="1250"/>
        <item x="1198"/>
        <item x="903"/>
        <item x="41"/>
        <item x="612"/>
        <item x="970"/>
        <item x="1857"/>
        <item x="1384"/>
        <item x="369"/>
        <item x="1873"/>
        <item x="1660"/>
        <item x="868"/>
        <item x="442"/>
        <item x="820"/>
        <item x="2021"/>
        <item x="1928"/>
        <item x="1763"/>
        <item x="1507"/>
        <item x="1587"/>
        <item x="154"/>
        <item x="145"/>
        <item x="1638"/>
        <item x="616"/>
        <item x="188"/>
        <item x="171"/>
        <item x="1174"/>
        <item x="246"/>
        <item x="350"/>
        <item x="92"/>
        <item x="1750"/>
        <item x="813"/>
        <item x="708"/>
        <item x="757"/>
        <item x="1372"/>
        <item x="1931"/>
        <item x="1160"/>
        <item x="126"/>
        <item x="1776"/>
        <item x="2045"/>
        <item x="1166"/>
        <item x="1678"/>
        <item x="860"/>
        <item x="1835"/>
        <item x="1795"/>
        <item x="1306"/>
        <item x="1664"/>
        <item x="1816"/>
        <item x="128"/>
        <item x="1244"/>
        <item x="985"/>
        <item x="1335"/>
        <item x="622"/>
        <item x="159"/>
        <item x="1258"/>
        <item x="1075"/>
        <item x="835"/>
        <item x="1024"/>
        <item x="1972"/>
        <item x="548"/>
        <item x="1794"/>
        <item x="1754"/>
        <item x="104"/>
        <item x="913"/>
        <item x="276"/>
        <item x="220"/>
        <item x="1266"/>
        <item x="1313"/>
        <item x="1480"/>
        <item x="1503"/>
        <item x="1685"/>
        <item x="1200"/>
        <item x="484"/>
        <item x="1828"/>
        <item x="581"/>
        <item x="1949"/>
        <item x="1195"/>
        <item x="1715"/>
        <item x="1753"/>
        <item x="1218"/>
        <item x="214"/>
        <item x="1109"/>
        <item x="489"/>
        <item x="1028"/>
        <item x="982"/>
        <item x="694"/>
        <item x="1607"/>
        <item x="278"/>
        <item x="668"/>
        <item x="479"/>
        <item x="988"/>
        <item x="661"/>
        <item x="480"/>
        <item x="1339"/>
        <item x="1329"/>
        <item x="849"/>
        <item x="325"/>
        <item x="469"/>
        <item x="1766"/>
        <item x="1858"/>
        <item x="65"/>
        <item x="1074"/>
        <item x="1531"/>
        <item x="818"/>
        <item x="776"/>
        <item x="1150"/>
        <item x="1304"/>
        <item x="23"/>
        <item x="386"/>
        <item x="937"/>
        <item x="1904"/>
        <item x="266"/>
        <item x="89"/>
        <item x="705"/>
        <item x="380"/>
        <item x="1820"/>
        <item x="1579"/>
        <item x="825"/>
        <item x="699"/>
        <item x="1003"/>
        <item x="977"/>
        <item x="234"/>
        <item x="527"/>
        <item x="1814"/>
        <item x="1711"/>
        <item x="236"/>
        <item x="445"/>
        <item x="1111"/>
        <item x="390"/>
        <item x="436"/>
        <item x="1260"/>
        <item x="1429"/>
        <item x="468"/>
        <item x="60"/>
        <item x="1390"/>
        <item x="1827"/>
        <item x="1235"/>
        <item x="258"/>
        <item x="917"/>
        <item x="1953"/>
        <item x="1288"/>
        <item x="1374"/>
        <item x="460"/>
        <item x="1626"/>
        <item x="1330"/>
        <item x="84"/>
        <item x="1011"/>
        <item x="1997"/>
        <item x="1376"/>
        <item x="714"/>
        <item x="1598"/>
        <item x="766"/>
        <item x="241"/>
        <item x="158"/>
        <item x="1316"/>
        <item x="1510"/>
        <item x="1558"/>
        <item x="451"/>
        <item x="90"/>
        <item x="425"/>
        <item x="847"/>
        <item x="95"/>
        <item x="206"/>
        <item x="388"/>
        <item x="1667"/>
        <item x="194"/>
        <item x="792"/>
        <item x="536"/>
        <item x="1704"/>
        <item x="916"/>
        <item x="783"/>
        <item x="971"/>
        <item x="1545"/>
        <item x="162"/>
        <item x="66"/>
        <item x="512"/>
        <item x="385"/>
        <item x="621"/>
        <item x="113"/>
        <item x="1755"/>
        <item x="1152"/>
        <item x="52"/>
        <item x="1076"/>
        <item x="874"/>
        <item x="1733"/>
        <item x="1537"/>
        <item x="1855"/>
        <item x="1004"/>
        <item x="1455"/>
        <item x="15"/>
        <item x="136"/>
        <item x="73"/>
        <item x="1336"/>
        <item x="525"/>
        <item x="284"/>
        <item x="1041"/>
        <item x="1791"/>
        <item x="1612"/>
        <item x="736"/>
        <item x="1878"/>
        <item x="446"/>
        <item x="637"/>
        <item x="172"/>
        <item x="809"/>
        <item x="82"/>
        <item x="1433"/>
        <item x="163"/>
        <item x="1994"/>
        <item x="1181"/>
        <item x="1458"/>
        <item x="1439"/>
        <item x="277"/>
        <item x="1810"/>
        <item x="1045"/>
        <item x="313"/>
        <item x="1442"/>
        <item x="93"/>
        <item x="24"/>
        <item x="1395"/>
        <item x="59"/>
        <item x="1783"/>
        <item x="1839"/>
        <item x="1033"/>
        <item x="728"/>
        <item x="919"/>
        <item x="321"/>
        <item x="249"/>
        <item x="1052"/>
        <item x="1676"/>
        <item x="1413"/>
        <item x="12"/>
        <item x="915"/>
        <item x="405"/>
        <item x="1331"/>
        <item x="351"/>
        <item x="1583"/>
        <item x="889"/>
        <item x="973"/>
        <item x="2"/>
        <item x="744"/>
        <item x="1875"/>
        <item x="567"/>
        <item x="108"/>
        <item x="448"/>
        <item x="907"/>
        <item x="1037"/>
        <item x="1993"/>
        <item x="1848"/>
        <item x="1549"/>
        <item x="1187"/>
        <item x="955"/>
        <item x="301"/>
        <item x="186"/>
        <item x="256"/>
        <item x="435"/>
        <item x="1799"/>
        <item x="1576"/>
        <item x="1647"/>
        <item x="298"/>
        <item x="1297"/>
        <item x="1737"/>
        <item x="796"/>
        <item x="1470"/>
        <item x="1369"/>
        <item x="756"/>
        <item x="1443"/>
        <item x="494"/>
        <item x="466"/>
        <item x="1291"/>
        <item x="542"/>
        <item x="1401"/>
        <item x="929"/>
        <item x="632"/>
        <item x="1347"/>
        <item x="1405"/>
        <item x="833"/>
        <item x="1610"/>
        <item x="231"/>
        <item x="25"/>
        <item x="1284"/>
        <item x="1225"/>
        <item x="395"/>
        <item x="701"/>
        <item x="713"/>
        <item x="412"/>
        <item x="2041"/>
        <item x="265"/>
        <item x="1697"/>
        <item x="1879"/>
        <item x="507"/>
        <item x="850"/>
        <item x="1821"/>
        <item x="650"/>
        <item x="376"/>
        <item x="190"/>
        <item x="718"/>
        <item x="1085"/>
        <item x="1426"/>
        <item x="1983"/>
        <item x="85"/>
        <item x="1614"/>
        <item x="1946"/>
        <item x="551"/>
        <item x="1155"/>
        <item x="1654"/>
        <item x="1445"/>
        <item x="753"/>
        <item x="311"/>
        <item x="1811"/>
        <item x="691"/>
        <item x="1305"/>
        <item x="1059"/>
        <item x="474"/>
        <item x="299"/>
        <item x="1417"/>
        <item x="1807"/>
        <item x="1907"/>
        <item x="1247"/>
        <item x="1623"/>
        <item x="1764"/>
        <item x="2047"/>
        <item x="793"/>
        <item x="1894"/>
        <item x="250"/>
        <item x="1909"/>
        <item x="1269"/>
        <item x="2005"/>
        <item x="107"/>
        <item x="996"/>
        <item x="1830"/>
        <item x="1409"/>
        <item x="898"/>
        <item x="1240"/>
        <item x="827"/>
        <item x="935"/>
        <item x="1649"/>
        <item x="1967"/>
        <item x="1947"/>
        <item x="1310"/>
        <item x="182"/>
        <item x="1119"/>
        <item x="980"/>
        <item x="558"/>
        <item x="647"/>
        <item x="470"/>
        <item x="883"/>
        <item x="959"/>
        <item x="253"/>
        <item x="1169"/>
        <item x="1686"/>
        <item x="456"/>
        <item x="1732"/>
        <item x="322"/>
        <item x="957"/>
        <item x="950"/>
        <item x="357"/>
        <item x="20"/>
        <item x="1068"/>
        <item x="829"/>
        <item x="1069"/>
        <item x="1885"/>
        <item x="10"/>
        <item x="684"/>
        <item x="262"/>
        <item x="417"/>
        <item x="535"/>
        <item x="1770"/>
        <item x="1975"/>
        <item x="1097"/>
        <item x="646"/>
        <item x="195"/>
        <item x="949"/>
        <item x="639"/>
        <item x="1249"/>
        <item x="320"/>
        <item x="795"/>
        <item x="550"/>
        <item x="1836"/>
        <item x="424"/>
        <item x="888"/>
        <item x="765"/>
        <item x="1844"/>
        <item x="1271"/>
        <item x="1219"/>
        <item x="1146"/>
        <item x="259"/>
        <item x="1786"/>
        <item x="1430"/>
        <item x="14"/>
        <item x="1002"/>
        <item x="423"/>
        <item x="319"/>
        <item x="1054"/>
        <item x="1662"/>
        <item x="1547"/>
        <item x="562"/>
        <item x="105"/>
        <item x="1009"/>
        <item x="1973"/>
        <item x="94"/>
        <item x="627"/>
        <item x="633"/>
        <item x="664"/>
        <item x="1569"/>
        <item x="1952"/>
        <item x="1352"/>
        <item x="834"/>
        <item x="662"/>
        <item x="576"/>
        <item x="1945"/>
        <item x="1979"/>
        <item x="911"/>
        <item x="1043"/>
        <item x="1437"/>
        <item x="1514"/>
        <item x="716"/>
        <item x="193"/>
        <item x="1670"/>
        <item x="164"/>
        <item x="283"/>
        <item x="1618"/>
        <item x="780"/>
        <item x="1806"/>
        <item x="305"/>
        <item x="366"/>
        <item x="1163"/>
        <item x="1504"/>
        <item x="1434"/>
        <item x="1687"/>
        <item x="901"/>
        <item x="38"/>
        <item x="1895"/>
        <item x="1629"/>
        <item x="1120"/>
        <item x="303"/>
        <item x="472"/>
        <item x="177"/>
        <item x="537"/>
        <item x="1350"/>
        <item x="752"/>
        <item x="115"/>
        <item x="1241"/>
        <item x="1015"/>
        <item x="931"/>
        <item x="1346"/>
        <item x="1202"/>
        <item x="778"/>
        <item x="1958"/>
        <item x="1761"/>
        <item x="831"/>
        <item x="431"/>
        <item x="450"/>
        <item x="331"/>
        <item x="22"/>
        <item x="337"/>
        <item x="1969"/>
        <item x="1501"/>
        <item x="865"/>
        <item x="1221"/>
        <item x="174"/>
        <item x="1790"/>
        <item x="1974"/>
        <item x="681"/>
        <item x="1220"/>
        <item x="100"/>
        <item x="700"/>
        <item x="1315"/>
        <item x="314"/>
        <item x="488"/>
        <item x="36"/>
        <item x="1767"/>
        <item x="580"/>
        <item x="1320"/>
        <item x="1295"/>
        <item x="505"/>
        <item x="1272"/>
        <item x="263"/>
        <item x="55"/>
        <item x="1970"/>
        <item x="1338"/>
        <item x="309"/>
        <item x="1428"/>
        <item x="1577"/>
        <item x="1987"/>
        <item x="1717"/>
        <item x="1121"/>
        <item x="1613"/>
        <item x="1082"/>
        <item x="808"/>
        <item x="360"/>
        <item x="1801"/>
        <item x="1094"/>
        <item x="2026"/>
        <item x="230"/>
        <item x="1056"/>
        <item x="1823"/>
        <item x="1370"/>
        <item x="1692"/>
        <item x="1838"/>
        <item x="1451"/>
        <item x="1705"/>
        <item x="852"/>
        <item x="1573"/>
        <item x="462"/>
        <item x="1019"/>
        <item x="519"/>
        <item x="1951"/>
        <item x="797"/>
        <item x="1988"/>
        <item x="1808"/>
        <item x="1552"/>
        <item x="1274"/>
        <item x="1468"/>
        <item x="697"/>
        <item x="1366"/>
        <item x="51"/>
        <item x="183"/>
        <item x="669"/>
        <item x="178"/>
        <item x="2050"/>
        <item x="1176"/>
        <item x="801"/>
        <item x="334"/>
        <item x="420"/>
        <item x="1695"/>
        <item x="528"/>
        <item x="1485"/>
        <item x="465"/>
        <item x="1099"/>
        <item x="1387"/>
        <item x="1548"/>
        <item x="557"/>
        <item x="443"/>
        <item x="1196"/>
        <item x="1590"/>
        <item x="1127"/>
        <item x="97"/>
        <item x="2017"/>
        <item x="1103"/>
        <item x="643"/>
        <item x="695"/>
        <item x="967"/>
        <item x="222"/>
        <item x="1407"/>
        <item x="746"/>
        <item x="1452"/>
        <item x="1515"/>
        <item x="274"/>
        <item x="741"/>
        <item x="1077"/>
        <item x="1543"/>
        <item x="1371"/>
        <item x="48"/>
        <item x="1142"/>
        <item x="842"/>
        <item x="1126"/>
        <item x="1001"/>
        <item x="1995"/>
        <item x="940"/>
        <item x="69"/>
        <item x="586"/>
        <item x="641"/>
        <item x="711"/>
        <item x="1381"/>
        <item x="994"/>
        <item x="816"/>
        <item x="1604"/>
        <item x="1611"/>
        <item x="264"/>
        <item x="26"/>
        <item x="2030"/>
        <item x="1742"/>
        <item x="35"/>
        <item x="999"/>
        <item x="98"/>
        <item x="1290"/>
        <item x="1871"/>
        <item x="1829"/>
        <item x="139"/>
        <item x="1582"/>
        <item x="591"/>
        <item x="677"/>
        <item x="764"/>
        <item x="1631"/>
        <item x="1571"/>
        <item x="286"/>
        <item x="58"/>
        <item x="743"/>
        <item x="1853"/>
        <item x="651"/>
        <item x="1438"/>
        <item x="407"/>
        <item x="457"/>
        <item x="1039"/>
        <item x="6"/>
        <item x="478"/>
        <item x="140"/>
        <item x="2014"/>
        <item x="1646"/>
        <item x="343"/>
        <item x="960"/>
        <item x="1013"/>
        <item x="566"/>
        <item x="1192"/>
        <item x="449"/>
        <item x="802"/>
        <item x="374"/>
        <item x="328"/>
        <item x="1487"/>
        <item x="1723"/>
        <item x="2013"/>
        <item x="1672"/>
        <item x="1749"/>
        <item x="1173"/>
        <item x="1227"/>
        <item x="2029"/>
        <item x="176"/>
        <item x="747"/>
        <item x="1602"/>
        <item x="1798"/>
        <item x="1760"/>
        <item x="501"/>
        <item x="924"/>
        <item x="1847"/>
        <item x="279"/>
        <item x="1301"/>
        <item x="1385"/>
        <item x="1669"/>
        <item x="2020"/>
        <item x="1489"/>
        <item x="1233"/>
        <item x="67"/>
        <item x="1312"/>
        <item x="1358"/>
        <item x="638"/>
        <item x="749"/>
        <item x="826"/>
        <item x="2024"/>
        <item x="1617"/>
        <item x="657"/>
        <item x="498"/>
        <item x="310"/>
        <item x="1609"/>
        <item x="210"/>
        <item x="1324"/>
        <item x="4"/>
        <item x="1063"/>
        <item x="1589"/>
        <item x="1049"/>
        <item x="659"/>
        <item x="434"/>
        <item x="40"/>
        <item x="1575"/>
        <item x="1734"/>
        <item x="1906"/>
        <item x="594"/>
        <item x="1523"/>
        <item x="1560"/>
        <item x="1505"/>
        <item x="1375"/>
        <item x="1368"/>
        <item x="909"/>
        <item x="755"/>
        <item x="83"/>
        <item x="1880"/>
        <item x="1251"/>
        <item x="2015"/>
        <item x="605"/>
        <item x="170"/>
        <item x="690"/>
        <item x="1464"/>
        <item x="520"/>
        <item x="1822"/>
        <item x="1323"/>
        <item x="285"/>
        <item x="866"/>
        <item x="997"/>
        <item x="798"/>
        <item x="1739"/>
        <item x="1389"/>
        <item x="885"/>
        <item x="1078"/>
        <item x="933"/>
        <item x="295"/>
        <item x="1942"/>
        <item x="102"/>
        <item x="1812"/>
        <item x="1593"/>
        <item x="571"/>
        <item x="327"/>
        <item x="770"/>
        <item x="416"/>
        <item x="947"/>
        <item x="1833"/>
        <item x="676"/>
        <item x="228"/>
        <item x="588"/>
        <item x="1999"/>
        <item x="1084"/>
        <item x="1022"/>
        <item x="1818"/>
        <item x="954"/>
        <item x="978"/>
        <item x="785"/>
        <item x="1517"/>
        <item x="1706"/>
        <item x="1265"/>
        <item x="837"/>
        <item x="1518"/>
        <item x="1209"/>
        <item x="839"/>
        <item x="1125"/>
        <item x="1154"/>
        <item x="248"/>
        <item x="1655"/>
        <item x="640"/>
        <item x="871"/>
        <item x="106"/>
        <item x="1057"/>
        <item x="414"/>
        <item x="209"/>
        <item x="422"/>
        <item x="1597"/>
        <item x="49"/>
        <item x="1884"/>
        <item x="28"/>
        <item x="1586"/>
        <item x="1726"/>
        <item x="1661"/>
        <item x="897"/>
        <item x="1561"/>
        <item x="1819"/>
        <item x="569"/>
        <item x="2000"/>
        <item x="1740"/>
        <item x="2028"/>
        <item x="141"/>
        <item x="504"/>
        <item x="1877"/>
        <item x="1425"/>
        <item x="383"/>
        <item x="864"/>
        <item x="1977"/>
        <item x="438"/>
        <item x="939"/>
        <item x="1521"/>
        <item x="454"/>
        <item x="1817"/>
        <item x="1377"/>
        <item x="207"/>
        <item x="682"/>
        <item x="1092"/>
        <item x="453"/>
        <item x="1482"/>
        <item x="1781"/>
        <item x="1897"/>
        <item x="1448"/>
        <item x="117"/>
        <item x="945"/>
        <item x="1789"/>
        <item x="1792"/>
        <item x="1157"/>
        <item x="329"/>
        <item x="1129"/>
        <item x="2010"/>
        <item x="1477"/>
        <item x="1307"/>
        <item x="965"/>
        <item x="529"/>
        <item x="1327"/>
        <item x="1620"/>
        <item x="138"/>
        <item x="1539"/>
        <item x="1462"/>
        <item x="981"/>
        <item x="692"/>
        <item x="1361"/>
        <item x="1700"/>
        <item x="1044"/>
        <item x="685"/>
        <item x="1017"/>
        <item x="1285"/>
        <item x="1404"/>
        <item x="838"/>
        <item x="853"/>
        <item x="1490"/>
        <item x="1178"/>
        <item x="1642"/>
        <item x="1237"/>
        <item x="1360"/>
        <item x="1259"/>
        <item x="1738"/>
        <item x="1479"/>
        <item x="1540"/>
        <item x="226"/>
        <item x="1939"/>
        <item x="396"/>
        <item x="1619"/>
        <item x="920"/>
        <item x="582"/>
        <item x="1918"/>
        <item x="2016"/>
        <item x="199"/>
        <item x="367"/>
        <item x="1865"/>
        <item x="1175"/>
        <item x="429"/>
        <item x="475"/>
        <item x="42"/>
        <item x="1105"/>
        <item x="211"/>
        <item x="1254"/>
        <item x="845"/>
        <item x="492"/>
        <item x="1748"/>
        <item x="1364"/>
        <item x="0"/>
        <item x="814"/>
        <item x="788"/>
        <item x="1440"/>
        <item x="1657"/>
        <item x="103"/>
        <item x="1108"/>
        <item x="191"/>
        <item x="509"/>
        <item x="946"/>
        <item x="8"/>
        <item x="1929"/>
        <item x="1512"/>
        <item x="1679"/>
        <item x="1908"/>
        <item x="244"/>
        <item x="1580"/>
        <item x="44"/>
        <item x="1881"/>
        <item x="252"/>
        <item x="1257"/>
        <item x="1270"/>
        <item x="926"/>
        <item x="1088"/>
        <item x="1229"/>
        <item x="1461"/>
        <item x="1634"/>
        <item x="2011"/>
        <item x="768"/>
        <item x="1102"/>
        <item x="318"/>
        <item x="1472"/>
        <item x="513"/>
        <item x="1396"/>
        <item x="149"/>
        <item x="1322"/>
        <item x="1578"/>
        <item x="467"/>
        <item x="781"/>
        <item x="1465"/>
        <item x="493"/>
        <item x="1378"/>
        <item x="815"/>
        <item x="1435"/>
        <item x="132"/>
        <item x="1933"/>
        <item x="272"/>
        <item x="1883"/>
        <item x="2046"/>
        <item x="1842"/>
        <item x="791"/>
        <item x="47"/>
        <item x="1840"/>
        <item x="1779"/>
        <item x="365"/>
        <item x="1516"/>
        <item x="1550"/>
        <item x="828"/>
        <item x="1081"/>
        <item x="2019"/>
        <item x="840"/>
        <item x="925"/>
        <item x="1890"/>
        <item x="1275"/>
        <item x="1831"/>
        <item x="342"/>
        <item x="759"/>
        <item x="511"/>
        <item x="87"/>
        <item x="1040"/>
        <item x="96"/>
        <item x="1124"/>
        <item x="1896"/>
        <item x="1106"/>
        <item x="1362"/>
        <item x="877"/>
        <item x="1502"/>
        <item x="1086"/>
        <item x="1971"/>
        <item x="683"/>
        <item x="39"/>
        <item x="890"/>
        <item x="821"/>
        <item x="1027"/>
        <item x="2037"/>
        <item x="908"/>
        <item x="1938"/>
        <item x="281"/>
        <item x="952"/>
        <item x="1785"/>
        <item x="1382"/>
        <item x="1073"/>
        <item x="665"/>
        <item x="561"/>
        <item x="1641"/>
        <item x="1599"/>
        <item x="1680"/>
        <item x="628"/>
        <item x="1286"/>
        <item x="789"/>
        <item x="378"/>
        <item t="default"/>
      </items>
    </pivotField>
    <pivotField showAll="0"/>
    <pivotField showAll="0"/>
    <pivotField showAll="0"/>
    <pivotField showAll="0"/>
    <pivotField showAll="0"/>
  </pivotFields>
  <rowFields count="1">
    <field x="2"/>
  </rowFields>
  <rowItems count="4">
    <i>
      <x/>
    </i>
    <i>
      <x v="1"/>
    </i>
    <i>
      <x v="2"/>
    </i>
    <i t="grand">
      <x/>
    </i>
  </rowItems>
  <colItems count="1">
    <i/>
  </colItems>
  <dataFields count="1">
    <dataField name="Count of Name" fld="4" subtotal="count" baseField="0" baseItem="0"/>
  </dataFields>
  <formats count="2">
    <format dxfId="227">
      <pivotArea outline="0" collapsedLevelsAreSubtotals="1" fieldPosition="0"/>
    </format>
    <format dxfId="226">
      <pivotArea collapsedLevelsAreSubtotals="1" fieldPosition="0">
        <references count="1">
          <reference field="2" count="0"/>
        </references>
      </pivotArea>
    </format>
  </format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E5517D-32A6-495F-8823-43A0C2BD846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10">
    <pivotField showAll="0">
      <items count="8">
        <item x="2"/>
        <item x="0"/>
        <item x="1"/>
        <item x="3"/>
        <item x="4"/>
        <item x="5"/>
        <item x="6"/>
        <item t="default"/>
      </items>
    </pivotField>
    <pivotField showAll="0"/>
    <pivotField showAll="0"/>
    <pivotField showAll="0"/>
    <pivotField dataField="1" showAll="0"/>
    <pivotField showAll="0"/>
    <pivotField showAll="0"/>
    <pivotField showAll="0"/>
    <pivotField showAll="0"/>
    <pivotField axis="axisRow" showAll="0">
      <items count="3">
        <item x="1"/>
        <item x="0"/>
        <item t="default"/>
      </items>
    </pivotField>
  </pivotFields>
  <rowFields count="1">
    <field x="9"/>
  </rowFields>
  <rowItems count="3">
    <i>
      <x/>
    </i>
    <i>
      <x v="1"/>
    </i>
    <i t="grand">
      <x/>
    </i>
  </rowItems>
  <colItems count="1">
    <i/>
  </colItems>
  <dataFields count="1">
    <dataField name="Count of Name" fld="4" subtotal="count" baseField="0" baseItem="0"/>
  </dataFields>
  <chartFormats count="3">
    <chartFormat chart="4" format="21" series="1">
      <pivotArea type="data" outline="0" fieldPosition="0">
        <references count="1">
          <reference field="4294967294" count="1" selected="0">
            <x v="0"/>
          </reference>
        </references>
      </pivotArea>
    </chartFormat>
    <chartFormat chart="4" format="22">
      <pivotArea type="data" outline="0" fieldPosition="0">
        <references count="2">
          <reference field="4294967294" count="1" selected="0">
            <x v="0"/>
          </reference>
          <reference field="9" count="1" selected="0">
            <x v="0"/>
          </reference>
        </references>
      </pivotArea>
    </chartFormat>
    <chartFormat chart="4" format="2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FED3AA-62E5-4B8D-93B8-AD9FBB0955F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4" firstHeaderRow="1" firstDataRow="1" firstDataCol="1"/>
  <pivotFields count="10">
    <pivotField showAll="0">
      <items count="8">
        <item x="2"/>
        <item x="0"/>
        <item x="1"/>
        <item x="3"/>
        <item x="4"/>
        <item x="5"/>
        <item x="6"/>
        <item t="default"/>
      </items>
    </pivotField>
    <pivotField dataField="1" showAll="0"/>
    <pivotField showAll="0"/>
    <pivotField showAll="0"/>
    <pivotField showAll="0"/>
    <pivotField showAll="0"/>
    <pivotField showAll="0"/>
    <pivotField showAll="0"/>
    <pivotField axis="axisRow" showAll="0">
      <items count="13">
        <item x="11"/>
        <item x="8"/>
        <item x="10"/>
        <item x="9"/>
        <item x="6"/>
        <item x="5"/>
        <item x="4"/>
        <item x="3"/>
        <item x="2"/>
        <item x="1"/>
        <item x="0"/>
        <item x="7"/>
        <item t="default"/>
      </items>
    </pivotField>
    <pivotField showAll="0"/>
  </pivotFields>
  <rowFields count="1">
    <field x="8"/>
  </rowFields>
  <rowItems count="13">
    <i>
      <x/>
    </i>
    <i>
      <x v="1"/>
    </i>
    <i>
      <x v="2"/>
    </i>
    <i>
      <x v="3"/>
    </i>
    <i>
      <x v="4"/>
    </i>
    <i>
      <x v="5"/>
    </i>
    <i>
      <x v="6"/>
    </i>
    <i>
      <x v="7"/>
    </i>
    <i>
      <x v="8"/>
    </i>
    <i>
      <x v="9"/>
    </i>
    <i>
      <x v="10"/>
    </i>
    <i>
      <x v="11"/>
    </i>
    <i t="grand">
      <x/>
    </i>
  </rowItems>
  <colItems count="1">
    <i/>
  </colItems>
  <dataFields count="1">
    <dataField name="Average of Rating" fld="1" subtotal="average" baseField="8" baseItem="0"/>
  </dataFields>
  <formats count="3">
    <format dxfId="225">
      <pivotArea collapsedLevelsAreSubtotals="1" fieldPosition="0">
        <references count="1">
          <reference field="8" count="0"/>
        </references>
      </pivotArea>
    </format>
    <format dxfId="224">
      <pivotArea collapsedLevelsAreSubtotals="1" fieldPosition="0">
        <references count="1">
          <reference field="8" count="0"/>
        </references>
      </pivotArea>
    </format>
    <format dxfId="223">
      <pivotArea collapsedLevelsAreSubtotals="1" fieldPosition="0">
        <references count="1">
          <reference field="8" count="0"/>
        </references>
      </pivotArea>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88258C-6C4E-4CAC-80C1-C90665F784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7" firstHeaderRow="1" firstDataRow="1" firstDataCol="1"/>
  <pivotFields count="10">
    <pivotField showAll="0"/>
    <pivotField showAll="0"/>
    <pivotField axis="axisRow" showAll="0">
      <items count="4">
        <item x="1"/>
        <item x="2"/>
        <item x="0"/>
        <item t="default"/>
      </items>
    </pivotField>
    <pivotField showAll="0"/>
    <pivotField dataField="1"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C24594-33AD-4181-B97A-1F2FF7060C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3:E7" firstHeaderRow="1" firstDataRow="1" firstDataCol="1"/>
  <pivotFields count="10">
    <pivotField showAll="0"/>
    <pivotField showAll="0"/>
    <pivotField axis="axisRow" showAll="0">
      <items count="4">
        <item x="1"/>
        <item x="2"/>
        <item x="0"/>
        <item t="default"/>
      </items>
    </pivotField>
    <pivotField showAll="0"/>
    <pivotField dataField="1"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Name"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7DA816-B2EA-4824-8508-E624D4DE3C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3:H7" firstHeaderRow="1" firstDataRow="1" firstDataCol="1"/>
  <pivotFields count="10">
    <pivotField showAll="0"/>
    <pivotField showAll="0"/>
    <pivotField axis="axisRow" showAll="0">
      <items count="4">
        <item x="1"/>
        <item x="2"/>
        <item x="0"/>
        <item t="default"/>
      </items>
    </pivotField>
    <pivotField showAll="0"/>
    <pivotField dataField="1"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Name"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_Name" xr10:uid="{210AAD2C-CF9A-4B3B-BB01-15BFEBCA5B15}" sourceName="AirLine_Name">
  <pivotTables>
    <pivotTable tabId="11" name="PivotTable2"/>
    <pivotTable tabId="11" name="PivotTable5"/>
    <pivotTable tabId="12" name="PivotTable7"/>
    <pivotTable tabId="12" name="PivotTable1"/>
    <pivotTable tabId="13" name="PivotTable2"/>
    <pivotTable tabId="14" name="PivotTable3"/>
    <pivotTable tabId="15" name="PivotTable4"/>
  </pivotTables>
  <data>
    <tabular pivotCacheId="1003128344">
      <items count="7">
        <i x="2" s="1"/>
        <i x="0" s="1"/>
        <i x="1"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_Name" xr10:uid="{63A4BC9E-E4EA-4BE8-B50C-5398876B57D4}" cache="Slicer_AirLine_Name" caption="Indian Air Lane Name"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616701-21B3-4A79-8AC8-9F6E0425AD0E}" name="Table1" displayName="Table1" ref="A1:J2212" totalsRowCount="1" headerRowDxfId="222" dataDxfId="220" headerRowBorderDxfId="221" tableBorderDxfId="219" totalsRowBorderDxfId="218">
  <autoFilter ref="A1:J2211" xr:uid="{F2616701-21B3-4A79-8AC8-9F6E0425AD0E}"/>
  <tableColumns count="10">
    <tableColumn id="1" xr3:uid="{B03BEDB9-A0F3-43BB-9C2F-791A2D1DF655}" name="AirLine_Name" totalsRowFunction="custom" dataDxfId="217" totalsRowDxfId="9">
      <totalsRowFormula>COUNTA(A2:A2211)</totalsRowFormula>
    </tableColumn>
    <tableColumn id="2" xr3:uid="{6A768DA4-CB92-43DF-A84E-E67F0B37E576}" name="Rating" dataDxfId="216" totalsRowDxfId="8"/>
    <tableColumn id="3" xr3:uid="{D9A4D484-135F-4DF5-8893-6E22A53CD8E9}" name="Review Type" dataDxfId="215" totalsRowDxfId="7">
      <calculatedColumnFormula>IF(B2&gt;=8,"Good",IF(B2&gt;=5,"Neutral","Bad"))</calculatedColumnFormula>
    </tableColumn>
    <tableColumn id="4" xr3:uid="{CEA84C01-2BA9-4366-B7B5-8C57565F53E1}" name="Title" dataDxfId="214" totalsRowDxfId="6"/>
    <tableColumn id="5" xr3:uid="{687B5F33-8961-45CB-BCAA-42A25046A203}" name="Name" dataDxfId="213" totalsRowDxfId="5"/>
    <tableColumn id="6" xr3:uid="{8BCA27AE-200E-4266-A6FA-E4FEDBD03D76}" name="Date" dataDxfId="212" totalsRowDxfId="4"/>
    <tableColumn id="7" xr3:uid="{41FE5220-C69A-4423-BF82-554976A52A6C}" name="Date2" dataDxfId="211" totalsRowDxfId="3">
      <calculatedColumnFormula>LEFT(F2, FIND(" ", F2)-1)</calculatedColumnFormula>
    </tableColumn>
    <tableColumn id="8" xr3:uid="{C21F7309-2073-4886-9FD9-3CCE86FDC96C}" name="Month" dataDxfId="210" totalsRowDxfId="2">
      <calculatedColumnFormula>TRIM(MID(F2, FIND(" ", F2)+1, FIND(" ", F2, FIND(" ", F2)+1) - FIND(" ", F2)-1))</calculatedColumnFormula>
    </tableColumn>
    <tableColumn id="9" xr3:uid="{1F7DE6A4-C0CF-4619-8E9D-CC2CE0C23B7C}" name="Year" dataDxfId="209" totalsRowDxfId="1">
      <calculatedColumnFormula>RIGHT(F2, 4)</calculatedColumnFormula>
    </tableColumn>
    <tableColumn id="10" xr3:uid="{4A95F2F2-E2C9-482A-8A8E-38C4DFFABFE0}" name="Recommond" dataDxfId="208"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6743-7FFB-4069-B1CD-5C8D250434EF}">
  <dimension ref="A3:C11"/>
  <sheetViews>
    <sheetView workbookViewId="0">
      <selection activeCell="B20" sqref="B20"/>
    </sheetView>
  </sheetViews>
  <sheetFormatPr defaultRowHeight="14.5" x14ac:dyDescent="0.35"/>
  <cols>
    <col min="1" max="1" width="14.7265625" bestFit="1" customWidth="1"/>
    <col min="2" max="2" width="19.08984375" bestFit="1" customWidth="1"/>
    <col min="3" max="3" width="14.7265625" bestFit="1" customWidth="1"/>
  </cols>
  <sheetData>
    <row r="3" spans="1:3" x14ac:dyDescent="0.35">
      <c r="A3" s="6" t="s">
        <v>4278</v>
      </c>
      <c r="C3" s="6" t="s">
        <v>4278</v>
      </c>
    </row>
    <row r="4" spans="1:3" x14ac:dyDescent="0.35">
      <c r="A4" s="7" t="s">
        <v>1382</v>
      </c>
      <c r="C4" s="7" t="s">
        <v>1382</v>
      </c>
    </row>
    <row r="5" spans="1:3" x14ac:dyDescent="0.35">
      <c r="A5" s="7" t="s">
        <v>5</v>
      </c>
      <c r="C5" s="7" t="s">
        <v>5</v>
      </c>
    </row>
    <row r="6" spans="1:3" x14ac:dyDescent="0.35">
      <c r="A6" s="7" t="s">
        <v>257</v>
      </c>
      <c r="C6" s="7" t="s">
        <v>257</v>
      </c>
    </row>
    <row r="7" spans="1:3" x14ac:dyDescent="0.35">
      <c r="A7" s="7" t="s">
        <v>1593</v>
      </c>
      <c r="C7" s="7" t="s">
        <v>1593</v>
      </c>
    </row>
    <row r="8" spans="1:3" x14ac:dyDescent="0.35">
      <c r="A8" s="7" t="s">
        <v>1937</v>
      </c>
      <c r="C8" s="7" t="s">
        <v>1937</v>
      </c>
    </row>
    <row r="9" spans="1:3" x14ac:dyDescent="0.35">
      <c r="A9" s="7" t="s">
        <v>2826</v>
      </c>
      <c r="C9" s="7" t="s">
        <v>2826</v>
      </c>
    </row>
    <row r="10" spans="1:3" x14ac:dyDescent="0.35">
      <c r="A10" s="7" t="s">
        <v>3801</v>
      </c>
      <c r="C10" s="7" t="s">
        <v>3801</v>
      </c>
    </row>
    <row r="11" spans="1:3" x14ac:dyDescent="0.35">
      <c r="A11" s="7" t="s">
        <v>4282</v>
      </c>
      <c r="C11" s="7" t="s">
        <v>4282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5D72-9E48-42E0-8AA3-E397C60B0404}">
  <dimension ref="A1:E9"/>
  <sheetViews>
    <sheetView workbookViewId="0">
      <selection activeCell="D1" sqref="D1"/>
    </sheetView>
  </sheetViews>
  <sheetFormatPr defaultRowHeight="14.5" x14ac:dyDescent="0.35"/>
  <cols>
    <col min="1" max="1" width="14.7265625" bestFit="1" customWidth="1"/>
    <col min="2" max="2" width="15.54296875" bestFit="1" customWidth="1"/>
    <col min="4" max="4" width="14.7265625" bestFit="1" customWidth="1"/>
    <col min="5" max="5" width="15.54296875" bestFit="1" customWidth="1"/>
  </cols>
  <sheetData>
    <row r="1" spans="1:5" x14ac:dyDescent="0.35">
      <c r="A1" s="6" t="s">
        <v>4278</v>
      </c>
      <c r="B1" t="s">
        <v>4297</v>
      </c>
      <c r="D1" s="6" t="s">
        <v>4278</v>
      </c>
      <c r="E1" t="s">
        <v>4297</v>
      </c>
    </row>
    <row r="2" spans="1:5" x14ac:dyDescent="0.35">
      <c r="A2" s="7" t="s">
        <v>1382</v>
      </c>
      <c r="B2" s="8">
        <v>2.9727272727272727</v>
      </c>
      <c r="D2" s="7" t="s">
        <v>1382</v>
      </c>
      <c r="E2" s="8">
        <v>2.9727272727272727</v>
      </c>
    </row>
    <row r="3" spans="1:5" x14ac:dyDescent="0.35">
      <c r="A3" s="7" t="s">
        <v>5</v>
      </c>
      <c r="B3" s="8">
        <v>4</v>
      </c>
      <c r="D3" s="7" t="s">
        <v>5</v>
      </c>
      <c r="E3" s="8">
        <v>4</v>
      </c>
    </row>
    <row r="4" spans="1:5" x14ac:dyDescent="0.35">
      <c r="A4" s="7" t="s">
        <v>257</v>
      </c>
      <c r="B4" s="8">
        <v>2.7981818181818183</v>
      </c>
      <c r="D4" s="7" t="s">
        <v>257</v>
      </c>
      <c r="E4" s="8">
        <v>2.7981818181818183</v>
      </c>
    </row>
    <row r="5" spans="1:5" x14ac:dyDescent="0.35">
      <c r="A5" s="7" t="s">
        <v>1593</v>
      </c>
      <c r="B5" s="8">
        <v>1.6666666666666667</v>
      </c>
      <c r="D5" s="7" t="s">
        <v>1593</v>
      </c>
      <c r="E5" s="8">
        <v>1.6666666666666667</v>
      </c>
    </row>
    <row r="6" spans="1:5" x14ac:dyDescent="0.35">
      <c r="A6" s="7" t="s">
        <v>1937</v>
      </c>
      <c r="B6" s="8">
        <v>5.5246913580246915</v>
      </c>
      <c r="D6" s="7" t="s">
        <v>1937</v>
      </c>
      <c r="E6" s="8">
        <v>5.5246913580246915</v>
      </c>
    </row>
    <row r="7" spans="1:5" x14ac:dyDescent="0.35">
      <c r="A7" s="7" t="s">
        <v>2826</v>
      </c>
      <c r="B7" s="8">
        <v>3.58</v>
      </c>
      <c r="D7" s="7" t="s">
        <v>2826</v>
      </c>
      <c r="E7" s="8">
        <v>3.58</v>
      </c>
    </row>
    <row r="8" spans="1:5" x14ac:dyDescent="0.35">
      <c r="A8" s="7" t="s">
        <v>3801</v>
      </c>
      <c r="B8" s="8">
        <v>6.8307692307692305</v>
      </c>
      <c r="D8" s="7" t="s">
        <v>3801</v>
      </c>
      <c r="E8" s="8">
        <v>6.8307692307692305</v>
      </c>
    </row>
    <row r="9" spans="1:5" x14ac:dyDescent="0.35">
      <c r="A9" s="7" t="s">
        <v>4282</v>
      </c>
      <c r="B9" s="8">
        <v>4.0330915684496826</v>
      </c>
      <c r="D9" s="7" t="s">
        <v>4282</v>
      </c>
      <c r="E9" s="8">
        <v>4.0330915684496826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0201-CEA6-4EB7-BA19-549DFEFFE8C6}">
  <dimension ref="A1:B5"/>
  <sheetViews>
    <sheetView workbookViewId="0">
      <selection activeCell="B2" sqref="B2:B4"/>
    </sheetView>
  </sheetViews>
  <sheetFormatPr defaultRowHeight="14.5" x14ac:dyDescent="0.35"/>
  <cols>
    <col min="1" max="1" width="12.36328125" bestFit="1" customWidth="1"/>
    <col min="2" max="2" width="13.54296875" bestFit="1" customWidth="1"/>
  </cols>
  <sheetData>
    <row r="1" spans="1:2" x14ac:dyDescent="0.35">
      <c r="A1" s="6" t="s">
        <v>4278</v>
      </c>
      <c r="B1" t="s">
        <v>4283</v>
      </c>
    </row>
    <row r="2" spans="1:2" x14ac:dyDescent="0.35">
      <c r="A2" s="7" t="s">
        <v>4279</v>
      </c>
      <c r="B2" s="21">
        <v>1404</v>
      </c>
    </row>
    <row r="3" spans="1:2" x14ac:dyDescent="0.35">
      <c r="A3" s="7" t="s">
        <v>4280</v>
      </c>
      <c r="B3" s="21">
        <v>614</v>
      </c>
    </row>
    <row r="4" spans="1:2" x14ac:dyDescent="0.35">
      <c r="A4" s="7" t="s">
        <v>4281</v>
      </c>
      <c r="B4" s="21">
        <v>192</v>
      </c>
    </row>
    <row r="5" spans="1:2" x14ac:dyDescent="0.35">
      <c r="A5" s="7" t="s">
        <v>4282</v>
      </c>
      <c r="B5" s="20">
        <v>2210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5B836-53A3-4FB4-B188-DA3645B48D34}">
  <dimension ref="A1:B4"/>
  <sheetViews>
    <sheetView workbookViewId="0">
      <selection activeCell="M8" sqref="M8"/>
    </sheetView>
  </sheetViews>
  <sheetFormatPr defaultRowHeight="14.5" x14ac:dyDescent="0.35"/>
  <cols>
    <col min="1" max="1" width="12.36328125" bestFit="1" customWidth="1"/>
    <col min="2" max="2" width="13.54296875" bestFit="1" customWidth="1"/>
  </cols>
  <sheetData>
    <row r="1" spans="1:2" x14ac:dyDescent="0.35">
      <c r="A1" s="6" t="s">
        <v>4278</v>
      </c>
      <c r="B1" t="s">
        <v>4283</v>
      </c>
    </row>
    <row r="2" spans="1:2" x14ac:dyDescent="0.35">
      <c r="A2" s="7" t="s">
        <v>12</v>
      </c>
      <c r="B2" s="25">
        <v>1448</v>
      </c>
    </row>
    <row r="3" spans="1:2" x14ac:dyDescent="0.35">
      <c r="A3" s="7" t="s">
        <v>9</v>
      </c>
      <c r="B3" s="25">
        <v>762</v>
      </c>
    </row>
    <row r="4" spans="1:2" x14ac:dyDescent="0.35">
      <c r="A4" s="7" t="s">
        <v>4282</v>
      </c>
      <c r="B4" s="25">
        <v>2210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6266B-B41C-4307-9E76-CA3515FF7E13}">
  <dimension ref="A1:B14"/>
  <sheetViews>
    <sheetView workbookViewId="0">
      <selection activeCell="M7" sqref="M7"/>
    </sheetView>
  </sheetViews>
  <sheetFormatPr defaultRowHeight="14.5" x14ac:dyDescent="0.35"/>
  <cols>
    <col min="1" max="1" width="12.36328125" bestFit="1" customWidth="1"/>
    <col min="2" max="2" width="15.54296875" bestFit="1" customWidth="1"/>
  </cols>
  <sheetData>
    <row r="1" spans="1:2" x14ac:dyDescent="0.35">
      <c r="A1" s="6" t="s">
        <v>4278</v>
      </c>
      <c r="B1" t="s">
        <v>4297</v>
      </c>
    </row>
    <row r="2" spans="1:2" x14ac:dyDescent="0.35">
      <c r="A2" s="7" t="s">
        <v>4294</v>
      </c>
      <c r="B2" s="22">
        <v>8.9642857142857135</v>
      </c>
    </row>
    <row r="3" spans="1:2" x14ac:dyDescent="0.35">
      <c r="A3" s="7" t="s">
        <v>4295</v>
      </c>
      <c r="B3" s="22">
        <v>6.9230769230769234</v>
      </c>
    </row>
    <row r="4" spans="1:2" x14ac:dyDescent="0.35">
      <c r="A4" s="7" t="s">
        <v>4296</v>
      </c>
      <c r="B4" s="22">
        <v>7.8620689655172411</v>
      </c>
    </row>
    <row r="5" spans="1:2" x14ac:dyDescent="0.35">
      <c r="A5" s="7" t="s">
        <v>4285</v>
      </c>
      <c r="B5" s="22">
        <v>8.2799999999999994</v>
      </c>
    </row>
    <row r="6" spans="1:2" x14ac:dyDescent="0.35">
      <c r="A6" s="7" t="s">
        <v>4288</v>
      </c>
      <c r="B6" s="22">
        <v>5.8857142857142861</v>
      </c>
    </row>
    <row r="7" spans="1:2" x14ac:dyDescent="0.35">
      <c r="A7" s="7" t="s">
        <v>4290</v>
      </c>
      <c r="B7" s="22">
        <v>4.6846153846153848</v>
      </c>
    </row>
    <row r="8" spans="1:2" x14ac:dyDescent="0.35">
      <c r="A8" s="7" t="s">
        <v>4292</v>
      </c>
      <c r="B8" s="22">
        <v>4.2115384615384617</v>
      </c>
    </row>
    <row r="9" spans="1:2" x14ac:dyDescent="0.35">
      <c r="A9" s="7" t="s">
        <v>4291</v>
      </c>
      <c r="B9" s="22">
        <v>4.9000000000000004</v>
      </c>
    </row>
    <row r="10" spans="1:2" x14ac:dyDescent="0.35">
      <c r="A10" s="7" t="s">
        <v>4289</v>
      </c>
      <c r="B10" s="22">
        <v>4.0761904761904759</v>
      </c>
    </row>
    <row r="11" spans="1:2" x14ac:dyDescent="0.35">
      <c r="A11" s="7" t="s">
        <v>4287</v>
      </c>
      <c r="B11" s="22">
        <v>3.395</v>
      </c>
    </row>
    <row r="12" spans="1:2" x14ac:dyDescent="0.35">
      <c r="A12" s="7" t="s">
        <v>4286</v>
      </c>
      <c r="B12" s="22">
        <v>3.2763636363636364</v>
      </c>
    </row>
    <row r="13" spans="1:2" x14ac:dyDescent="0.35">
      <c r="A13" s="7" t="s">
        <v>4293</v>
      </c>
      <c r="B13" s="22">
        <v>2.989655172413793</v>
      </c>
    </row>
    <row r="14" spans="1:2" x14ac:dyDescent="0.35">
      <c r="A14" s="7" t="s">
        <v>4282</v>
      </c>
      <c r="B14" s="25">
        <v>4.0330915684496826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D109A-1F6F-45CF-87E1-2EE2C3902C12}">
  <sheetPr>
    <tabColor rgb="FFFFFF00"/>
  </sheetPr>
  <dimension ref="A1:X4424"/>
  <sheetViews>
    <sheetView tabSelected="1" workbookViewId="0">
      <selection activeCell="D8" sqref="D8"/>
    </sheetView>
  </sheetViews>
  <sheetFormatPr defaultRowHeight="14.5" x14ac:dyDescent="0.35"/>
  <cols>
    <col min="1" max="1" width="15.81640625" customWidth="1"/>
    <col min="2" max="2" width="9.54296875" bestFit="1" customWidth="1"/>
    <col min="3" max="3" width="13.1796875" style="1" customWidth="1"/>
    <col min="4" max="4" width="50.6328125" customWidth="1"/>
    <col min="5" max="5" width="21.1796875" customWidth="1"/>
    <col min="6" max="6" width="18.81640625" bestFit="1" customWidth="1"/>
    <col min="7" max="7" width="10.81640625" style="1" customWidth="1"/>
    <col min="8" max="8" width="16.08984375" style="1" customWidth="1"/>
    <col min="9" max="9" width="12.1796875" style="1" customWidth="1"/>
    <col min="10" max="10" width="13.36328125" style="1" customWidth="1"/>
    <col min="23" max="23" width="16.08984375" customWidth="1"/>
    <col min="24" max="24" width="11.90625" customWidth="1"/>
  </cols>
  <sheetData>
    <row r="1" spans="1:24" s="2" customFormat="1" x14ac:dyDescent="0.35">
      <c r="A1" s="11" t="s">
        <v>0</v>
      </c>
      <c r="B1" s="12" t="s">
        <v>4274</v>
      </c>
      <c r="C1" s="12" t="s">
        <v>4275</v>
      </c>
      <c r="D1" s="12" t="s">
        <v>1</v>
      </c>
      <c r="E1" s="12" t="s">
        <v>2</v>
      </c>
      <c r="F1" s="12" t="s">
        <v>3</v>
      </c>
      <c r="G1" s="12" t="s">
        <v>4284</v>
      </c>
      <c r="H1" s="12" t="s">
        <v>4277</v>
      </c>
      <c r="I1" s="12" t="s">
        <v>4276</v>
      </c>
      <c r="J1" s="13" t="s">
        <v>4</v>
      </c>
    </row>
    <row r="2" spans="1:24" x14ac:dyDescent="0.35">
      <c r="A2" s="9" t="s">
        <v>5</v>
      </c>
      <c r="B2" s="3">
        <v>6</v>
      </c>
      <c r="C2" s="4" t="str">
        <f>IF(B2&gt;=8,"Good",IF(B2&gt;=5,"Neutral","Bad"))</f>
        <v>Neutral</v>
      </c>
      <c r="D2" s="3" t="s">
        <v>6</v>
      </c>
      <c r="E2" s="3" t="s">
        <v>7</v>
      </c>
      <c r="F2" s="5" t="s">
        <v>8</v>
      </c>
      <c r="G2" s="4" t="str">
        <f>LEFT(F2, FIND(" ", F2)-1)</f>
        <v>14th</v>
      </c>
      <c r="H2" s="4" t="str">
        <f>TRIM(MID(F2, FIND(" ", F2)+1, FIND(" ", F2, FIND(" ", F2)+1) - FIND(" ", F2)-1))</f>
        <v>October</v>
      </c>
      <c r="I2" s="4" t="str">
        <f>RIGHT(F2, 4)</f>
        <v>2023</v>
      </c>
      <c r="J2" s="10" t="s">
        <v>9</v>
      </c>
    </row>
    <row r="3" spans="1:24" x14ac:dyDescent="0.35">
      <c r="A3" s="9" t="s">
        <v>5</v>
      </c>
      <c r="B3" s="3">
        <v>1</v>
      </c>
      <c r="C3" s="4" t="str">
        <f t="shared" ref="C3:C66" si="0">IF(B3&gt;=8,"Good",IF(B3&gt;=5,"Neutral","Bad"))</f>
        <v>Bad</v>
      </c>
      <c r="D3" s="3" t="s">
        <v>10</v>
      </c>
      <c r="E3" s="3" t="s">
        <v>11</v>
      </c>
      <c r="F3" s="5" t="s">
        <v>8</v>
      </c>
      <c r="G3" s="4" t="str">
        <f t="shared" ref="G3:G66" si="1">LEFT(F3, FIND(" ", F3)-1)</f>
        <v>14th</v>
      </c>
      <c r="H3" s="4" t="str">
        <f t="shared" ref="H3:H66" si="2">TRIM(MID(F3, FIND(" ", F3)+1, FIND(" ", F3, FIND(" ", F3)+1) - FIND(" ", F3)-1))</f>
        <v>October</v>
      </c>
      <c r="I3" s="4" t="str">
        <f t="shared" ref="I3:I66" si="3">RIGHT(F3, 4)</f>
        <v>2023</v>
      </c>
      <c r="J3" s="10" t="s">
        <v>12</v>
      </c>
      <c r="W3" t="s">
        <v>4298</v>
      </c>
      <c r="X3" s="23">
        <f>COUNTA(Table1[Rating])</f>
        <v>2206</v>
      </c>
    </row>
    <row r="4" spans="1:24" x14ac:dyDescent="0.35">
      <c r="A4" s="9" t="s">
        <v>5</v>
      </c>
      <c r="B4" s="3">
        <v>10</v>
      </c>
      <c r="C4" s="4" t="str">
        <f t="shared" si="0"/>
        <v>Good</v>
      </c>
      <c r="D4" s="3" t="s">
        <v>13</v>
      </c>
      <c r="E4" s="3" t="s">
        <v>14</v>
      </c>
      <c r="F4" s="5" t="s">
        <v>8</v>
      </c>
      <c r="G4" s="4" t="str">
        <f t="shared" si="1"/>
        <v>14th</v>
      </c>
      <c r="H4" s="4" t="str">
        <f t="shared" si="2"/>
        <v>October</v>
      </c>
      <c r="I4" s="4" t="str">
        <f>RIGHT(F4, 4)</f>
        <v>2023</v>
      </c>
      <c r="J4" s="10" t="s">
        <v>9</v>
      </c>
      <c r="W4" t="s">
        <v>4299</v>
      </c>
      <c r="X4" s="24">
        <f>AVERAGE(B2:B2211)</f>
        <v>4.0330915684496826</v>
      </c>
    </row>
    <row r="5" spans="1:24" x14ac:dyDescent="0.35">
      <c r="A5" s="9" t="s">
        <v>5</v>
      </c>
      <c r="B5" s="3">
        <v>1</v>
      </c>
      <c r="C5" s="4" t="str">
        <f t="shared" si="0"/>
        <v>Bad</v>
      </c>
      <c r="D5" s="3" t="s">
        <v>15</v>
      </c>
      <c r="E5" s="3" t="s">
        <v>16</v>
      </c>
      <c r="F5" s="5" t="s">
        <v>8</v>
      </c>
      <c r="G5" s="4" t="str">
        <f t="shared" si="1"/>
        <v>14th</v>
      </c>
      <c r="H5" s="4" t="str">
        <f t="shared" si="2"/>
        <v>October</v>
      </c>
      <c r="I5" s="4" t="str">
        <f t="shared" si="3"/>
        <v>2023</v>
      </c>
      <c r="J5" s="10" t="s">
        <v>12</v>
      </c>
    </row>
    <row r="6" spans="1:24" x14ac:dyDescent="0.35">
      <c r="A6" s="9" t="s">
        <v>5</v>
      </c>
      <c r="B6" s="3">
        <v>8</v>
      </c>
      <c r="C6" s="4" t="str">
        <f t="shared" si="0"/>
        <v>Good</v>
      </c>
      <c r="D6" s="3" t="s">
        <v>17</v>
      </c>
      <c r="E6" s="3" t="s">
        <v>18</v>
      </c>
      <c r="F6" s="5" t="s">
        <v>8</v>
      </c>
      <c r="G6" s="4" t="str">
        <f t="shared" si="1"/>
        <v>14th</v>
      </c>
      <c r="H6" s="4" t="str">
        <f t="shared" si="2"/>
        <v>October</v>
      </c>
      <c r="I6" s="4" t="str">
        <f t="shared" si="3"/>
        <v>2023</v>
      </c>
      <c r="J6" s="10" t="s">
        <v>9</v>
      </c>
    </row>
    <row r="7" spans="1:24" x14ac:dyDescent="0.35">
      <c r="A7" s="9" t="s">
        <v>5</v>
      </c>
      <c r="B7" s="3">
        <v>9</v>
      </c>
      <c r="C7" s="4" t="str">
        <f t="shared" si="0"/>
        <v>Good</v>
      </c>
      <c r="D7" s="3" t="s">
        <v>19</v>
      </c>
      <c r="E7" s="3" t="s">
        <v>20</v>
      </c>
      <c r="F7" s="5" t="s">
        <v>8</v>
      </c>
      <c r="G7" s="4" t="str">
        <f t="shared" si="1"/>
        <v>14th</v>
      </c>
      <c r="H7" s="4" t="str">
        <f t="shared" si="2"/>
        <v>October</v>
      </c>
      <c r="I7" s="4" t="str">
        <f>RIGHT(F7, 4)</f>
        <v>2023</v>
      </c>
      <c r="J7" s="10" t="s">
        <v>9</v>
      </c>
    </row>
    <row r="8" spans="1:24" x14ac:dyDescent="0.35">
      <c r="A8" s="9" t="s">
        <v>5</v>
      </c>
      <c r="B8" s="3">
        <v>10</v>
      </c>
      <c r="C8" s="4" t="str">
        <f t="shared" si="0"/>
        <v>Good</v>
      </c>
      <c r="D8" s="3" t="s">
        <v>21</v>
      </c>
      <c r="E8" s="3" t="s">
        <v>22</v>
      </c>
      <c r="F8" s="5" t="s">
        <v>8</v>
      </c>
      <c r="G8" s="4" t="str">
        <f t="shared" si="1"/>
        <v>14th</v>
      </c>
      <c r="H8" s="4" t="str">
        <f t="shared" si="2"/>
        <v>October</v>
      </c>
      <c r="I8" s="4" t="str">
        <f t="shared" si="3"/>
        <v>2023</v>
      </c>
      <c r="J8" s="10" t="s">
        <v>9</v>
      </c>
    </row>
    <row r="9" spans="1:24" x14ac:dyDescent="0.35">
      <c r="A9" s="9" t="s">
        <v>5</v>
      </c>
      <c r="B9" s="3">
        <v>10</v>
      </c>
      <c r="C9" s="4" t="str">
        <f t="shared" si="0"/>
        <v>Good</v>
      </c>
      <c r="D9" s="3" t="s">
        <v>23</v>
      </c>
      <c r="E9" s="3" t="s">
        <v>24</v>
      </c>
      <c r="F9" s="5" t="s">
        <v>8</v>
      </c>
      <c r="G9" s="4" t="str">
        <f t="shared" si="1"/>
        <v>14th</v>
      </c>
      <c r="H9" s="4" t="str">
        <f t="shared" si="2"/>
        <v>October</v>
      </c>
      <c r="I9" s="4" t="str">
        <f t="shared" si="3"/>
        <v>2023</v>
      </c>
      <c r="J9" s="10" t="s">
        <v>9</v>
      </c>
    </row>
    <row r="10" spans="1:24" x14ac:dyDescent="0.35">
      <c r="A10" s="9" t="s">
        <v>5</v>
      </c>
      <c r="B10" s="3">
        <v>1</v>
      </c>
      <c r="C10" s="4" t="str">
        <f t="shared" si="0"/>
        <v>Bad</v>
      </c>
      <c r="D10" s="3" t="s">
        <v>25</v>
      </c>
      <c r="E10" s="3" t="s">
        <v>26</v>
      </c>
      <c r="F10" s="5" t="s">
        <v>8</v>
      </c>
      <c r="G10" s="4" t="str">
        <f t="shared" si="1"/>
        <v>14th</v>
      </c>
      <c r="H10" s="4" t="str">
        <f t="shared" si="2"/>
        <v>October</v>
      </c>
      <c r="I10" s="4" t="str">
        <f t="shared" si="3"/>
        <v>2023</v>
      </c>
      <c r="J10" s="10" t="s">
        <v>12</v>
      </c>
    </row>
    <row r="11" spans="1:24" x14ac:dyDescent="0.35">
      <c r="A11" s="9" t="s">
        <v>5</v>
      </c>
      <c r="B11" s="3">
        <v>8</v>
      </c>
      <c r="C11" s="4" t="str">
        <f t="shared" si="0"/>
        <v>Good</v>
      </c>
      <c r="D11" s="3" t="s">
        <v>27</v>
      </c>
      <c r="E11" s="3" t="s">
        <v>28</v>
      </c>
      <c r="F11" s="5" t="s">
        <v>8</v>
      </c>
      <c r="G11" s="4" t="str">
        <f t="shared" si="1"/>
        <v>14th</v>
      </c>
      <c r="H11" s="4" t="str">
        <f t="shared" si="2"/>
        <v>October</v>
      </c>
      <c r="I11" s="4" t="str">
        <f t="shared" si="3"/>
        <v>2023</v>
      </c>
      <c r="J11" s="10" t="s">
        <v>9</v>
      </c>
    </row>
    <row r="12" spans="1:24" x14ac:dyDescent="0.35">
      <c r="A12" s="9" t="s">
        <v>5</v>
      </c>
      <c r="B12" s="3">
        <v>10</v>
      </c>
      <c r="C12" s="4" t="str">
        <f t="shared" si="0"/>
        <v>Good</v>
      </c>
      <c r="D12" s="3" t="s">
        <v>29</v>
      </c>
      <c r="E12" s="3" t="s">
        <v>30</v>
      </c>
      <c r="F12" s="5" t="s">
        <v>31</v>
      </c>
      <c r="G12" s="4" t="str">
        <f t="shared" si="1"/>
        <v>7th</v>
      </c>
      <c r="H12" s="4" t="str">
        <f t="shared" si="2"/>
        <v>April</v>
      </c>
      <c r="I12" s="4" t="str">
        <f t="shared" si="3"/>
        <v>2023</v>
      </c>
      <c r="J12" s="10" t="s">
        <v>9</v>
      </c>
    </row>
    <row r="13" spans="1:24" x14ac:dyDescent="0.35">
      <c r="A13" s="9" t="s">
        <v>5</v>
      </c>
      <c r="B13" s="3">
        <v>10</v>
      </c>
      <c r="C13" s="4" t="str">
        <f t="shared" si="0"/>
        <v>Good</v>
      </c>
      <c r="D13" s="3" t="s">
        <v>32</v>
      </c>
      <c r="E13" s="3" t="s">
        <v>33</v>
      </c>
      <c r="F13" s="5" t="s">
        <v>31</v>
      </c>
      <c r="G13" s="4" t="str">
        <f t="shared" si="1"/>
        <v>7th</v>
      </c>
      <c r="H13" s="4" t="str">
        <f t="shared" si="2"/>
        <v>April</v>
      </c>
      <c r="I13" s="4" t="str">
        <f t="shared" si="3"/>
        <v>2023</v>
      </c>
      <c r="J13" s="10" t="s">
        <v>9</v>
      </c>
    </row>
    <row r="14" spans="1:24" x14ac:dyDescent="0.35">
      <c r="A14" s="9" t="s">
        <v>5</v>
      </c>
      <c r="B14" s="3">
        <v>6</v>
      </c>
      <c r="C14" s="4" t="str">
        <f t="shared" si="0"/>
        <v>Neutral</v>
      </c>
      <c r="D14" s="3" t="s">
        <v>34</v>
      </c>
      <c r="E14" s="3" t="s">
        <v>35</v>
      </c>
      <c r="F14" s="5" t="s">
        <v>31</v>
      </c>
      <c r="G14" s="4" t="str">
        <f t="shared" si="1"/>
        <v>7th</v>
      </c>
      <c r="H14" s="4" t="str">
        <f t="shared" si="2"/>
        <v>April</v>
      </c>
      <c r="I14" s="4" t="str">
        <f t="shared" si="3"/>
        <v>2023</v>
      </c>
      <c r="J14" s="10" t="s">
        <v>9</v>
      </c>
    </row>
    <row r="15" spans="1:24" x14ac:dyDescent="0.35">
      <c r="A15" s="9" t="s">
        <v>5</v>
      </c>
      <c r="B15" s="3">
        <v>6</v>
      </c>
      <c r="C15" s="4" t="str">
        <f t="shared" si="0"/>
        <v>Neutral</v>
      </c>
      <c r="D15" s="3" t="s">
        <v>36</v>
      </c>
      <c r="E15" s="3" t="s">
        <v>35</v>
      </c>
      <c r="F15" s="5" t="s">
        <v>31</v>
      </c>
      <c r="G15" s="4" t="str">
        <f t="shared" si="1"/>
        <v>7th</v>
      </c>
      <c r="H15" s="4" t="str">
        <f t="shared" si="2"/>
        <v>April</v>
      </c>
      <c r="I15" s="4" t="str">
        <f t="shared" si="3"/>
        <v>2023</v>
      </c>
      <c r="J15" s="10" t="s">
        <v>12</v>
      </c>
    </row>
    <row r="16" spans="1:24" x14ac:dyDescent="0.35">
      <c r="A16" s="9" t="s">
        <v>5</v>
      </c>
      <c r="B16" s="3">
        <v>6</v>
      </c>
      <c r="C16" s="4" t="str">
        <f t="shared" si="0"/>
        <v>Neutral</v>
      </c>
      <c r="D16" s="3" t="s">
        <v>37</v>
      </c>
      <c r="E16" s="3" t="s">
        <v>35</v>
      </c>
      <c r="F16" s="5" t="s">
        <v>31</v>
      </c>
      <c r="G16" s="4" t="str">
        <f t="shared" si="1"/>
        <v>7th</v>
      </c>
      <c r="H16" s="4" t="str">
        <f t="shared" si="2"/>
        <v>April</v>
      </c>
      <c r="I16" s="4" t="str">
        <f t="shared" si="3"/>
        <v>2023</v>
      </c>
      <c r="J16" s="10" t="s">
        <v>12</v>
      </c>
    </row>
    <row r="17" spans="1:10" x14ac:dyDescent="0.35">
      <c r="A17" s="9" t="s">
        <v>5</v>
      </c>
      <c r="B17" s="3">
        <v>1</v>
      </c>
      <c r="C17" s="4" t="str">
        <f t="shared" si="0"/>
        <v>Bad</v>
      </c>
      <c r="D17" s="3" t="s">
        <v>38</v>
      </c>
      <c r="E17" s="3" t="s">
        <v>39</v>
      </c>
      <c r="F17" s="5" t="s">
        <v>31</v>
      </c>
      <c r="G17" s="4" t="str">
        <f t="shared" si="1"/>
        <v>7th</v>
      </c>
      <c r="H17" s="4" t="str">
        <f t="shared" si="2"/>
        <v>April</v>
      </c>
      <c r="I17" s="4" t="str">
        <f t="shared" si="3"/>
        <v>2023</v>
      </c>
      <c r="J17" s="10" t="s">
        <v>12</v>
      </c>
    </row>
    <row r="18" spans="1:10" x14ac:dyDescent="0.35">
      <c r="A18" s="9" t="s">
        <v>5</v>
      </c>
      <c r="B18" s="3">
        <v>1</v>
      </c>
      <c r="C18" s="4" t="str">
        <f t="shared" si="0"/>
        <v>Bad</v>
      </c>
      <c r="D18" s="3" t="s">
        <v>40</v>
      </c>
      <c r="E18" s="3" t="s">
        <v>41</v>
      </c>
      <c r="F18" s="5" t="s">
        <v>31</v>
      </c>
      <c r="G18" s="4" t="str">
        <f t="shared" si="1"/>
        <v>7th</v>
      </c>
      <c r="H18" s="4" t="str">
        <f t="shared" si="2"/>
        <v>April</v>
      </c>
      <c r="I18" s="4" t="str">
        <f t="shared" si="3"/>
        <v>2023</v>
      </c>
      <c r="J18" s="10" t="s">
        <v>12</v>
      </c>
    </row>
    <row r="19" spans="1:10" x14ac:dyDescent="0.35">
      <c r="A19" s="9" t="s">
        <v>5</v>
      </c>
      <c r="B19" s="3">
        <v>1</v>
      </c>
      <c r="C19" s="4" t="str">
        <f t="shared" si="0"/>
        <v>Bad</v>
      </c>
      <c r="D19" s="3" t="s">
        <v>42</v>
      </c>
      <c r="E19" s="3" t="s">
        <v>43</v>
      </c>
      <c r="F19" s="5" t="s">
        <v>31</v>
      </c>
      <c r="G19" s="4" t="str">
        <f t="shared" si="1"/>
        <v>7th</v>
      </c>
      <c r="H19" s="4" t="str">
        <f t="shared" si="2"/>
        <v>April</v>
      </c>
      <c r="I19" s="4" t="str">
        <f t="shared" si="3"/>
        <v>2023</v>
      </c>
      <c r="J19" s="10" t="s">
        <v>12</v>
      </c>
    </row>
    <row r="20" spans="1:10" x14ac:dyDescent="0.35">
      <c r="A20" s="9" t="s">
        <v>5</v>
      </c>
      <c r="B20" s="3">
        <v>1</v>
      </c>
      <c r="C20" s="4" t="str">
        <f t="shared" si="0"/>
        <v>Bad</v>
      </c>
      <c r="D20" s="3" t="s">
        <v>44</v>
      </c>
      <c r="E20" s="3" t="s">
        <v>45</v>
      </c>
      <c r="F20" s="5" t="s">
        <v>31</v>
      </c>
      <c r="G20" s="4" t="str">
        <f t="shared" si="1"/>
        <v>7th</v>
      </c>
      <c r="H20" s="4" t="str">
        <f t="shared" si="2"/>
        <v>April</v>
      </c>
      <c r="I20" s="4" t="str">
        <f t="shared" si="3"/>
        <v>2023</v>
      </c>
      <c r="J20" s="10" t="s">
        <v>12</v>
      </c>
    </row>
    <row r="21" spans="1:10" x14ac:dyDescent="0.35">
      <c r="A21" s="9" t="s">
        <v>5</v>
      </c>
      <c r="B21" s="3">
        <v>10</v>
      </c>
      <c r="C21" s="4" t="str">
        <f t="shared" si="0"/>
        <v>Good</v>
      </c>
      <c r="D21" s="3" t="s">
        <v>46</v>
      </c>
      <c r="E21" s="3" t="s">
        <v>47</v>
      </c>
      <c r="F21" s="5" t="s">
        <v>31</v>
      </c>
      <c r="G21" s="4" t="str">
        <f t="shared" si="1"/>
        <v>7th</v>
      </c>
      <c r="H21" s="4" t="str">
        <f t="shared" si="2"/>
        <v>April</v>
      </c>
      <c r="I21" s="4" t="str">
        <f t="shared" si="3"/>
        <v>2023</v>
      </c>
      <c r="J21" s="10" t="s">
        <v>9</v>
      </c>
    </row>
    <row r="22" spans="1:10" x14ac:dyDescent="0.35">
      <c r="A22" s="9" t="s">
        <v>5</v>
      </c>
      <c r="B22" s="3">
        <v>7</v>
      </c>
      <c r="C22" s="4" t="str">
        <f t="shared" si="0"/>
        <v>Neutral</v>
      </c>
      <c r="D22" s="3" t="s">
        <v>48</v>
      </c>
      <c r="E22" s="3" t="s">
        <v>49</v>
      </c>
      <c r="F22" s="5" t="s">
        <v>50</v>
      </c>
      <c r="G22" s="4" t="str">
        <f t="shared" si="1"/>
        <v>29th</v>
      </c>
      <c r="H22" s="4" t="str">
        <f t="shared" si="2"/>
        <v>September</v>
      </c>
      <c r="I22" s="4" t="str">
        <f t="shared" si="3"/>
        <v>2022</v>
      </c>
      <c r="J22" s="10" t="s">
        <v>9</v>
      </c>
    </row>
    <row r="23" spans="1:10" x14ac:dyDescent="0.35">
      <c r="A23" s="9" t="s">
        <v>5</v>
      </c>
      <c r="B23" s="3">
        <v>10</v>
      </c>
      <c r="C23" s="4" t="str">
        <f t="shared" si="0"/>
        <v>Good</v>
      </c>
      <c r="D23" s="3" t="s">
        <v>51</v>
      </c>
      <c r="E23" s="3" t="s">
        <v>52</v>
      </c>
      <c r="F23" s="5" t="s">
        <v>50</v>
      </c>
      <c r="G23" s="4" t="str">
        <f t="shared" si="1"/>
        <v>29th</v>
      </c>
      <c r="H23" s="4" t="str">
        <f t="shared" si="2"/>
        <v>September</v>
      </c>
      <c r="I23" s="4" t="str">
        <f t="shared" si="3"/>
        <v>2022</v>
      </c>
      <c r="J23" s="10" t="s">
        <v>9</v>
      </c>
    </row>
    <row r="24" spans="1:10" x14ac:dyDescent="0.35">
      <c r="A24" s="9" t="s">
        <v>5</v>
      </c>
      <c r="B24" s="3">
        <v>1</v>
      </c>
      <c r="C24" s="4" t="str">
        <f t="shared" si="0"/>
        <v>Bad</v>
      </c>
      <c r="D24" s="3" t="s">
        <v>53</v>
      </c>
      <c r="E24" s="3" t="s">
        <v>54</v>
      </c>
      <c r="F24" s="5" t="s">
        <v>50</v>
      </c>
      <c r="G24" s="4" t="str">
        <f t="shared" si="1"/>
        <v>29th</v>
      </c>
      <c r="H24" s="4" t="str">
        <f t="shared" si="2"/>
        <v>September</v>
      </c>
      <c r="I24" s="4" t="str">
        <f t="shared" si="3"/>
        <v>2022</v>
      </c>
      <c r="J24" s="10" t="s">
        <v>12</v>
      </c>
    </row>
    <row r="25" spans="1:10" x14ac:dyDescent="0.35">
      <c r="A25" s="9" t="s">
        <v>5</v>
      </c>
      <c r="B25" s="3">
        <v>10</v>
      </c>
      <c r="C25" s="4" t="str">
        <f t="shared" si="0"/>
        <v>Good</v>
      </c>
      <c r="D25" s="3" t="s">
        <v>55</v>
      </c>
      <c r="E25" s="3" t="s">
        <v>56</v>
      </c>
      <c r="F25" s="5" t="s">
        <v>50</v>
      </c>
      <c r="G25" s="4" t="str">
        <f t="shared" si="1"/>
        <v>29th</v>
      </c>
      <c r="H25" s="4" t="str">
        <f t="shared" si="2"/>
        <v>September</v>
      </c>
      <c r="I25" s="4" t="str">
        <f t="shared" si="3"/>
        <v>2022</v>
      </c>
      <c r="J25" s="10" t="s">
        <v>9</v>
      </c>
    </row>
    <row r="26" spans="1:10" x14ac:dyDescent="0.35">
      <c r="A26" s="9" t="s">
        <v>5</v>
      </c>
      <c r="B26" s="3">
        <v>9</v>
      </c>
      <c r="C26" s="4" t="str">
        <f t="shared" si="0"/>
        <v>Good</v>
      </c>
      <c r="D26" s="3" t="s">
        <v>57</v>
      </c>
      <c r="E26" s="3" t="s">
        <v>58</v>
      </c>
      <c r="F26" s="5" t="s">
        <v>50</v>
      </c>
      <c r="G26" s="4" t="str">
        <f t="shared" si="1"/>
        <v>29th</v>
      </c>
      <c r="H26" s="4" t="str">
        <f t="shared" si="2"/>
        <v>September</v>
      </c>
      <c r="I26" s="4" t="str">
        <f t="shared" si="3"/>
        <v>2022</v>
      </c>
      <c r="J26" s="10" t="s">
        <v>9</v>
      </c>
    </row>
    <row r="27" spans="1:10" x14ac:dyDescent="0.35">
      <c r="A27" s="9" t="s">
        <v>5</v>
      </c>
      <c r="B27" s="3">
        <v>2</v>
      </c>
      <c r="C27" s="4" t="str">
        <f t="shared" si="0"/>
        <v>Bad</v>
      </c>
      <c r="D27" s="3" t="s">
        <v>59</v>
      </c>
      <c r="E27" s="3" t="s">
        <v>60</v>
      </c>
      <c r="F27" s="5" t="s">
        <v>50</v>
      </c>
      <c r="G27" s="4" t="str">
        <f t="shared" si="1"/>
        <v>29th</v>
      </c>
      <c r="H27" s="4" t="str">
        <f t="shared" si="2"/>
        <v>September</v>
      </c>
      <c r="I27" s="4" t="str">
        <f t="shared" si="3"/>
        <v>2022</v>
      </c>
      <c r="J27" s="10" t="s">
        <v>12</v>
      </c>
    </row>
    <row r="28" spans="1:10" x14ac:dyDescent="0.35">
      <c r="A28" s="9" t="s">
        <v>5</v>
      </c>
      <c r="B28" s="3">
        <v>8</v>
      </c>
      <c r="C28" s="4" t="str">
        <f t="shared" si="0"/>
        <v>Good</v>
      </c>
      <c r="D28" s="3" t="s">
        <v>61</v>
      </c>
      <c r="E28" s="3" t="s">
        <v>62</v>
      </c>
      <c r="F28" s="5" t="s">
        <v>50</v>
      </c>
      <c r="G28" s="4" t="str">
        <f t="shared" si="1"/>
        <v>29th</v>
      </c>
      <c r="H28" s="4" t="str">
        <f t="shared" si="2"/>
        <v>September</v>
      </c>
      <c r="I28" s="4" t="str">
        <f t="shared" si="3"/>
        <v>2022</v>
      </c>
      <c r="J28" s="10" t="s">
        <v>9</v>
      </c>
    </row>
    <row r="29" spans="1:10" x14ac:dyDescent="0.35">
      <c r="A29" s="9" t="s">
        <v>5</v>
      </c>
      <c r="B29" s="3">
        <v>1</v>
      </c>
      <c r="C29" s="4" t="str">
        <f t="shared" si="0"/>
        <v>Bad</v>
      </c>
      <c r="D29" s="3" t="s">
        <v>63</v>
      </c>
      <c r="E29" s="3" t="s">
        <v>64</v>
      </c>
      <c r="F29" s="5" t="s">
        <v>50</v>
      </c>
      <c r="G29" s="4" t="str">
        <f t="shared" si="1"/>
        <v>29th</v>
      </c>
      <c r="H29" s="4" t="str">
        <f t="shared" si="2"/>
        <v>September</v>
      </c>
      <c r="I29" s="4" t="str">
        <f t="shared" si="3"/>
        <v>2022</v>
      </c>
      <c r="J29" s="10" t="s">
        <v>12</v>
      </c>
    </row>
    <row r="30" spans="1:10" x14ac:dyDescent="0.35">
      <c r="A30" s="9" t="s">
        <v>5</v>
      </c>
      <c r="B30" s="3">
        <v>9</v>
      </c>
      <c r="C30" s="4" t="str">
        <f t="shared" si="0"/>
        <v>Good</v>
      </c>
      <c r="D30" s="3" t="s">
        <v>65</v>
      </c>
      <c r="E30" s="3" t="s">
        <v>66</v>
      </c>
      <c r="F30" s="5" t="s">
        <v>50</v>
      </c>
      <c r="G30" s="4" t="str">
        <f t="shared" si="1"/>
        <v>29th</v>
      </c>
      <c r="H30" s="4" t="str">
        <f t="shared" si="2"/>
        <v>September</v>
      </c>
      <c r="I30" s="4" t="str">
        <f t="shared" si="3"/>
        <v>2022</v>
      </c>
      <c r="J30" s="10" t="s">
        <v>9</v>
      </c>
    </row>
    <row r="31" spans="1:10" x14ac:dyDescent="0.35">
      <c r="A31" s="9" t="s">
        <v>5</v>
      </c>
      <c r="B31" s="3">
        <v>10</v>
      </c>
      <c r="C31" s="4" t="str">
        <f t="shared" si="0"/>
        <v>Good</v>
      </c>
      <c r="D31" s="3" t="s">
        <v>67</v>
      </c>
      <c r="E31" s="3" t="s">
        <v>68</v>
      </c>
      <c r="F31" s="5" t="s">
        <v>50</v>
      </c>
      <c r="G31" s="4" t="str">
        <f t="shared" si="1"/>
        <v>29th</v>
      </c>
      <c r="H31" s="4" t="str">
        <f t="shared" si="2"/>
        <v>September</v>
      </c>
      <c r="I31" s="4" t="str">
        <f t="shared" si="3"/>
        <v>2022</v>
      </c>
      <c r="J31" s="10" t="s">
        <v>9</v>
      </c>
    </row>
    <row r="32" spans="1:10" x14ac:dyDescent="0.35">
      <c r="A32" s="9" t="s">
        <v>5</v>
      </c>
      <c r="B32" s="3">
        <v>1</v>
      </c>
      <c r="C32" s="4" t="str">
        <f t="shared" si="0"/>
        <v>Bad</v>
      </c>
      <c r="D32" s="3" t="s">
        <v>69</v>
      </c>
      <c r="E32" s="3" t="s">
        <v>70</v>
      </c>
      <c r="F32" s="5" t="s">
        <v>71</v>
      </c>
      <c r="G32" s="4" t="str">
        <f t="shared" si="1"/>
        <v>26th</v>
      </c>
      <c r="H32" s="4" t="str">
        <f t="shared" si="2"/>
        <v>June</v>
      </c>
      <c r="I32" s="4" t="str">
        <f t="shared" si="3"/>
        <v>2022</v>
      </c>
      <c r="J32" s="10" t="s">
        <v>12</v>
      </c>
    </row>
    <row r="33" spans="1:10" x14ac:dyDescent="0.35">
      <c r="A33" s="9" t="s">
        <v>5</v>
      </c>
      <c r="B33" s="3">
        <v>1</v>
      </c>
      <c r="C33" s="4" t="str">
        <f t="shared" si="0"/>
        <v>Bad</v>
      </c>
      <c r="D33" s="3" t="s">
        <v>72</v>
      </c>
      <c r="E33" s="3" t="s">
        <v>73</v>
      </c>
      <c r="F33" s="5" t="s">
        <v>71</v>
      </c>
      <c r="G33" s="4" t="str">
        <f t="shared" si="1"/>
        <v>26th</v>
      </c>
      <c r="H33" s="4" t="str">
        <f t="shared" si="2"/>
        <v>June</v>
      </c>
      <c r="I33" s="4" t="str">
        <f t="shared" si="3"/>
        <v>2022</v>
      </c>
      <c r="J33" s="10" t="s">
        <v>12</v>
      </c>
    </row>
    <row r="34" spans="1:10" x14ac:dyDescent="0.35">
      <c r="A34" s="9" t="s">
        <v>5</v>
      </c>
      <c r="B34" s="3">
        <v>1</v>
      </c>
      <c r="C34" s="4" t="str">
        <f t="shared" si="0"/>
        <v>Bad</v>
      </c>
      <c r="D34" s="3" t="s">
        <v>74</v>
      </c>
      <c r="E34" s="3" t="s">
        <v>75</v>
      </c>
      <c r="F34" s="5" t="s">
        <v>71</v>
      </c>
      <c r="G34" s="4" t="str">
        <f t="shared" si="1"/>
        <v>26th</v>
      </c>
      <c r="H34" s="4" t="str">
        <f t="shared" si="2"/>
        <v>June</v>
      </c>
      <c r="I34" s="4" t="str">
        <f t="shared" si="3"/>
        <v>2022</v>
      </c>
      <c r="J34" s="10" t="s">
        <v>12</v>
      </c>
    </row>
    <row r="35" spans="1:10" x14ac:dyDescent="0.35">
      <c r="A35" s="9" t="s">
        <v>5</v>
      </c>
      <c r="B35" s="3">
        <v>1</v>
      </c>
      <c r="C35" s="4" t="str">
        <f t="shared" si="0"/>
        <v>Bad</v>
      </c>
      <c r="D35" s="3" t="s">
        <v>76</v>
      </c>
      <c r="E35" s="3" t="s">
        <v>77</v>
      </c>
      <c r="F35" s="5" t="s">
        <v>71</v>
      </c>
      <c r="G35" s="4" t="str">
        <f t="shared" si="1"/>
        <v>26th</v>
      </c>
      <c r="H35" s="4" t="str">
        <f t="shared" si="2"/>
        <v>June</v>
      </c>
      <c r="I35" s="4" t="str">
        <f t="shared" si="3"/>
        <v>2022</v>
      </c>
      <c r="J35" s="10" t="s">
        <v>12</v>
      </c>
    </row>
    <row r="36" spans="1:10" x14ac:dyDescent="0.35">
      <c r="A36" s="9" t="s">
        <v>5</v>
      </c>
      <c r="B36" s="3">
        <v>1</v>
      </c>
      <c r="C36" s="4" t="str">
        <f t="shared" si="0"/>
        <v>Bad</v>
      </c>
      <c r="D36" s="3" t="s">
        <v>78</v>
      </c>
      <c r="E36" s="3" t="s">
        <v>79</v>
      </c>
      <c r="F36" s="5" t="s">
        <v>71</v>
      </c>
      <c r="G36" s="4" t="str">
        <f t="shared" si="1"/>
        <v>26th</v>
      </c>
      <c r="H36" s="4" t="str">
        <f t="shared" si="2"/>
        <v>June</v>
      </c>
      <c r="I36" s="4" t="str">
        <f t="shared" si="3"/>
        <v>2022</v>
      </c>
      <c r="J36" s="10" t="s">
        <v>12</v>
      </c>
    </row>
    <row r="37" spans="1:10" x14ac:dyDescent="0.35">
      <c r="A37" s="9" t="s">
        <v>5</v>
      </c>
      <c r="B37" s="3">
        <v>1</v>
      </c>
      <c r="C37" s="4" t="str">
        <f t="shared" si="0"/>
        <v>Bad</v>
      </c>
      <c r="D37" s="3" t="s">
        <v>80</v>
      </c>
      <c r="E37" s="3" t="s">
        <v>81</v>
      </c>
      <c r="F37" s="5" t="s">
        <v>71</v>
      </c>
      <c r="G37" s="4" t="str">
        <f t="shared" si="1"/>
        <v>26th</v>
      </c>
      <c r="H37" s="4" t="str">
        <f t="shared" si="2"/>
        <v>June</v>
      </c>
      <c r="I37" s="4" t="str">
        <f t="shared" si="3"/>
        <v>2022</v>
      </c>
      <c r="J37" s="10" t="s">
        <v>12</v>
      </c>
    </row>
    <row r="38" spans="1:10" x14ac:dyDescent="0.35">
      <c r="A38" s="9" t="s">
        <v>5</v>
      </c>
      <c r="B38" s="3">
        <v>9</v>
      </c>
      <c r="C38" s="4" t="str">
        <f t="shared" si="0"/>
        <v>Good</v>
      </c>
      <c r="D38" s="3" t="s">
        <v>82</v>
      </c>
      <c r="E38" s="3" t="s">
        <v>83</v>
      </c>
      <c r="F38" s="5" t="s">
        <v>71</v>
      </c>
      <c r="G38" s="4" t="str">
        <f t="shared" si="1"/>
        <v>26th</v>
      </c>
      <c r="H38" s="4" t="str">
        <f t="shared" si="2"/>
        <v>June</v>
      </c>
      <c r="I38" s="4" t="str">
        <f t="shared" si="3"/>
        <v>2022</v>
      </c>
      <c r="J38" s="10" t="s">
        <v>9</v>
      </c>
    </row>
    <row r="39" spans="1:10" x14ac:dyDescent="0.35">
      <c r="A39" s="9" t="s">
        <v>5</v>
      </c>
      <c r="B39" s="3">
        <v>1</v>
      </c>
      <c r="C39" s="4" t="str">
        <f t="shared" si="0"/>
        <v>Bad</v>
      </c>
      <c r="D39" s="3" t="s">
        <v>84</v>
      </c>
      <c r="E39" s="3" t="s">
        <v>85</v>
      </c>
      <c r="F39" s="5" t="s">
        <v>71</v>
      </c>
      <c r="G39" s="4" t="str">
        <f t="shared" si="1"/>
        <v>26th</v>
      </c>
      <c r="H39" s="4" t="str">
        <f t="shared" si="2"/>
        <v>June</v>
      </c>
      <c r="I39" s="4" t="str">
        <f t="shared" si="3"/>
        <v>2022</v>
      </c>
      <c r="J39" s="10" t="s">
        <v>12</v>
      </c>
    </row>
    <row r="40" spans="1:10" x14ac:dyDescent="0.35">
      <c r="A40" s="9" t="s">
        <v>5</v>
      </c>
      <c r="B40" s="3">
        <v>9</v>
      </c>
      <c r="C40" s="4" t="str">
        <f t="shared" si="0"/>
        <v>Good</v>
      </c>
      <c r="D40" s="3" t="s">
        <v>86</v>
      </c>
      <c r="E40" s="3" t="s">
        <v>87</v>
      </c>
      <c r="F40" s="5" t="s">
        <v>71</v>
      </c>
      <c r="G40" s="4" t="str">
        <f t="shared" si="1"/>
        <v>26th</v>
      </c>
      <c r="H40" s="4" t="str">
        <f t="shared" si="2"/>
        <v>June</v>
      </c>
      <c r="I40" s="4" t="str">
        <f t="shared" si="3"/>
        <v>2022</v>
      </c>
      <c r="J40" s="10" t="s">
        <v>9</v>
      </c>
    </row>
    <row r="41" spans="1:10" x14ac:dyDescent="0.35">
      <c r="A41" s="9" t="s">
        <v>5</v>
      </c>
      <c r="B41" s="3">
        <v>1</v>
      </c>
      <c r="C41" s="4" t="str">
        <f t="shared" si="0"/>
        <v>Bad</v>
      </c>
      <c r="D41" s="3" t="s">
        <v>88</v>
      </c>
      <c r="E41" s="3" t="s">
        <v>89</v>
      </c>
      <c r="F41" s="5" t="s">
        <v>71</v>
      </c>
      <c r="G41" s="4" t="str">
        <f t="shared" si="1"/>
        <v>26th</v>
      </c>
      <c r="H41" s="4" t="str">
        <f t="shared" si="2"/>
        <v>June</v>
      </c>
      <c r="I41" s="4" t="str">
        <f t="shared" si="3"/>
        <v>2022</v>
      </c>
      <c r="J41" s="10" t="s">
        <v>12</v>
      </c>
    </row>
    <row r="42" spans="1:10" x14ac:dyDescent="0.35">
      <c r="A42" s="9" t="s">
        <v>5</v>
      </c>
      <c r="B42" s="3">
        <v>1</v>
      </c>
      <c r="C42" s="4" t="str">
        <f t="shared" si="0"/>
        <v>Bad</v>
      </c>
      <c r="D42" s="3" t="s">
        <v>90</v>
      </c>
      <c r="E42" s="3" t="s">
        <v>91</v>
      </c>
      <c r="F42" s="5" t="s">
        <v>92</v>
      </c>
      <c r="G42" s="4" t="str">
        <f t="shared" si="1"/>
        <v>11th</v>
      </c>
      <c r="H42" s="4" t="str">
        <f t="shared" si="2"/>
        <v>December</v>
      </c>
      <c r="I42" s="4" t="str">
        <f t="shared" si="3"/>
        <v>2021</v>
      </c>
      <c r="J42" s="10" t="s">
        <v>12</v>
      </c>
    </row>
    <row r="43" spans="1:10" x14ac:dyDescent="0.35">
      <c r="A43" s="9" t="s">
        <v>5</v>
      </c>
      <c r="B43" s="3">
        <v>1</v>
      </c>
      <c r="C43" s="4" t="str">
        <f t="shared" si="0"/>
        <v>Bad</v>
      </c>
      <c r="D43" s="3" t="s">
        <v>93</v>
      </c>
      <c r="E43" s="3" t="s">
        <v>94</v>
      </c>
      <c r="F43" s="5" t="s">
        <v>92</v>
      </c>
      <c r="G43" s="4" t="str">
        <f t="shared" si="1"/>
        <v>11th</v>
      </c>
      <c r="H43" s="4" t="str">
        <f t="shared" si="2"/>
        <v>December</v>
      </c>
      <c r="I43" s="4" t="str">
        <f t="shared" si="3"/>
        <v>2021</v>
      </c>
      <c r="J43" s="10" t="s">
        <v>12</v>
      </c>
    </row>
    <row r="44" spans="1:10" x14ac:dyDescent="0.35">
      <c r="A44" s="9" t="s">
        <v>5</v>
      </c>
      <c r="B44" s="3">
        <v>1</v>
      </c>
      <c r="C44" s="4" t="str">
        <f t="shared" si="0"/>
        <v>Bad</v>
      </c>
      <c r="D44" s="3" t="s">
        <v>95</v>
      </c>
      <c r="E44" s="3" t="s">
        <v>96</v>
      </c>
      <c r="F44" s="5" t="s">
        <v>92</v>
      </c>
      <c r="G44" s="4" t="str">
        <f t="shared" si="1"/>
        <v>11th</v>
      </c>
      <c r="H44" s="4" t="str">
        <f t="shared" si="2"/>
        <v>December</v>
      </c>
      <c r="I44" s="4" t="str">
        <f t="shared" si="3"/>
        <v>2021</v>
      </c>
      <c r="J44" s="10" t="s">
        <v>12</v>
      </c>
    </row>
    <row r="45" spans="1:10" x14ac:dyDescent="0.35">
      <c r="A45" s="9" t="s">
        <v>5</v>
      </c>
      <c r="B45" s="3">
        <v>1</v>
      </c>
      <c r="C45" s="4" t="str">
        <f t="shared" si="0"/>
        <v>Bad</v>
      </c>
      <c r="D45" s="3" t="s">
        <v>97</v>
      </c>
      <c r="E45" s="3" t="s">
        <v>98</v>
      </c>
      <c r="F45" s="5" t="s">
        <v>92</v>
      </c>
      <c r="G45" s="4" t="str">
        <f t="shared" si="1"/>
        <v>11th</v>
      </c>
      <c r="H45" s="4" t="str">
        <f t="shared" si="2"/>
        <v>December</v>
      </c>
      <c r="I45" s="4" t="str">
        <f t="shared" si="3"/>
        <v>2021</v>
      </c>
      <c r="J45" s="10" t="s">
        <v>12</v>
      </c>
    </row>
    <row r="46" spans="1:10" x14ac:dyDescent="0.35">
      <c r="A46" s="9" t="s">
        <v>5</v>
      </c>
      <c r="B46" s="3">
        <v>8</v>
      </c>
      <c r="C46" s="4" t="str">
        <f t="shared" si="0"/>
        <v>Good</v>
      </c>
      <c r="D46" s="3" t="s">
        <v>99</v>
      </c>
      <c r="E46" s="3" t="s">
        <v>100</v>
      </c>
      <c r="F46" s="5" t="s">
        <v>92</v>
      </c>
      <c r="G46" s="4" t="str">
        <f t="shared" si="1"/>
        <v>11th</v>
      </c>
      <c r="H46" s="4" t="str">
        <f t="shared" si="2"/>
        <v>December</v>
      </c>
      <c r="I46" s="4" t="str">
        <f t="shared" si="3"/>
        <v>2021</v>
      </c>
      <c r="J46" s="10" t="s">
        <v>9</v>
      </c>
    </row>
    <row r="47" spans="1:10" x14ac:dyDescent="0.35">
      <c r="A47" s="9" t="s">
        <v>5</v>
      </c>
      <c r="B47" s="3">
        <v>1</v>
      </c>
      <c r="C47" s="4" t="str">
        <f t="shared" si="0"/>
        <v>Bad</v>
      </c>
      <c r="D47" s="3" t="s">
        <v>101</v>
      </c>
      <c r="E47" s="3" t="s">
        <v>102</v>
      </c>
      <c r="F47" s="5" t="s">
        <v>92</v>
      </c>
      <c r="G47" s="4" t="str">
        <f t="shared" si="1"/>
        <v>11th</v>
      </c>
      <c r="H47" s="4" t="str">
        <f t="shared" si="2"/>
        <v>December</v>
      </c>
      <c r="I47" s="4" t="str">
        <f t="shared" si="3"/>
        <v>2021</v>
      </c>
      <c r="J47" s="10" t="s">
        <v>12</v>
      </c>
    </row>
    <row r="48" spans="1:10" x14ac:dyDescent="0.35">
      <c r="A48" s="9" t="s">
        <v>5</v>
      </c>
      <c r="B48" s="3">
        <v>8</v>
      </c>
      <c r="C48" s="4" t="str">
        <f t="shared" si="0"/>
        <v>Good</v>
      </c>
      <c r="D48" s="3" t="s">
        <v>103</v>
      </c>
      <c r="E48" s="3" t="s">
        <v>104</v>
      </c>
      <c r="F48" s="5" t="s">
        <v>92</v>
      </c>
      <c r="G48" s="4" t="str">
        <f t="shared" si="1"/>
        <v>11th</v>
      </c>
      <c r="H48" s="4" t="str">
        <f t="shared" si="2"/>
        <v>December</v>
      </c>
      <c r="I48" s="4" t="str">
        <f t="shared" si="3"/>
        <v>2021</v>
      </c>
      <c r="J48" s="10" t="s">
        <v>9</v>
      </c>
    </row>
    <row r="49" spans="1:10" x14ac:dyDescent="0.35">
      <c r="A49" s="9" t="s">
        <v>5</v>
      </c>
      <c r="B49" s="3">
        <v>1</v>
      </c>
      <c r="C49" s="4" t="str">
        <f t="shared" si="0"/>
        <v>Bad</v>
      </c>
      <c r="D49" s="3" t="s">
        <v>105</v>
      </c>
      <c r="E49" s="3" t="s">
        <v>106</v>
      </c>
      <c r="F49" s="5" t="s">
        <v>92</v>
      </c>
      <c r="G49" s="4" t="str">
        <f t="shared" si="1"/>
        <v>11th</v>
      </c>
      <c r="H49" s="4" t="str">
        <f t="shared" si="2"/>
        <v>December</v>
      </c>
      <c r="I49" s="4" t="str">
        <f t="shared" si="3"/>
        <v>2021</v>
      </c>
      <c r="J49" s="10" t="s">
        <v>12</v>
      </c>
    </row>
    <row r="50" spans="1:10" x14ac:dyDescent="0.35">
      <c r="A50" s="9" t="s">
        <v>5</v>
      </c>
      <c r="B50" s="3">
        <v>1</v>
      </c>
      <c r="C50" s="4" t="str">
        <f t="shared" si="0"/>
        <v>Bad</v>
      </c>
      <c r="D50" s="3" t="s">
        <v>107</v>
      </c>
      <c r="E50" s="3" t="s">
        <v>108</v>
      </c>
      <c r="F50" s="5" t="s">
        <v>92</v>
      </c>
      <c r="G50" s="4" t="str">
        <f t="shared" si="1"/>
        <v>11th</v>
      </c>
      <c r="H50" s="4" t="str">
        <f t="shared" si="2"/>
        <v>December</v>
      </c>
      <c r="I50" s="4" t="str">
        <f t="shared" si="3"/>
        <v>2021</v>
      </c>
      <c r="J50" s="10" t="s">
        <v>12</v>
      </c>
    </row>
    <row r="51" spans="1:10" x14ac:dyDescent="0.35">
      <c r="A51" s="9" t="s">
        <v>5</v>
      </c>
      <c r="B51" s="3">
        <v>10</v>
      </c>
      <c r="C51" s="4" t="str">
        <f t="shared" si="0"/>
        <v>Good</v>
      </c>
      <c r="D51" s="3" t="s">
        <v>109</v>
      </c>
      <c r="E51" s="3" t="s">
        <v>110</v>
      </c>
      <c r="F51" s="5" t="s">
        <v>92</v>
      </c>
      <c r="G51" s="4" t="str">
        <f t="shared" si="1"/>
        <v>11th</v>
      </c>
      <c r="H51" s="4" t="str">
        <f t="shared" si="2"/>
        <v>December</v>
      </c>
      <c r="I51" s="4" t="str">
        <f t="shared" si="3"/>
        <v>2021</v>
      </c>
      <c r="J51" s="10" t="s">
        <v>9</v>
      </c>
    </row>
    <row r="52" spans="1:10" x14ac:dyDescent="0.35">
      <c r="A52" s="9" t="s">
        <v>5</v>
      </c>
      <c r="B52" s="3">
        <v>9</v>
      </c>
      <c r="C52" s="4" t="str">
        <f t="shared" si="0"/>
        <v>Good</v>
      </c>
      <c r="D52" s="3" t="s">
        <v>111</v>
      </c>
      <c r="E52" s="3" t="s">
        <v>112</v>
      </c>
      <c r="F52" s="5" t="s">
        <v>113</v>
      </c>
      <c r="G52" s="4" t="str">
        <f t="shared" si="1"/>
        <v>26th</v>
      </c>
      <c r="H52" s="4" t="str">
        <f t="shared" si="2"/>
        <v>February</v>
      </c>
      <c r="I52" s="4" t="str">
        <f t="shared" si="3"/>
        <v>2021</v>
      </c>
      <c r="J52" s="10" t="s">
        <v>9</v>
      </c>
    </row>
    <row r="53" spans="1:10" x14ac:dyDescent="0.35">
      <c r="A53" s="9" t="s">
        <v>5</v>
      </c>
      <c r="B53" s="3">
        <v>10</v>
      </c>
      <c r="C53" s="4" t="str">
        <f t="shared" si="0"/>
        <v>Good</v>
      </c>
      <c r="D53" s="3" t="s">
        <v>114</v>
      </c>
      <c r="E53" s="3" t="s">
        <v>115</v>
      </c>
      <c r="F53" s="5" t="s">
        <v>113</v>
      </c>
      <c r="G53" s="4" t="str">
        <f t="shared" si="1"/>
        <v>26th</v>
      </c>
      <c r="H53" s="4" t="str">
        <f t="shared" si="2"/>
        <v>February</v>
      </c>
      <c r="I53" s="4" t="str">
        <f t="shared" si="3"/>
        <v>2021</v>
      </c>
      <c r="J53" s="10" t="s">
        <v>9</v>
      </c>
    </row>
    <row r="54" spans="1:10" x14ac:dyDescent="0.35">
      <c r="A54" s="9" t="s">
        <v>5</v>
      </c>
      <c r="B54" s="3">
        <v>1</v>
      </c>
      <c r="C54" s="4" t="str">
        <f t="shared" si="0"/>
        <v>Bad</v>
      </c>
      <c r="D54" s="3" t="s">
        <v>116</v>
      </c>
      <c r="E54" s="3" t="s">
        <v>117</v>
      </c>
      <c r="F54" s="5" t="s">
        <v>113</v>
      </c>
      <c r="G54" s="4" t="str">
        <f t="shared" si="1"/>
        <v>26th</v>
      </c>
      <c r="H54" s="4" t="str">
        <f t="shared" si="2"/>
        <v>February</v>
      </c>
      <c r="I54" s="4" t="str">
        <f t="shared" si="3"/>
        <v>2021</v>
      </c>
      <c r="J54" s="10" t="s">
        <v>12</v>
      </c>
    </row>
    <row r="55" spans="1:10" x14ac:dyDescent="0.35">
      <c r="A55" s="9" t="s">
        <v>5</v>
      </c>
      <c r="B55" s="3">
        <v>1</v>
      </c>
      <c r="C55" s="4" t="str">
        <f t="shared" si="0"/>
        <v>Bad</v>
      </c>
      <c r="D55" s="3" t="s">
        <v>118</v>
      </c>
      <c r="E55" s="3" t="s">
        <v>119</v>
      </c>
      <c r="F55" s="5" t="s">
        <v>113</v>
      </c>
      <c r="G55" s="4" t="str">
        <f t="shared" si="1"/>
        <v>26th</v>
      </c>
      <c r="H55" s="4" t="str">
        <f t="shared" si="2"/>
        <v>February</v>
      </c>
      <c r="I55" s="4" t="str">
        <f t="shared" si="3"/>
        <v>2021</v>
      </c>
      <c r="J55" s="10" t="s">
        <v>12</v>
      </c>
    </row>
    <row r="56" spans="1:10" x14ac:dyDescent="0.35">
      <c r="A56" s="9" t="s">
        <v>5</v>
      </c>
      <c r="B56" s="3">
        <v>1</v>
      </c>
      <c r="C56" s="4" t="str">
        <f t="shared" si="0"/>
        <v>Bad</v>
      </c>
      <c r="D56" s="3" t="s">
        <v>120</v>
      </c>
      <c r="E56" s="3" t="s">
        <v>121</v>
      </c>
      <c r="F56" s="5" t="s">
        <v>113</v>
      </c>
      <c r="G56" s="4" t="str">
        <f t="shared" si="1"/>
        <v>26th</v>
      </c>
      <c r="H56" s="4" t="str">
        <f t="shared" si="2"/>
        <v>February</v>
      </c>
      <c r="I56" s="4" t="str">
        <f t="shared" si="3"/>
        <v>2021</v>
      </c>
      <c r="J56" s="10" t="s">
        <v>12</v>
      </c>
    </row>
    <row r="57" spans="1:10" x14ac:dyDescent="0.35">
      <c r="A57" s="9" t="s">
        <v>5</v>
      </c>
      <c r="B57" s="3">
        <v>1</v>
      </c>
      <c r="C57" s="4" t="str">
        <f t="shared" si="0"/>
        <v>Bad</v>
      </c>
      <c r="D57" s="3" t="s">
        <v>122</v>
      </c>
      <c r="E57" s="3" t="s">
        <v>123</v>
      </c>
      <c r="F57" s="5" t="s">
        <v>113</v>
      </c>
      <c r="G57" s="4" t="str">
        <f t="shared" si="1"/>
        <v>26th</v>
      </c>
      <c r="H57" s="4" t="str">
        <f t="shared" si="2"/>
        <v>February</v>
      </c>
      <c r="I57" s="4" t="str">
        <f t="shared" si="3"/>
        <v>2021</v>
      </c>
      <c r="J57" s="10" t="s">
        <v>12</v>
      </c>
    </row>
    <row r="58" spans="1:10" x14ac:dyDescent="0.35">
      <c r="A58" s="9" t="s">
        <v>5</v>
      </c>
      <c r="B58" s="3">
        <v>1</v>
      </c>
      <c r="C58" s="4" t="str">
        <f t="shared" si="0"/>
        <v>Bad</v>
      </c>
      <c r="D58" s="3" t="s">
        <v>124</v>
      </c>
      <c r="E58" s="3" t="s">
        <v>125</v>
      </c>
      <c r="F58" s="5" t="s">
        <v>113</v>
      </c>
      <c r="G58" s="4" t="str">
        <f t="shared" si="1"/>
        <v>26th</v>
      </c>
      <c r="H58" s="4" t="str">
        <f t="shared" si="2"/>
        <v>February</v>
      </c>
      <c r="I58" s="4" t="str">
        <f t="shared" si="3"/>
        <v>2021</v>
      </c>
      <c r="J58" s="10" t="s">
        <v>12</v>
      </c>
    </row>
    <row r="59" spans="1:10" x14ac:dyDescent="0.35">
      <c r="A59" s="9" t="s">
        <v>5</v>
      </c>
      <c r="B59" s="3">
        <v>1</v>
      </c>
      <c r="C59" s="4" t="str">
        <f t="shared" si="0"/>
        <v>Bad</v>
      </c>
      <c r="D59" s="3" t="s">
        <v>126</v>
      </c>
      <c r="E59" s="3" t="s">
        <v>127</v>
      </c>
      <c r="F59" s="5" t="s">
        <v>113</v>
      </c>
      <c r="G59" s="4" t="str">
        <f t="shared" si="1"/>
        <v>26th</v>
      </c>
      <c r="H59" s="4" t="str">
        <f t="shared" si="2"/>
        <v>February</v>
      </c>
      <c r="I59" s="4" t="str">
        <f t="shared" si="3"/>
        <v>2021</v>
      </c>
      <c r="J59" s="10" t="s">
        <v>12</v>
      </c>
    </row>
    <row r="60" spans="1:10" x14ac:dyDescent="0.35">
      <c r="A60" s="9" t="s">
        <v>5</v>
      </c>
      <c r="B60" s="3">
        <v>1</v>
      </c>
      <c r="C60" s="4" t="str">
        <f t="shared" si="0"/>
        <v>Bad</v>
      </c>
      <c r="D60" s="3" t="s">
        <v>128</v>
      </c>
      <c r="E60" s="3" t="s">
        <v>129</v>
      </c>
      <c r="F60" s="5" t="s">
        <v>113</v>
      </c>
      <c r="G60" s="4" t="str">
        <f t="shared" si="1"/>
        <v>26th</v>
      </c>
      <c r="H60" s="4" t="str">
        <f t="shared" si="2"/>
        <v>February</v>
      </c>
      <c r="I60" s="4" t="str">
        <f t="shared" si="3"/>
        <v>2021</v>
      </c>
      <c r="J60" s="10" t="s">
        <v>12</v>
      </c>
    </row>
    <row r="61" spans="1:10" x14ac:dyDescent="0.35">
      <c r="A61" s="9" t="s">
        <v>5</v>
      </c>
      <c r="B61" s="3">
        <v>10</v>
      </c>
      <c r="C61" s="4" t="str">
        <f t="shared" si="0"/>
        <v>Good</v>
      </c>
      <c r="D61" s="3" t="s">
        <v>130</v>
      </c>
      <c r="E61" s="3" t="s">
        <v>131</v>
      </c>
      <c r="F61" s="5" t="s">
        <v>113</v>
      </c>
      <c r="G61" s="4" t="str">
        <f t="shared" si="1"/>
        <v>26th</v>
      </c>
      <c r="H61" s="4" t="str">
        <f t="shared" si="2"/>
        <v>February</v>
      </c>
      <c r="I61" s="4" t="str">
        <f t="shared" si="3"/>
        <v>2021</v>
      </c>
      <c r="J61" s="10" t="s">
        <v>9</v>
      </c>
    </row>
    <row r="62" spans="1:10" x14ac:dyDescent="0.35">
      <c r="A62" s="9" t="s">
        <v>5</v>
      </c>
      <c r="B62" s="3">
        <v>1</v>
      </c>
      <c r="C62" s="4" t="str">
        <f t="shared" si="0"/>
        <v>Bad</v>
      </c>
      <c r="D62" s="3" t="s">
        <v>132</v>
      </c>
      <c r="E62" s="3" t="s">
        <v>133</v>
      </c>
      <c r="F62" s="5" t="s">
        <v>134</v>
      </c>
      <c r="G62" s="4" t="str">
        <f t="shared" si="1"/>
        <v>17th</v>
      </c>
      <c r="H62" s="4" t="str">
        <f t="shared" si="2"/>
        <v>February</v>
      </c>
      <c r="I62" s="4" t="str">
        <f t="shared" si="3"/>
        <v>2020</v>
      </c>
      <c r="J62" s="10" t="s">
        <v>12</v>
      </c>
    </row>
    <row r="63" spans="1:10" x14ac:dyDescent="0.35">
      <c r="A63" s="9" t="s">
        <v>5</v>
      </c>
      <c r="B63" s="3">
        <v>9</v>
      </c>
      <c r="C63" s="4" t="str">
        <f t="shared" si="0"/>
        <v>Good</v>
      </c>
      <c r="D63" s="3" t="s">
        <v>135</v>
      </c>
      <c r="E63" s="3" t="s">
        <v>136</v>
      </c>
      <c r="F63" s="5" t="s">
        <v>134</v>
      </c>
      <c r="G63" s="4" t="str">
        <f t="shared" si="1"/>
        <v>17th</v>
      </c>
      <c r="H63" s="4" t="str">
        <f t="shared" si="2"/>
        <v>February</v>
      </c>
      <c r="I63" s="4" t="str">
        <f t="shared" si="3"/>
        <v>2020</v>
      </c>
      <c r="J63" s="10" t="s">
        <v>9</v>
      </c>
    </row>
    <row r="64" spans="1:10" x14ac:dyDescent="0.35">
      <c r="A64" s="9" t="s">
        <v>5</v>
      </c>
      <c r="B64" s="3">
        <v>5</v>
      </c>
      <c r="C64" s="4" t="str">
        <f t="shared" si="0"/>
        <v>Neutral</v>
      </c>
      <c r="D64" s="3" t="s">
        <v>137</v>
      </c>
      <c r="E64" s="3" t="s">
        <v>138</v>
      </c>
      <c r="F64" s="5" t="s">
        <v>134</v>
      </c>
      <c r="G64" s="4" t="str">
        <f t="shared" si="1"/>
        <v>17th</v>
      </c>
      <c r="H64" s="4" t="str">
        <f t="shared" si="2"/>
        <v>February</v>
      </c>
      <c r="I64" s="4" t="str">
        <f t="shared" si="3"/>
        <v>2020</v>
      </c>
      <c r="J64" s="10" t="s">
        <v>12</v>
      </c>
    </row>
    <row r="65" spans="1:10" x14ac:dyDescent="0.35">
      <c r="A65" s="9" t="s">
        <v>5</v>
      </c>
      <c r="B65" s="3">
        <v>3</v>
      </c>
      <c r="C65" s="4" t="str">
        <f t="shared" si="0"/>
        <v>Bad</v>
      </c>
      <c r="D65" s="3" t="s">
        <v>139</v>
      </c>
      <c r="E65" s="3" t="s">
        <v>140</v>
      </c>
      <c r="F65" s="5" t="s">
        <v>134</v>
      </c>
      <c r="G65" s="4" t="str">
        <f t="shared" si="1"/>
        <v>17th</v>
      </c>
      <c r="H65" s="4" t="str">
        <f t="shared" si="2"/>
        <v>February</v>
      </c>
      <c r="I65" s="4" t="str">
        <f t="shared" si="3"/>
        <v>2020</v>
      </c>
      <c r="J65" s="10" t="s">
        <v>12</v>
      </c>
    </row>
    <row r="66" spans="1:10" x14ac:dyDescent="0.35">
      <c r="A66" s="9" t="s">
        <v>5</v>
      </c>
      <c r="B66" s="3">
        <v>1</v>
      </c>
      <c r="C66" s="4" t="str">
        <f t="shared" si="0"/>
        <v>Bad</v>
      </c>
      <c r="D66" s="3" t="s">
        <v>141</v>
      </c>
      <c r="E66" s="3" t="s">
        <v>142</v>
      </c>
      <c r="F66" s="5" t="s">
        <v>134</v>
      </c>
      <c r="G66" s="4" t="str">
        <f t="shared" si="1"/>
        <v>17th</v>
      </c>
      <c r="H66" s="4" t="str">
        <f t="shared" si="2"/>
        <v>February</v>
      </c>
      <c r="I66" s="4" t="str">
        <f t="shared" si="3"/>
        <v>2020</v>
      </c>
      <c r="J66" s="10" t="s">
        <v>12</v>
      </c>
    </row>
    <row r="67" spans="1:10" x14ac:dyDescent="0.35">
      <c r="A67" s="9" t="s">
        <v>5</v>
      </c>
      <c r="B67" s="3">
        <v>1</v>
      </c>
      <c r="C67" s="4" t="str">
        <f t="shared" ref="C67:C130" si="4">IF(B67&gt;=8,"Good",IF(B67&gt;=5,"Neutral","Bad"))</f>
        <v>Bad</v>
      </c>
      <c r="D67" s="3" t="s">
        <v>143</v>
      </c>
      <c r="E67" s="3" t="s">
        <v>144</v>
      </c>
      <c r="F67" s="5" t="s">
        <v>134</v>
      </c>
      <c r="G67" s="4" t="str">
        <f t="shared" ref="G67:G130" si="5">LEFT(F67, FIND(" ", F67)-1)</f>
        <v>17th</v>
      </c>
      <c r="H67" s="4" t="str">
        <f t="shared" ref="H67:H130" si="6">TRIM(MID(F67, FIND(" ", F67)+1, FIND(" ", F67, FIND(" ", F67)+1) - FIND(" ", F67)-1))</f>
        <v>February</v>
      </c>
      <c r="I67" s="4" t="str">
        <f t="shared" ref="I67:I130" si="7">RIGHT(F67, 4)</f>
        <v>2020</v>
      </c>
      <c r="J67" s="10" t="s">
        <v>12</v>
      </c>
    </row>
    <row r="68" spans="1:10" x14ac:dyDescent="0.35">
      <c r="A68" s="9" t="s">
        <v>5</v>
      </c>
      <c r="B68" s="3">
        <v>1</v>
      </c>
      <c r="C68" s="4" t="str">
        <f t="shared" si="4"/>
        <v>Bad</v>
      </c>
      <c r="D68" s="3" t="s">
        <v>145</v>
      </c>
      <c r="E68" s="3" t="s">
        <v>146</v>
      </c>
      <c r="F68" s="5" t="s">
        <v>134</v>
      </c>
      <c r="G68" s="4" t="str">
        <f t="shared" si="5"/>
        <v>17th</v>
      </c>
      <c r="H68" s="4" t="str">
        <f t="shared" si="6"/>
        <v>February</v>
      </c>
      <c r="I68" s="4" t="str">
        <f t="shared" si="7"/>
        <v>2020</v>
      </c>
      <c r="J68" s="10" t="s">
        <v>12</v>
      </c>
    </row>
    <row r="69" spans="1:10" x14ac:dyDescent="0.35">
      <c r="A69" s="9" t="s">
        <v>5</v>
      </c>
      <c r="B69" s="3">
        <v>4</v>
      </c>
      <c r="C69" s="4" t="str">
        <f t="shared" si="4"/>
        <v>Bad</v>
      </c>
      <c r="D69" s="3" t="s">
        <v>147</v>
      </c>
      <c r="E69" s="3" t="s">
        <v>148</v>
      </c>
      <c r="F69" s="5" t="s">
        <v>134</v>
      </c>
      <c r="G69" s="4" t="str">
        <f t="shared" si="5"/>
        <v>17th</v>
      </c>
      <c r="H69" s="4" t="str">
        <f t="shared" si="6"/>
        <v>February</v>
      </c>
      <c r="I69" s="4" t="str">
        <f t="shared" si="7"/>
        <v>2020</v>
      </c>
      <c r="J69" s="10" t="s">
        <v>12</v>
      </c>
    </row>
    <row r="70" spans="1:10" x14ac:dyDescent="0.35">
      <c r="A70" s="9" t="s">
        <v>5</v>
      </c>
      <c r="B70" s="3">
        <v>1</v>
      </c>
      <c r="C70" s="4" t="str">
        <f t="shared" si="4"/>
        <v>Bad</v>
      </c>
      <c r="D70" s="3" t="s">
        <v>149</v>
      </c>
      <c r="E70" s="3" t="s">
        <v>150</v>
      </c>
      <c r="F70" s="5" t="s">
        <v>134</v>
      </c>
      <c r="G70" s="4" t="str">
        <f t="shared" si="5"/>
        <v>17th</v>
      </c>
      <c r="H70" s="4" t="str">
        <f t="shared" si="6"/>
        <v>February</v>
      </c>
      <c r="I70" s="4" t="str">
        <f t="shared" si="7"/>
        <v>2020</v>
      </c>
      <c r="J70" s="10" t="s">
        <v>12</v>
      </c>
    </row>
    <row r="71" spans="1:10" x14ac:dyDescent="0.35">
      <c r="A71" s="9" t="s">
        <v>5</v>
      </c>
      <c r="B71" s="3">
        <v>1</v>
      </c>
      <c r="C71" s="4" t="str">
        <f t="shared" si="4"/>
        <v>Bad</v>
      </c>
      <c r="D71" s="3" t="s">
        <v>151</v>
      </c>
      <c r="E71" s="3" t="s">
        <v>152</v>
      </c>
      <c r="F71" s="5" t="s">
        <v>134</v>
      </c>
      <c r="G71" s="4" t="str">
        <f t="shared" si="5"/>
        <v>17th</v>
      </c>
      <c r="H71" s="4" t="str">
        <f t="shared" si="6"/>
        <v>February</v>
      </c>
      <c r="I71" s="4" t="str">
        <f t="shared" si="7"/>
        <v>2020</v>
      </c>
      <c r="J71" s="10" t="s">
        <v>12</v>
      </c>
    </row>
    <row r="72" spans="1:10" x14ac:dyDescent="0.35">
      <c r="A72" s="9" t="s">
        <v>5</v>
      </c>
      <c r="B72" s="3">
        <v>1</v>
      </c>
      <c r="C72" s="4" t="str">
        <f t="shared" si="4"/>
        <v>Bad</v>
      </c>
      <c r="D72" s="3" t="s">
        <v>153</v>
      </c>
      <c r="E72" s="3" t="s">
        <v>154</v>
      </c>
      <c r="F72" s="5" t="s">
        <v>155</v>
      </c>
      <c r="G72" s="4" t="str">
        <f t="shared" si="5"/>
        <v>27th</v>
      </c>
      <c r="H72" s="4" t="str">
        <f t="shared" si="6"/>
        <v>October</v>
      </c>
      <c r="I72" s="4" t="str">
        <f t="shared" si="7"/>
        <v>2019</v>
      </c>
      <c r="J72" s="10" t="s">
        <v>12</v>
      </c>
    </row>
    <row r="73" spans="1:10" x14ac:dyDescent="0.35">
      <c r="A73" s="9" t="s">
        <v>5</v>
      </c>
      <c r="B73" s="3">
        <v>6</v>
      </c>
      <c r="C73" s="4" t="str">
        <f t="shared" si="4"/>
        <v>Neutral</v>
      </c>
      <c r="D73" s="3" t="s">
        <v>156</v>
      </c>
      <c r="E73" s="3" t="s">
        <v>100</v>
      </c>
      <c r="F73" s="5" t="s">
        <v>155</v>
      </c>
      <c r="G73" s="4" t="str">
        <f t="shared" si="5"/>
        <v>27th</v>
      </c>
      <c r="H73" s="4" t="str">
        <f t="shared" si="6"/>
        <v>October</v>
      </c>
      <c r="I73" s="4" t="str">
        <f t="shared" si="7"/>
        <v>2019</v>
      </c>
      <c r="J73" s="10" t="s">
        <v>9</v>
      </c>
    </row>
    <row r="74" spans="1:10" x14ac:dyDescent="0.35">
      <c r="A74" s="9" t="s">
        <v>5</v>
      </c>
      <c r="B74" s="3">
        <v>9</v>
      </c>
      <c r="C74" s="4" t="str">
        <f t="shared" si="4"/>
        <v>Good</v>
      </c>
      <c r="D74" s="3" t="s">
        <v>157</v>
      </c>
      <c r="E74" s="3" t="s">
        <v>158</v>
      </c>
      <c r="F74" s="5" t="s">
        <v>155</v>
      </c>
      <c r="G74" s="4" t="str">
        <f t="shared" si="5"/>
        <v>27th</v>
      </c>
      <c r="H74" s="4" t="str">
        <f t="shared" si="6"/>
        <v>October</v>
      </c>
      <c r="I74" s="4" t="str">
        <f t="shared" si="7"/>
        <v>2019</v>
      </c>
      <c r="J74" s="10" t="s">
        <v>9</v>
      </c>
    </row>
    <row r="75" spans="1:10" x14ac:dyDescent="0.35">
      <c r="A75" s="9" t="s">
        <v>5</v>
      </c>
      <c r="B75" s="3">
        <v>10</v>
      </c>
      <c r="C75" s="4" t="str">
        <f t="shared" si="4"/>
        <v>Good</v>
      </c>
      <c r="D75" s="3" t="s">
        <v>159</v>
      </c>
      <c r="E75" s="3" t="s">
        <v>160</v>
      </c>
      <c r="F75" s="5" t="s">
        <v>155</v>
      </c>
      <c r="G75" s="4" t="str">
        <f t="shared" si="5"/>
        <v>27th</v>
      </c>
      <c r="H75" s="4" t="str">
        <f t="shared" si="6"/>
        <v>October</v>
      </c>
      <c r="I75" s="4" t="str">
        <f t="shared" si="7"/>
        <v>2019</v>
      </c>
      <c r="J75" s="10" t="s">
        <v>9</v>
      </c>
    </row>
    <row r="76" spans="1:10" x14ac:dyDescent="0.35">
      <c r="A76" s="9" t="s">
        <v>5</v>
      </c>
      <c r="B76" s="3">
        <v>1</v>
      </c>
      <c r="C76" s="4" t="str">
        <f t="shared" si="4"/>
        <v>Bad</v>
      </c>
      <c r="D76" s="3" t="s">
        <v>161</v>
      </c>
      <c r="E76" s="3" t="s">
        <v>162</v>
      </c>
      <c r="F76" s="5" t="s">
        <v>155</v>
      </c>
      <c r="G76" s="4" t="str">
        <f t="shared" si="5"/>
        <v>27th</v>
      </c>
      <c r="H76" s="4" t="str">
        <f t="shared" si="6"/>
        <v>October</v>
      </c>
      <c r="I76" s="4" t="str">
        <f t="shared" si="7"/>
        <v>2019</v>
      </c>
      <c r="J76" s="10" t="s">
        <v>12</v>
      </c>
    </row>
    <row r="77" spans="1:10" x14ac:dyDescent="0.35">
      <c r="A77" s="9" t="s">
        <v>5</v>
      </c>
      <c r="B77" s="3">
        <v>1</v>
      </c>
      <c r="C77" s="4" t="str">
        <f t="shared" si="4"/>
        <v>Bad</v>
      </c>
      <c r="D77" s="3" t="s">
        <v>163</v>
      </c>
      <c r="E77" s="3" t="s">
        <v>164</v>
      </c>
      <c r="F77" s="5" t="s">
        <v>155</v>
      </c>
      <c r="G77" s="4" t="str">
        <f t="shared" si="5"/>
        <v>27th</v>
      </c>
      <c r="H77" s="4" t="str">
        <f t="shared" si="6"/>
        <v>October</v>
      </c>
      <c r="I77" s="4" t="str">
        <f t="shared" si="7"/>
        <v>2019</v>
      </c>
      <c r="J77" s="10" t="s">
        <v>12</v>
      </c>
    </row>
    <row r="78" spans="1:10" x14ac:dyDescent="0.35">
      <c r="A78" s="9" t="s">
        <v>5</v>
      </c>
      <c r="B78" s="3">
        <v>3</v>
      </c>
      <c r="C78" s="4" t="str">
        <f t="shared" si="4"/>
        <v>Bad</v>
      </c>
      <c r="D78" s="3" t="s">
        <v>165</v>
      </c>
      <c r="E78" s="3" t="s">
        <v>166</v>
      </c>
      <c r="F78" s="5" t="s">
        <v>155</v>
      </c>
      <c r="G78" s="4" t="str">
        <f t="shared" si="5"/>
        <v>27th</v>
      </c>
      <c r="H78" s="4" t="str">
        <f t="shared" si="6"/>
        <v>October</v>
      </c>
      <c r="I78" s="4" t="str">
        <f t="shared" si="7"/>
        <v>2019</v>
      </c>
      <c r="J78" s="10" t="s">
        <v>12</v>
      </c>
    </row>
    <row r="79" spans="1:10" x14ac:dyDescent="0.35">
      <c r="A79" s="9" t="s">
        <v>5</v>
      </c>
      <c r="B79" s="3">
        <v>3</v>
      </c>
      <c r="C79" s="4" t="str">
        <f t="shared" si="4"/>
        <v>Bad</v>
      </c>
      <c r="D79" s="3" t="s">
        <v>167</v>
      </c>
      <c r="E79" s="3" t="s">
        <v>168</v>
      </c>
      <c r="F79" s="5" t="s">
        <v>155</v>
      </c>
      <c r="G79" s="4" t="str">
        <f t="shared" si="5"/>
        <v>27th</v>
      </c>
      <c r="H79" s="4" t="str">
        <f t="shared" si="6"/>
        <v>October</v>
      </c>
      <c r="I79" s="4" t="str">
        <f t="shared" si="7"/>
        <v>2019</v>
      </c>
      <c r="J79" s="10" t="s">
        <v>12</v>
      </c>
    </row>
    <row r="80" spans="1:10" x14ac:dyDescent="0.35">
      <c r="A80" s="9" t="s">
        <v>5</v>
      </c>
      <c r="B80" s="3">
        <v>2</v>
      </c>
      <c r="C80" s="4" t="str">
        <f t="shared" si="4"/>
        <v>Bad</v>
      </c>
      <c r="D80" s="3" t="s">
        <v>169</v>
      </c>
      <c r="E80" s="3" t="s">
        <v>170</v>
      </c>
      <c r="F80" s="5" t="s">
        <v>155</v>
      </c>
      <c r="G80" s="4" t="str">
        <f t="shared" si="5"/>
        <v>27th</v>
      </c>
      <c r="H80" s="4" t="str">
        <f t="shared" si="6"/>
        <v>October</v>
      </c>
      <c r="I80" s="4" t="str">
        <f t="shared" si="7"/>
        <v>2019</v>
      </c>
      <c r="J80" s="10" t="s">
        <v>12</v>
      </c>
    </row>
    <row r="81" spans="1:10" x14ac:dyDescent="0.35">
      <c r="A81" s="9" t="s">
        <v>5</v>
      </c>
      <c r="B81" s="3">
        <v>1</v>
      </c>
      <c r="C81" s="4" t="str">
        <f t="shared" si="4"/>
        <v>Bad</v>
      </c>
      <c r="D81" s="3" t="s">
        <v>171</v>
      </c>
      <c r="E81" s="3" t="s">
        <v>172</v>
      </c>
      <c r="F81" s="5" t="s">
        <v>155</v>
      </c>
      <c r="G81" s="4" t="str">
        <f t="shared" si="5"/>
        <v>27th</v>
      </c>
      <c r="H81" s="4" t="str">
        <f t="shared" si="6"/>
        <v>October</v>
      </c>
      <c r="I81" s="4" t="str">
        <f t="shared" si="7"/>
        <v>2019</v>
      </c>
      <c r="J81" s="10" t="s">
        <v>12</v>
      </c>
    </row>
    <row r="82" spans="1:10" x14ac:dyDescent="0.35">
      <c r="A82" s="9" t="s">
        <v>5</v>
      </c>
      <c r="B82" s="3">
        <v>1</v>
      </c>
      <c r="C82" s="4" t="str">
        <f t="shared" si="4"/>
        <v>Bad</v>
      </c>
      <c r="D82" s="3" t="s">
        <v>173</v>
      </c>
      <c r="E82" s="3" t="s">
        <v>174</v>
      </c>
      <c r="F82" s="5" t="s">
        <v>175</v>
      </c>
      <c r="G82" s="4" t="str">
        <f t="shared" si="5"/>
        <v>12th</v>
      </c>
      <c r="H82" s="4" t="str">
        <f t="shared" si="6"/>
        <v>June</v>
      </c>
      <c r="I82" s="4" t="str">
        <f t="shared" si="7"/>
        <v>2019</v>
      </c>
      <c r="J82" s="10" t="s">
        <v>12</v>
      </c>
    </row>
    <row r="83" spans="1:10" x14ac:dyDescent="0.35">
      <c r="A83" s="9" t="s">
        <v>5</v>
      </c>
      <c r="B83" s="3">
        <v>8</v>
      </c>
      <c r="C83" s="4" t="str">
        <f t="shared" si="4"/>
        <v>Good</v>
      </c>
      <c r="D83" s="3" t="s">
        <v>176</v>
      </c>
      <c r="E83" s="3" t="s">
        <v>177</v>
      </c>
      <c r="F83" s="5" t="s">
        <v>175</v>
      </c>
      <c r="G83" s="4" t="str">
        <f t="shared" si="5"/>
        <v>12th</v>
      </c>
      <c r="H83" s="4" t="str">
        <f t="shared" si="6"/>
        <v>June</v>
      </c>
      <c r="I83" s="4" t="str">
        <f t="shared" si="7"/>
        <v>2019</v>
      </c>
      <c r="J83" s="10" t="s">
        <v>9</v>
      </c>
    </row>
    <row r="84" spans="1:10" x14ac:dyDescent="0.35">
      <c r="A84" s="9" t="s">
        <v>5</v>
      </c>
      <c r="B84" s="3">
        <v>1</v>
      </c>
      <c r="C84" s="4" t="str">
        <f t="shared" si="4"/>
        <v>Bad</v>
      </c>
      <c r="D84" s="3" t="s">
        <v>178</v>
      </c>
      <c r="E84" s="3" t="s">
        <v>179</v>
      </c>
      <c r="F84" s="5" t="s">
        <v>175</v>
      </c>
      <c r="G84" s="4" t="str">
        <f t="shared" si="5"/>
        <v>12th</v>
      </c>
      <c r="H84" s="4" t="str">
        <f t="shared" si="6"/>
        <v>June</v>
      </c>
      <c r="I84" s="4" t="str">
        <f t="shared" si="7"/>
        <v>2019</v>
      </c>
      <c r="J84" s="10" t="s">
        <v>12</v>
      </c>
    </row>
    <row r="85" spans="1:10" x14ac:dyDescent="0.35">
      <c r="A85" s="9" t="s">
        <v>5</v>
      </c>
      <c r="B85" s="3">
        <v>1</v>
      </c>
      <c r="C85" s="4" t="str">
        <f t="shared" si="4"/>
        <v>Bad</v>
      </c>
      <c r="D85" s="3" t="s">
        <v>180</v>
      </c>
      <c r="E85" s="3" t="s">
        <v>181</v>
      </c>
      <c r="F85" s="5" t="s">
        <v>175</v>
      </c>
      <c r="G85" s="4" t="str">
        <f t="shared" si="5"/>
        <v>12th</v>
      </c>
      <c r="H85" s="4" t="str">
        <f t="shared" si="6"/>
        <v>June</v>
      </c>
      <c r="I85" s="4" t="str">
        <f t="shared" si="7"/>
        <v>2019</v>
      </c>
      <c r="J85" s="10" t="s">
        <v>12</v>
      </c>
    </row>
    <row r="86" spans="1:10" x14ac:dyDescent="0.35">
      <c r="A86" s="9" t="s">
        <v>5</v>
      </c>
      <c r="B86" s="3">
        <v>3</v>
      </c>
      <c r="C86" s="4" t="str">
        <f t="shared" si="4"/>
        <v>Bad</v>
      </c>
      <c r="D86" s="3" t="s">
        <v>182</v>
      </c>
      <c r="E86" s="3" t="s">
        <v>183</v>
      </c>
      <c r="F86" s="5" t="s">
        <v>175</v>
      </c>
      <c r="G86" s="4" t="str">
        <f t="shared" si="5"/>
        <v>12th</v>
      </c>
      <c r="H86" s="4" t="str">
        <f t="shared" si="6"/>
        <v>June</v>
      </c>
      <c r="I86" s="4" t="str">
        <f t="shared" si="7"/>
        <v>2019</v>
      </c>
      <c r="J86" s="10" t="s">
        <v>12</v>
      </c>
    </row>
    <row r="87" spans="1:10" x14ac:dyDescent="0.35">
      <c r="A87" s="9" t="s">
        <v>5</v>
      </c>
      <c r="B87" s="3">
        <v>1</v>
      </c>
      <c r="C87" s="4" t="str">
        <f t="shared" si="4"/>
        <v>Bad</v>
      </c>
      <c r="D87" s="3" t="s">
        <v>184</v>
      </c>
      <c r="E87" s="3" t="s">
        <v>185</v>
      </c>
      <c r="F87" s="5" t="s">
        <v>175</v>
      </c>
      <c r="G87" s="4" t="str">
        <f t="shared" si="5"/>
        <v>12th</v>
      </c>
      <c r="H87" s="4" t="str">
        <f t="shared" si="6"/>
        <v>June</v>
      </c>
      <c r="I87" s="4" t="str">
        <f t="shared" si="7"/>
        <v>2019</v>
      </c>
      <c r="J87" s="10" t="s">
        <v>12</v>
      </c>
    </row>
    <row r="88" spans="1:10" x14ac:dyDescent="0.35">
      <c r="A88" s="9" t="s">
        <v>5</v>
      </c>
      <c r="B88" s="3">
        <v>1</v>
      </c>
      <c r="C88" s="4" t="str">
        <f t="shared" si="4"/>
        <v>Bad</v>
      </c>
      <c r="D88" s="3" t="s">
        <v>186</v>
      </c>
      <c r="E88" s="3" t="s">
        <v>187</v>
      </c>
      <c r="F88" s="5" t="s">
        <v>175</v>
      </c>
      <c r="G88" s="4" t="str">
        <f t="shared" si="5"/>
        <v>12th</v>
      </c>
      <c r="H88" s="4" t="str">
        <f t="shared" si="6"/>
        <v>June</v>
      </c>
      <c r="I88" s="4" t="str">
        <f t="shared" si="7"/>
        <v>2019</v>
      </c>
      <c r="J88" s="10" t="s">
        <v>12</v>
      </c>
    </row>
    <row r="89" spans="1:10" x14ac:dyDescent="0.35">
      <c r="A89" s="9" t="s">
        <v>5</v>
      </c>
      <c r="B89" s="3">
        <v>8</v>
      </c>
      <c r="C89" s="4" t="str">
        <f t="shared" si="4"/>
        <v>Good</v>
      </c>
      <c r="D89" s="3" t="s">
        <v>188</v>
      </c>
      <c r="E89" s="3" t="s">
        <v>189</v>
      </c>
      <c r="F89" s="5" t="s">
        <v>175</v>
      </c>
      <c r="G89" s="4" t="str">
        <f t="shared" si="5"/>
        <v>12th</v>
      </c>
      <c r="H89" s="4" t="str">
        <f t="shared" si="6"/>
        <v>June</v>
      </c>
      <c r="I89" s="4" t="str">
        <f t="shared" si="7"/>
        <v>2019</v>
      </c>
      <c r="J89" s="10" t="s">
        <v>9</v>
      </c>
    </row>
    <row r="90" spans="1:10" x14ac:dyDescent="0.35">
      <c r="A90" s="9" t="s">
        <v>5</v>
      </c>
      <c r="B90" s="3">
        <v>6</v>
      </c>
      <c r="C90" s="4" t="str">
        <f t="shared" si="4"/>
        <v>Neutral</v>
      </c>
      <c r="D90" s="3" t="s">
        <v>190</v>
      </c>
      <c r="E90" s="3" t="s">
        <v>191</v>
      </c>
      <c r="F90" s="5" t="s">
        <v>175</v>
      </c>
      <c r="G90" s="4" t="str">
        <f t="shared" si="5"/>
        <v>12th</v>
      </c>
      <c r="H90" s="4" t="str">
        <f t="shared" si="6"/>
        <v>June</v>
      </c>
      <c r="I90" s="4" t="str">
        <f t="shared" si="7"/>
        <v>2019</v>
      </c>
      <c r="J90" s="10" t="s">
        <v>12</v>
      </c>
    </row>
    <row r="91" spans="1:10" x14ac:dyDescent="0.35">
      <c r="A91" s="9" t="s">
        <v>5</v>
      </c>
      <c r="B91" s="3">
        <v>8</v>
      </c>
      <c r="C91" s="4" t="str">
        <f t="shared" si="4"/>
        <v>Good</v>
      </c>
      <c r="D91" s="3" t="s">
        <v>192</v>
      </c>
      <c r="E91" s="3" t="s">
        <v>193</v>
      </c>
      <c r="F91" s="5" t="s">
        <v>175</v>
      </c>
      <c r="G91" s="4" t="str">
        <f t="shared" si="5"/>
        <v>12th</v>
      </c>
      <c r="H91" s="4" t="str">
        <f t="shared" si="6"/>
        <v>June</v>
      </c>
      <c r="I91" s="4" t="str">
        <f t="shared" si="7"/>
        <v>2019</v>
      </c>
      <c r="J91" s="10" t="s">
        <v>9</v>
      </c>
    </row>
    <row r="92" spans="1:10" x14ac:dyDescent="0.35">
      <c r="A92" s="9" t="s">
        <v>5</v>
      </c>
      <c r="B92" s="3">
        <v>1</v>
      </c>
      <c r="C92" s="4" t="str">
        <f t="shared" si="4"/>
        <v>Bad</v>
      </c>
      <c r="D92" s="3" t="s">
        <v>194</v>
      </c>
      <c r="E92" s="3" t="s">
        <v>195</v>
      </c>
      <c r="F92" s="5" t="s">
        <v>196</v>
      </c>
      <c r="G92" s="4" t="str">
        <f t="shared" si="5"/>
        <v>24th</v>
      </c>
      <c r="H92" s="4" t="str">
        <f t="shared" si="6"/>
        <v>November</v>
      </c>
      <c r="I92" s="4" t="str">
        <f t="shared" si="7"/>
        <v>2018</v>
      </c>
      <c r="J92" s="10" t="s">
        <v>12</v>
      </c>
    </row>
    <row r="93" spans="1:10" x14ac:dyDescent="0.35">
      <c r="A93" s="9" t="s">
        <v>5</v>
      </c>
      <c r="B93" s="3">
        <v>9</v>
      </c>
      <c r="C93" s="4" t="str">
        <f t="shared" si="4"/>
        <v>Good</v>
      </c>
      <c r="D93" s="3" t="s">
        <v>197</v>
      </c>
      <c r="E93" s="3" t="s">
        <v>198</v>
      </c>
      <c r="F93" s="5" t="s">
        <v>196</v>
      </c>
      <c r="G93" s="4" t="str">
        <f t="shared" si="5"/>
        <v>24th</v>
      </c>
      <c r="H93" s="4" t="str">
        <f t="shared" si="6"/>
        <v>November</v>
      </c>
      <c r="I93" s="4" t="str">
        <f t="shared" si="7"/>
        <v>2018</v>
      </c>
      <c r="J93" s="10" t="s">
        <v>9</v>
      </c>
    </row>
    <row r="94" spans="1:10" x14ac:dyDescent="0.35">
      <c r="A94" s="9" t="s">
        <v>5</v>
      </c>
      <c r="B94" s="3">
        <v>1</v>
      </c>
      <c r="C94" s="4" t="str">
        <f t="shared" si="4"/>
        <v>Bad</v>
      </c>
      <c r="D94" s="3" t="s">
        <v>199</v>
      </c>
      <c r="E94" s="3" t="s">
        <v>200</v>
      </c>
      <c r="F94" s="5" t="s">
        <v>196</v>
      </c>
      <c r="G94" s="4" t="str">
        <f t="shared" si="5"/>
        <v>24th</v>
      </c>
      <c r="H94" s="4" t="str">
        <f t="shared" si="6"/>
        <v>November</v>
      </c>
      <c r="I94" s="4" t="str">
        <f t="shared" si="7"/>
        <v>2018</v>
      </c>
      <c r="J94" s="10" t="s">
        <v>12</v>
      </c>
    </row>
    <row r="95" spans="1:10" x14ac:dyDescent="0.35">
      <c r="A95" s="9" t="s">
        <v>5</v>
      </c>
      <c r="B95" s="3">
        <v>2</v>
      </c>
      <c r="C95" s="4" t="str">
        <f t="shared" si="4"/>
        <v>Bad</v>
      </c>
      <c r="D95" s="3" t="s">
        <v>201</v>
      </c>
      <c r="E95" s="3" t="s">
        <v>202</v>
      </c>
      <c r="F95" s="5" t="s">
        <v>196</v>
      </c>
      <c r="G95" s="4" t="str">
        <f t="shared" si="5"/>
        <v>24th</v>
      </c>
      <c r="H95" s="4" t="str">
        <f t="shared" si="6"/>
        <v>November</v>
      </c>
      <c r="I95" s="4" t="str">
        <f t="shared" si="7"/>
        <v>2018</v>
      </c>
      <c r="J95" s="10" t="s">
        <v>12</v>
      </c>
    </row>
    <row r="96" spans="1:10" x14ac:dyDescent="0.35">
      <c r="A96" s="9" t="s">
        <v>5</v>
      </c>
      <c r="B96" s="3">
        <v>1</v>
      </c>
      <c r="C96" s="4" t="str">
        <f t="shared" si="4"/>
        <v>Bad</v>
      </c>
      <c r="D96" s="3" t="s">
        <v>203</v>
      </c>
      <c r="E96" s="3" t="s">
        <v>204</v>
      </c>
      <c r="F96" s="5" t="s">
        <v>196</v>
      </c>
      <c r="G96" s="4" t="str">
        <f t="shared" si="5"/>
        <v>24th</v>
      </c>
      <c r="H96" s="4" t="str">
        <f t="shared" si="6"/>
        <v>November</v>
      </c>
      <c r="I96" s="4" t="str">
        <f t="shared" si="7"/>
        <v>2018</v>
      </c>
      <c r="J96" s="10" t="s">
        <v>12</v>
      </c>
    </row>
    <row r="97" spans="1:10" x14ac:dyDescent="0.35">
      <c r="A97" s="9" t="s">
        <v>5</v>
      </c>
      <c r="B97" s="3">
        <v>1</v>
      </c>
      <c r="C97" s="4" t="str">
        <f t="shared" si="4"/>
        <v>Bad</v>
      </c>
      <c r="D97" s="3" t="s">
        <v>205</v>
      </c>
      <c r="E97" s="3" t="s">
        <v>206</v>
      </c>
      <c r="F97" s="5" t="s">
        <v>196</v>
      </c>
      <c r="G97" s="4" t="str">
        <f t="shared" si="5"/>
        <v>24th</v>
      </c>
      <c r="H97" s="4" t="str">
        <f t="shared" si="6"/>
        <v>November</v>
      </c>
      <c r="I97" s="4" t="str">
        <f t="shared" si="7"/>
        <v>2018</v>
      </c>
      <c r="J97" s="10" t="s">
        <v>12</v>
      </c>
    </row>
    <row r="98" spans="1:10" x14ac:dyDescent="0.35">
      <c r="A98" s="9" t="s">
        <v>5</v>
      </c>
      <c r="B98" s="3">
        <v>10</v>
      </c>
      <c r="C98" s="4" t="str">
        <f t="shared" si="4"/>
        <v>Good</v>
      </c>
      <c r="D98" s="3" t="s">
        <v>207</v>
      </c>
      <c r="E98" s="3" t="s">
        <v>208</v>
      </c>
      <c r="F98" s="5" t="s">
        <v>196</v>
      </c>
      <c r="G98" s="4" t="str">
        <f t="shared" si="5"/>
        <v>24th</v>
      </c>
      <c r="H98" s="4" t="str">
        <f t="shared" si="6"/>
        <v>November</v>
      </c>
      <c r="I98" s="4" t="str">
        <f t="shared" si="7"/>
        <v>2018</v>
      </c>
      <c r="J98" s="10" t="s">
        <v>9</v>
      </c>
    </row>
    <row r="99" spans="1:10" x14ac:dyDescent="0.35">
      <c r="A99" s="9" t="s">
        <v>5</v>
      </c>
      <c r="B99" s="3">
        <v>1</v>
      </c>
      <c r="C99" s="4" t="str">
        <f t="shared" si="4"/>
        <v>Bad</v>
      </c>
      <c r="D99" s="3" t="s">
        <v>209</v>
      </c>
      <c r="E99" s="3" t="s">
        <v>210</v>
      </c>
      <c r="F99" s="5" t="s">
        <v>196</v>
      </c>
      <c r="G99" s="4" t="str">
        <f t="shared" si="5"/>
        <v>24th</v>
      </c>
      <c r="H99" s="4" t="str">
        <f t="shared" si="6"/>
        <v>November</v>
      </c>
      <c r="I99" s="4" t="str">
        <f t="shared" si="7"/>
        <v>2018</v>
      </c>
      <c r="J99" s="10" t="s">
        <v>12</v>
      </c>
    </row>
    <row r="100" spans="1:10" x14ac:dyDescent="0.35">
      <c r="A100" s="9" t="s">
        <v>5</v>
      </c>
      <c r="B100" s="3">
        <v>1</v>
      </c>
      <c r="C100" s="4" t="str">
        <f t="shared" si="4"/>
        <v>Bad</v>
      </c>
      <c r="D100" s="3" t="s">
        <v>211</v>
      </c>
      <c r="E100" s="3" t="s">
        <v>212</v>
      </c>
      <c r="F100" s="5" t="s">
        <v>196</v>
      </c>
      <c r="G100" s="4" t="str">
        <f t="shared" si="5"/>
        <v>24th</v>
      </c>
      <c r="H100" s="4" t="str">
        <f t="shared" si="6"/>
        <v>November</v>
      </c>
      <c r="I100" s="4" t="str">
        <f t="shared" si="7"/>
        <v>2018</v>
      </c>
      <c r="J100" s="10" t="s">
        <v>12</v>
      </c>
    </row>
    <row r="101" spans="1:10" x14ac:dyDescent="0.35">
      <c r="A101" s="9" t="s">
        <v>5</v>
      </c>
      <c r="B101" s="3">
        <v>2</v>
      </c>
      <c r="C101" s="4" t="str">
        <f t="shared" si="4"/>
        <v>Bad</v>
      </c>
      <c r="D101" s="3" t="s">
        <v>213</v>
      </c>
      <c r="E101" s="3" t="s">
        <v>214</v>
      </c>
      <c r="F101" s="5" t="s">
        <v>196</v>
      </c>
      <c r="G101" s="4" t="str">
        <f t="shared" si="5"/>
        <v>24th</v>
      </c>
      <c r="H101" s="4" t="str">
        <f t="shared" si="6"/>
        <v>November</v>
      </c>
      <c r="I101" s="4" t="str">
        <f t="shared" si="7"/>
        <v>2018</v>
      </c>
      <c r="J101" s="10" t="s">
        <v>12</v>
      </c>
    </row>
    <row r="102" spans="1:10" x14ac:dyDescent="0.35">
      <c r="A102" s="9" t="s">
        <v>5</v>
      </c>
      <c r="B102" s="3">
        <v>1</v>
      </c>
      <c r="C102" s="4" t="str">
        <f t="shared" si="4"/>
        <v>Bad</v>
      </c>
      <c r="D102" s="3" t="s">
        <v>215</v>
      </c>
      <c r="E102" s="3" t="s">
        <v>216</v>
      </c>
      <c r="F102" s="5" t="s">
        <v>217</v>
      </c>
      <c r="G102" s="4" t="str">
        <f t="shared" si="5"/>
        <v>14th</v>
      </c>
      <c r="H102" s="4" t="str">
        <f t="shared" si="6"/>
        <v>May</v>
      </c>
      <c r="I102" s="4" t="str">
        <f t="shared" si="7"/>
        <v>2018</v>
      </c>
      <c r="J102" s="10" t="s">
        <v>12</v>
      </c>
    </row>
    <row r="103" spans="1:10" x14ac:dyDescent="0.35">
      <c r="A103" s="9" t="s">
        <v>5</v>
      </c>
      <c r="B103" s="3">
        <v>1</v>
      </c>
      <c r="C103" s="4" t="str">
        <f t="shared" si="4"/>
        <v>Bad</v>
      </c>
      <c r="D103" s="3" t="s">
        <v>218</v>
      </c>
      <c r="E103" s="3" t="s">
        <v>219</v>
      </c>
      <c r="F103" s="5" t="s">
        <v>217</v>
      </c>
      <c r="G103" s="4" t="str">
        <f t="shared" si="5"/>
        <v>14th</v>
      </c>
      <c r="H103" s="4" t="str">
        <f t="shared" si="6"/>
        <v>May</v>
      </c>
      <c r="I103" s="4" t="str">
        <f t="shared" si="7"/>
        <v>2018</v>
      </c>
      <c r="J103" s="10" t="s">
        <v>12</v>
      </c>
    </row>
    <row r="104" spans="1:10" x14ac:dyDescent="0.35">
      <c r="A104" s="9" t="s">
        <v>5</v>
      </c>
      <c r="B104" s="3">
        <v>5</v>
      </c>
      <c r="C104" s="4" t="str">
        <f t="shared" si="4"/>
        <v>Neutral</v>
      </c>
      <c r="D104" s="3" t="s">
        <v>220</v>
      </c>
      <c r="E104" s="3" t="s">
        <v>221</v>
      </c>
      <c r="F104" s="5" t="s">
        <v>217</v>
      </c>
      <c r="G104" s="4" t="str">
        <f t="shared" si="5"/>
        <v>14th</v>
      </c>
      <c r="H104" s="4" t="str">
        <f t="shared" si="6"/>
        <v>May</v>
      </c>
      <c r="I104" s="4" t="str">
        <f t="shared" si="7"/>
        <v>2018</v>
      </c>
      <c r="J104" s="10" t="s">
        <v>9</v>
      </c>
    </row>
    <row r="105" spans="1:10" x14ac:dyDescent="0.35">
      <c r="A105" s="9" t="s">
        <v>5</v>
      </c>
      <c r="B105" s="3">
        <v>2</v>
      </c>
      <c r="C105" s="4" t="str">
        <f t="shared" si="4"/>
        <v>Bad</v>
      </c>
      <c r="D105" s="3" t="s">
        <v>222</v>
      </c>
      <c r="E105" s="3" t="s">
        <v>223</v>
      </c>
      <c r="F105" s="5" t="s">
        <v>217</v>
      </c>
      <c r="G105" s="4" t="str">
        <f t="shared" si="5"/>
        <v>14th</v>
      </c>
      <c r="H105" s="4" t="str">
        <f t="shared" si="6"/>
        <v>May</v>
      </c>
      <c r="I105" s="4" t="str">
        <f t="shared" si="7"/>
        <v>2018</v>
      </c>
      <c r="J105" s="10" t="s">
        <v>12</v>
      </c>
    </row>
    <row r="106" spans="1:10" x14ac:dyDescent="0.35">
      <c r="A106" s="9" t="s">
        <v>5</v>
      </c>
      <c r="B106" s="3">
        <v>5</v>
      </c>
      <c r="C106" s="4" t="str">
        <f t="shared" si="4"/>
        <v>Neutral</v>
      </c>
      <c r="D106" s="3" t="s">
        <v>224</v>
      </c>
      <c r="E106" s="3" t="s">
        <v>225</v>
      </c>
      <c r="F106" s="5" t="s">
        <v>217</v>
      </c>
      <c r="G106" s="4" t="str">
        <f t="shared" si="5"/>
        <v>14th</v>
      </c>
      <c r="H106" s="4" t="str">
        <f t="shared" si="6"/>
        <v>May</v>
      </c>
      <c r="I106" s="4" t="str">
        <f t="shared" si="7"/>
        <v>2018</v>
      </c>
      <c r="J106" s="10" t="s">
        <v>9</v>
      </c>
    </row>
    <row r="107" spans="1:10" x14ac:dyDescent="0.35">
      <c r="A107" s="9" t="s">
        <v>5</v>
      </c>
      <c r="B107" s="3">
        <v>9</v>
      </c>
      <c r="C107" s="4" t="str">
        <f t="shared" si="4"/>
        <v>Good</v>
      </c>
      <c r="D107" s="3" t="s">
        <v>226</v>
      </c>
      <c r="E107" s="3" t="s">
        <v>227</v>
      </c>
      <c r="F107" s="5" t="s">
        <v>217</v>
      </c>
      <c r="G107" s="4" t="str">
        <f t="shared" si="5"/>
        <v>14th</v>
      </c>
      <c r="H107" s="4" t="str">
        <f t="shared" si="6"/>
        <v>May</v>
      </c>
      <c r="I107" s="4" t="str">
        <f t="shared" si="7"/>
        <v>2018</v>
      </c>
      <c r="J107" s="10" t="s">
        <v>9</v>
      </c>
    </row>
    <row r="108" spans="1:10" x14ac:dyDescent="0.35">
      <c r="A108" s="9" t="s">
        <v>5</v>
      </c>
      <c r="B108" s="3">
        <v>2</v>
      </c>
      <c r="C108" s="4" t="str">
        <f t="shared" si="4"/>
        <v>Bad</v>
      </c>
      <c r="D108" s="3" t="s">
        <v>228</v>
      </c>
      <c r="E108" s="3" t="s">
        <v>229</v>
      </c>
      <c r="F108" s="5" t="s">
        <v>217</v>
      </c>
      <c r="G108" s="4" t="str">
        <f t="shared" si="5"/>
        <v>14th</v>
      </c>
      <c r="H108" s="4" t="str">
        <f t="shared" si="6"/>
        <v>May</v>
      </c>
      <c r="I108" s="4" t="str">
        <f t="shared" si="7"/>
        <v>2018</v>
      </c>
      <c r="J108" s="10" t="s">
        <v>12</v>
      </c>
    </row>
    <row r="109" spans="1:10" x14ac:dyDescent="0.35">
      <c r="A109" s="9" t="s">
        <v>5</v>
      </c>
      <c r="B109" s="3">
        <v>9</v>
      </c>
      <c r="C109" s="4" t="str">
        <f t="shared" si="4"/>
        <v>Good</v>
      </c>
      <c r="D109" s="3" t="s">
        <v>230</v>
      </c>
      <c r="E109" s="3" t="s">
        <v>231</v>
      </c>
      <c r="F109" s="5" t="s">
        <v>217</v>
      </c>
      <c r="G109" s="4" t="str">
        <f t="shared" si="5"/>
        <v>14th</v>
      </c>
      <c r="H109" s="4" t="str">
        <f t="shared" si="6"/>
        <v>May</v>
      </c>
      <c r="I109" s="4" t="str">
        <f t="shared" si="7"/>
        <v>2018</v>
      </c>
      <c r="J109" s="10" t="s">
        <v>9</v>
      </c>
    </row>
    <row r="110" spans="1:10" x14ac:dyDescent="0.35">
      <c r="A110" s="9" t="s">
        <v>5</v>
      </c>
      <c r="B110" s="3">
        <v>1</v>
      </c>
      <c r="C110" s="4" t="str">
        <f t="shared" si="4"/>
        <v>Bad</v>
      </c>
      <c r="D110" s="3" t="s">
        <v>232</v>
      </c>
      <c r="E110" s="3" t="s">
        <v>233</v>
      </c>
      <c r="F110" s="5" t="s">
        <v>217</v>
      </c>
      <c r="G110" s="4" t="str">
        <f t="shared" si="5"/>
        <v>14th</v>
      </c>
      <c r="H110" s="4" t="str">
        <f t="shared" si="6"/>
        <v>May</v>
      </c>
      <c r="I110" s="4" t="str">
        <f t="shared" si="7"/>
        <v>2018</v>
      </c>
      <c r="J110" s="10" t="s">
        <v>12</v>
      </c>
    </row>
    <row r="111" spans="1:10" x14ac:dyDescent="0.35">
      <c r="A111" s="9" t="s">
        <v>5</v>
      </c>
      <c r="B111" s="3">
        <v>2</v>
      </c>
      <c r="C111" s="4" t="str">
        <f t="shared" si="4"/>
        <v>Bad</v>
      </c>
      <c r="D111" s="3" t="s">
        <v>234</v>
      </c>
      <c r="E111" s="3" t="s">
        <v>235</v>
      </c>
      <c r="F111" s="5" t="s">
        <v>217</v>
      </c>
      <c r="G111" s="4" t="str">
        <f t="shared" si="5"/>
        <v>14th</v>
      </c>
      <c r="H111" s="4" t="str">
        <f t="shared" si="6"/>
        <v>May</v>
      </c>
      <c r="I111" s="4" t="str">
        <f t="shared" si="7"/>
        <v>2018</v>
      </c>
      <c r="J111" s="10" t="s">
        <v>12</v>
      </c>
    </row>
    <row r="112" spans="1:10" x14ac:dyDescent="0.35">
      <c r="A112" s="9" t="s">
        <v>5</v>
      </c>
      <c r="B112" s="3">
        <v>1</v>
      </c>
      <c r="C112" s="4" t="str">
        <f t="shared" si="4"/>
        <v>Bad</v>
      </c>
      <c r="D112" s="3" t="s">
        <v>236</v>
      </c>
      <c r="E112" s="3" t="s">
        <v>237</v>
      </c>
      <c r="F112" s="5" t="s">
        <v>238</v>
      </c>
      <c r="G112" s="4" t="str">
        <f t="shared" si="5"/>
        <v>20th</v>
      </c>
      <c r="H112" s="4" t="str">
        <f t="shared" si="6"/>
        <v>October</v>
      </c>
      <c r="I112" s="4" t="str">
        <f t="shared" si="7"/>
        <v>2017</v>
      </c>
      <c r="J112" s="10" t="s">
        <v>12</v>
      </c>
    </row>
    <row r="113" spans="1:10" x14ac:dyDescent="0.35">
      <c r="A113" s="9" t="s">
        <v>5</v>
      </c>
      <c r="B113" s="3">
        <v>3</v>
      </c>
      <c r="C113" s="4" t="str">
        <f t="shared" si="4"/>
        <v>Bad</v>
      </c>
      <c r="D113" s="3" t="s">
        <v>239</v>
      </c>
      <c r="E113" s="3" t="s">
        <v>240</v>
      </c>
      <c r="F113" s="5" t="s">
        <v>238</v>
      </c>
      <c r="G113" s="4" t="str">
        <f t="shared" si="5"/>
        <v>20th</v>
      </c>
      <c r="H113" s="4" t="str">
        <f t="shared" si="6"/>
        <v>October</v>
      </c>
      <c r="I113" s="4" t="str">
        <f t="shared" si="7"/>
        <v>2017</v>
      </c>
      <c r="J113" s="10" t="s">
        <v>12</v>
      </c>
    </row>
    <row r="114" spans="1:10" x14ac:dyDescent="0.35">
      <c r="A114" s="9" t="s">
        <v>5</v>
      </c>
      <c r="B114" s="3">
        <v>7</v>
      </c>
      <c r="C114" s="4" t="str">
        <f t="shared" si="4"/>
        <v>Neutral</v>
      </c>
      <c r="D114" s="3" t="s">
        <v>241</v>
      </c>
      <c r="E114" s="3" t="s">
        <v>242</v>
      </c>
      <c r="F114" s="5" t="s">
        <v>238</v>
      </c>
      <c r="G114" s="4" t="str">
        <f t="shared" si="5"/>
        <v>20th</v>
      </c>
      <c r="H114" s="4" t="str">
        <f t="shared" si="6"/>
        <v>October</v>
      </c>
      <c r="I114" s="4" t="str">
        <f t="shared" si="7"/>
        <v>2017</v>
      </c>
      <c r="J114" s="10" t="s">
        <v>9</v>
      </c>
    </row>
    <row r="115" spans="1:10" x14ac:dyDescent="0.35">
      <c r="A115" s="9" t="s">
        <v>5</v>
      </c>
      <c r="B115" s="3">
        <v>1</v>
      </c>
      <c r="C115" s="4" t="str">
        <f t="shared" si="4"/>
        <v>Bad</v>
      </c>
      <c r="D115" s="3" t="s">
        <v>243</v>
      </c>
      <c r="E115" s="3" t="s">
        <v>244</v>
      </c>
      <c r="F115" s="5" t="s">
        <v>238</v>
      </c>
      <c r="G115" s="4" t="str">
        <f t="shared" si="5"/>
        <v>20th</v>
      </c>
      <c r="H115" s="4" t="str">
        <f t="shared" si="6"/>
        <v>October</v>
      </c>
      <c r="I115" s="4" t="str">
        <f t="shared" si="7"/>
        <v>2017</v>
      </c>
      <c r="J115" s="10" t="s">
        <v>12</v>
      </c>
    </row>
    <row r="116" spans="1:10" x14ac:dyDescent="0.35">
      <c r="A116" s="9" t="s">
        <v>5</v>
      </c>
      <c r="B116" s="3">
        <v>4</v>
      </c>
      <c r="C116" s="4" t="str">
        <f t="shared" si="4"/>
        <v>Bad</v>
      </c>
      <c r="D116" s="3" t="s">
        <v>245</v>
      </c>
      <c r="E116" s="3" t="s">
        <v>246</v>
      </c>
      <c r="F116" s="5" t="s">
        <v>238</v>
      </c>
      <c r="G116" s="4" t="str">
        <f t="shared" si="5"/>
        <v>20th</v>
      </c>
      <c r="H116" s="4" t="str">
        <f t="shared" si="6"/>
        <v>October</v>
      </c>
      <c r="I116" s="4" t="str">
        <f t="shared" si="7"/>
        <v>2017</v>
      </c>
      <c r="J116" s="10" t="s">
        <v>12</v>
      </c>
    </row>
    <row r="117" spans="1:10" x14ac:dyDescent="0.35">
      <c r="A117" s="9" t="s">
        <v>5</v>
      </c>
      <c r="B117" s="3">
        <v>1</v>
      </c>
      <c r="C117" s="4" t="str">
        <f t="shared" si="4"/>
        <v>Bad</v>
      </c>
      <c r="D117" s="3" t="s">
        <v>247</v>
      </c>
      <c r="E117" s="3" t="s">
        <v>248</v>
      </c>
      <c r="F117" s="5" t="s">
        <v>238</v>
      </c>
      <c r="G117" s="4" t="str">
        <f t="shared" si="5"/>
        <v>20th</v>
      </c>
      <c r="H117" s="4" t="str">
        <f t="shared" si="6"/>
        <v>October</v>
      </c>
      <c r="I117" s="4" t="str">
        <f t="shared" si="7"/>
        <v>2017</v>
      </c>
      <c r="J117" s="10" t="s">
        <v>12</v>
      </c>
    </row>
    <row r="118" spans="1:10" x14ac:dyDescent="0.35">
      <c r="A118" s="9" t="s">
        <v>5</v>
      </c>
      <c r="B118" s="3">
        <v>1</v>
      </c>
      <c r="C118" s="4" t="str">
        <f t="shared" si="4"/>
        <v>Bad</v>
      </c>
      <c r="D118" s="3" t="s">
        <v>249</v>
      </c>
      <c r="E118" s="3" t="s">
        <v>250</v>
      </c>
      <c r="F118" s="5" t="s">
        <v>238</v>
      </c>
      <c r="G118" s="4" t="str">
        <f t="shared" si="5"/>
        <v>20th</v>
      </c>
      <c r="H118" s="4" t="str">
        <f t="shared" si="6"/>
        <v>October</v>
      </c>
      <c r="I118" s="4" t="str">
        <f t="shared" si="7"/>
        <v>2017</v>
      </c>
      <c r="J118" s="10" t="s">
        <v>12</v>
      </c>
    </row>
    <row r="119" spans="1:10" x14ac:dyDescent="0.35">
      <c r="A119" s="9" t="s">
        <v>5</v>
      </c>
      <c r="B119" s="3">
        <v>5</v>
      </c>
      <c r="C119" s="4" t="str">
        <f t="shared" si="4"/>
        <v>Neutral</v>
      </c>
      <c r="D119" s="3" t="s">
        <v>251</v>
      </c>
      <c r="E119" s="3" t="s">
        <v>252</v>
      </c>
      <c r="F119" s="5" t="s">
        <v>238</v>
      </c>
      <c r="G119" s="4" t="str">
        <f t="shared" si="5"/>
        <v>20th</v>
      </c>
      <c r="H119" s="4" t="str">
        <f t="shared" si="6"/>
        <v>October</v>
      </c>
      <c r="I119" s="4" t="str">
        <f t="shared" si="7"/>
        <v>2017</v>
      </c>
      <c r="J119" s="10" t="s">
        <v>12</v>
      </c>
    </row>
    <row r="120" spans="1:10" x14ac:dyDescent="0.35">
      <c r="A120" s="9" t="s">
        <v>5</v>
      </c>
      <c r="B120" s="3">
        <v>4</v>
      </c>
      <c r="C120" s="4" t="str">
        <f t="shared" si="4"/>
        <v>Bad</v>
      </c>
      <c r="D120" s="3" t="s">
        <v>253</v>
      </c>
      <c r="E120" s="3" t="s">
        <v>254</v>
      </c>
      <c r="F120" s="5" t="s">
        <v>238</v>
      </c>
      <c r="G120" s="4" t="str">
        <f t="shared" si="5"/>
        <v>20th</v>
      </c>
      <c r="H120" s="4" t="str">
        <f t="shared" si="6"/>
        <v>October</v>
      </c>
      <c r="I120" s="4" t="str">
        <f t="shared" si="7"/>
        <v>2017</v>
      </c>
      <c r="J120" s="10" t="s">
        <v>12</v>
      </c>
    </row>
    <row r="121" spans="1:10" x14ac:dyDescent="0.35">
      <c r="A121" s="9" t="s">
        <v>5</v>
      </c>
      <c r="B121" s="3">
        <v>7</v>
      </c>
      <c r="C121" s="4" t="str">
        <f t="shared" si="4"/>
        <v>Neutral</v>
      </c>
      <c r="D121" s="3" t="s">
        <v>255</v>
      </c>
      <c r="E121" s="3" t="s">
        <v>256</v>
      </c>
      <c r="F121" s="5" t="s">
        <v>238</v>
      </c>
      <c r="G121" s="4" t="str">
        <f t="shared" si="5"/>
        <v>20th</v>
      </c>
      <c r="H121" s="4" t="str">
        <f t="shared" si="6"/>
        <v>October</v>
      </c>
      <c r="I121" s="4" t="str">
        <f t="shared" si="7"/>
        <v>2017</v>
      </c>
      <c r="J121" s="10" t="s">
        <v>9</v>
      </c>
    </row>
    <row r="122" spans="1:10" x14ac:dyDescent="0.35">
      <c r="A122" s="9" t="s">
        <v>257</v>
      </c>
      <c r="B122" s="3">
        <v>8</v>
      </c>
      <c r="C122" s="4" t="str">
        <f t="shared" si="4"/>
        <v>Good</v>
      </c>
      <c r="D122" s="3" t="s">
        <v>258</v>
      </c>
      <c r="E122" s="3" t="s">
        <v>259</v>
      </c>
      <c r="F122" s="5" t="s">
        <v>260</v>
      </c>
      <c r="G122" s="4" t="str">
        <f t="shared" si="5"/>
        <v>26th</v>
      </c>
      <c r="H122" s="4" t="str">
        <f t="shared" si="6"/>
        <v>September</v>
      </c>
      <c r="I122" s="4" t="str">
        <f t="shared" si="7"/>
        <v>2024</v>
      </c>
      <c r="J122" s="10" t="s">
        <v>9</v>
      </c>
    </row>
    <row r="123" spans="1:10" x14ac:dyDescent="0.35">
      <c r="A123" s="9" t="s">
        <v>257</v>
      </c>
      <c r="B123" s="3">
        <v>1</v>
      </c>
      <c r="C123" s="4" t="str">
        <f t="shared" si="4"/>
        <v>Bad</v>
      </c>
      <c r="D123" s="3" t="s">
        <v>261</v>
      </c>
      <c r="E123" s="3" t="s">
        <v>262</v>
      </c>
      <c r="F123" s="5" t="s">
        <v>260</v>
      </c>
      <c r="G123" s="4" t="str">
        <f t="shared" si="5"/>
        <v>26th</v>
      </c>
      <c r="H123" s="4" t="str">
        <f t="shared" si="6"/>
        <v>September</v>
      </c>
      <c r="I123" s="4" t="str">
        <f t="shared" si="7"/>
        <v>2024</v>
      </c>
      <c r="J123" s="10" t="s">
        <v>12</v>
      </c>
    </row>
    <row r="124" spans="1:10" x14ac:dyDescent="0.35">
      <c r="A124" s="9" t="s">
        <v>257</v>
      </c>
      <c r="B124" s="3">
        <v>1</v>
      </c>
      <c r="C124" s="4" t="str">
        <f t="shared" si="4"/>
        <v>Bad</v>
      </c>
      <c r="D124" s="3" t="s">
        <v>263</v>
      </c>
      <c r="E124" s="3" t="s">
        <v>264</v>
      </c>
      <c r="F124" s="5" t="s">
        <v>260</v>
      </c>
      <c r="G124" s="4" t="str">
        <f t="shared" si="5"/>
        <v>26th</v>
      </c>
      <c r="H124" s="4" t="str">
        <f t="shared" si="6"/>
        <v>September</v>
      </c>
      <c r="I124" s="4" t="str">
        <f t="shared" si="7"/>
        <v>2024</v>
      </c>
      <c r="J124" s="10" t="s">
        <v>12</v>
      </c>
    </row>
    <row r="125" spans="1:10" x14ac:dyDescent="0.35">
      <c r="A125" s="9" t="s">
        <v>257</v>
      </c>
      <c r="B125" s="3">
        <v>1</v>
      </c>
      <c r="C125" s="4" t="str">
        <f t="shared" si="4"/>
        <v>Bad</v>
      </c>
      <c r="D125" s="3" t="s">
        <v>265</v>
      </c>
      <c r="E125" s="3" t="s">
        <v>266</v>
      </c>
      <c r="F125" s="5" t="s">
        <v>260</v>
      </c>
      <c r="G125" s="4" t="str">
        <f t="shared" si="5"/>
        <v>26th</v>
      </c>
      <c r="H125" s="4" t="str">
        <f t="shared" si="6"/>
        <v>September</v>
      </c>
      <c r="I125" s="4" t="str">
        <f t="shared" si="7"/>
        <v>2024</v>
      </c>
      <c r="J125" s="10" t="s">
        <v>12</v>
      </c>
    </row>
    <row r="126" spans="1:10" x14ac:dyDescent="0.35">
      <c r="A126" s="9" t="s">
        <v>257</v>
      </c>
      <c r="B126" s="3">
        <v>1</v>
      </c>
      <c r="C126" s="4" t="str">
        <f t="shared" si="4"/>
        <v>Bad</v>
      </c>
      <c r="D126" s="3" t="s">
        <v>267</v>
      </c>
      <c r="E126" s="3" t="s">
        <v>268</v>
      </c>
      <c r="F126" s="5" t="s">
        <v>260</v>
      </c>
      <c r="G126" s="4" t="str">
        <f t="shared" si="5"/>
        <v>26th</v>
      </c>
      <c r="H126" s="4" t="str">
        <f t="shared" si="6"/>
        <v>September</v>
      </c>
      <c r="I126" s="4" t="str">
        <f t="shared" si="7"/>
        <v>2024</v>
      </c>
      <c r="J126" s="10" t="s">
        <v>12</v>
      </c>
    </row>
    <row r="127" spans="1:10" x14ac:dyDescent="0.35">
      <c r="A127" s="9" t="s">
        <v>257</v>
      </c>
      <c r="B127" s="3">
        <v>1</v>
      </c>
      <c r="C127" s="4" t="str">
        <f t="shared" si="4"/>
        <v>Bad</v>
      </c>
      <c r="D127" s="3" t="s">
        <v>269</v>
      </c>
      <c r="E127" s="3" t="s">
        <v>270</v>
      </c>
      <c r="F127" s="5" t="s">
        <v>260</v>
      </c>
      <c r="G127" s="4" t="str">
        <f t="shared" si="5"/>
        <v>26th</v>
      </c>
      <c r="H127" s="4" t="str">
        <f t="shared" si="6"/>
        <v>September</v>
      </c>
      <c r="I127" s="4" t="str">
        <f t="shared" si="7"/>
        <v>2024</v>
      </c>
      <c r="J127" s="10" t="s">
        <v>12</v>
      </c>
    </row>
    <row r="128" spans="1:10" x14ac:dyDescent="0.35">
      <c r="A128" s="9" t="s">
        <v>257</v>
      </c>
      <c r="B128" s="3">
        <v>2</v>
      </c>
      <c r="C128" s="4" t="str">
        <f t="shared" si="4"/>
        <v>Bad</v>
      </c>
      <c r="D128" s="3" t="s">
        <v>271</v>
      </c>
      <c r="E128" s="3" t="s">
        <v>272</v>
      </c>
      <c r="F128" s="5" t="s">
        <v>260</v>
      </c>
      <c r="G128" s="4" t="str">
        <f t="shared" si="5"/>
        <v>26th</v>
      </c>
      <c r="H128" s="4" t="str">
        <f t="shared" si="6"/>
        <v>September</v>
      </c>
      <c r="I128" s="4" t="str">
        <f t="shared" si="7"/>
        <v>2024</v>
      </c>
      <c r="J128" s="10" t="s">
        <v>9</v>
      </c>
    </row>
    <row r="129" spans="1:10" x14ac:dyDescent="0.35">
      <c r="A129" s="9" t="s">
        <v>257</v>
      </c>
      <c r="B129" s="3">
        <v>10</v>
      </c>
      <c r="C129" s="4" t="str">
        <f t="shared" si="4"/>
        <v>Good</v>
      </c>
      <c r="D129" s="3" t="s">
        <v>273</v>
      </c>
      <c r="E129" s="3" t="s">
        <v>274</v>
      </c>
      <c r="F129" s="5" t="s">
        <v>260</v>
      </c>
      <c r="G129" s="4" t="str">
        <f t="shared" si="5"/>
        <v>26th</v>
      </c>
      <c r="H129" s="4" t="str">
        <f t="shared" si="6"/>
        <v>September</v>
      </c>
      <c r="I129" s="4" t="str">
        <f t="shared" si="7"/>
        <v>2024</v>
      </c>
      <c r="J129" s="10" t="s">
        <v>9</v>
      </c>
    </row>
    <row r="130" spans="1:10" x14ac:dyDescent="0.35">
      <c r="A130" s="9" t="s">
        <v>257</v>
      </c>
      <c r="B130" s="3">
        <v>1</v>
      </c>
      <c r="C130" s="4" t="str">
        <f t="shared" si="4"/>
        <v>Bad</v>
      </c>
      <c r="D130" s="3" t="s">
        <v>275</v>
      </c>
      <c r="E130" s="3" t="s">
        <v>276</v>
      </c>
      <c r="F130" s="5" t="s">
        <v>260</v>
      </c>
      <c r="G130" s="4" t="str">
        <f t="shared" si="5"/>
        <v>26th</v>
      </c>
      <c r="H130" s="4" t="str">
        <f t="shared" si="6"/>
        <v>September</v>
      </c>
      <c r="I130" s="4" t="str">
        <f t="shared" si="7"/>
        <v>2024</v>
      </c>
      <c r="J130" s="10" t="s">
        <v>12</v>
      </c>
    </row>
    <row r="131" spans="1:10" x14ac:dyDescent="0.35">
      <c r="A131" s="9" t="s">
        <v>257</v>
      </c>
      <c r="B131" s="3">
        <v>1</v>
      </c>
      <c r="C131" s="4" t="str">
        <f t="shared" ref="C131:C194" si="8">IF(B131&gt;=8,"Good",IF(B131&gt;=5,"Neutral","Bad"))</f>
        <v>Bad</v>
      </c>
      <c r="D131" s="3" t="s">
        <v>277</v>
      </c>
      <c r="E131" s="3" t="s">
        <v>278</v>
      </c>
      <c r="F131" s="5" t="s">
        <v>260</v>
      </c>
      <c r="G131" s="4" t="str">
        <f t="shared" ref="G131:G194" si="9">LEFT(F131, FIND(" ", F131)-1)</f>
        <v>26th</v>
      </c>
      <c r="H131" s="4" t="str">
        <f t="shared" ref="H131:H194" si="10">TRIM(MID(F131, FIND(" ", F131)+1, FIND(" ", F131, FIND(" ", F131)+1) - FIND(" ", F131)-1))</f>
        <v>September</v>
      </c>
      <c r="I131" s="4" t="str">
        <f t="shared" ref="I131:I194" si="11">RIGHT(F131, 4)</f>
        <v>2024</v>
      </c>
      <c r="J131" s="10" t="s">
        <v>12</v>
      </c>
    </row>
    <row r="132" spans="1:10" x14ac:dyDescent="0.35">
      <c r="A132" s="9" t="s">
        <v>257</v>
      </c>
      <c r="B132" s="3">
        <v>1</v>
      </c>
      <c r="C132" s="4" t="str">
        <f t="shared" si="8"/>
        <v>Bad</v>
      </c>
      <c r="D132" s="3" t="s">
        <v>279</v>
      </c>
      <c r="E132" s="3" t="s">
        <v>280</v>
      </c>
      <c r="F132" s="5" t="s">
        <v>281</v>
      </c>
      <c r="G132" s="4" t="str">
        <f t="shared" si="9"/>
        <v>11th</v>
      </c>
      <c r="H132" s="4" t="str">
        <f t="shared" si="10"/>
        <v>September</v>
      </c>
      <c r="I132" s="4" t="str">
        <f t="shared" si="11"/>
        <v>2024</v>
      </c>
      <c r="J132" s="10" t="s">
        <v>12</v>
      </c>
    </row>
    <row r="133" spans="1:10" x14ac:dyDescent="0.35">
      <c r="A133" s="9" t="s">
        <v>257</v>
      </c>
      <c r="B133" s="3">
        <v>2</v>
      </c>
      <c r="C133" s="4" t="str">
        <f t="shared" si="8"/>
        <v>Bad</v>
      </c>
      <c r="D133" s="3" t="s">
        <v>282</v>
      </c>
      <c r="E133" s="3" t="s">
        <v>283</v>
      </c>
      <c r="F133" s="5" t="s">
        <v>281</v>
      </c>
      <c r="G133" s="4" t="str">
        <f t="shared" si="9"/>
        <v>11th</v>
      </c>
      <c r="H133" s="4" t="str">
        <f t="shared" si="10"/>
        <v>September</v>
      </c>
      <c r="I133" s="4" t="str">
        <f t="shared" si="11"/>
        <v>2024</v>
      </c>
      <c r="J133" s="10" t="s">
        <v>12</v>
      </c>
    </row>
    <row r="134" spans="1:10" x14ac:dyDescent="0.35">
      <c r="A134" s="9" t="s">
        <v>257</v>
      </c>
      <c r="B134" s="3">
        <v>1</v>
      </c>
      <c r="C134" s="4" t="str">
        <f t="shared" si="8"/>
        <v>Bad</v>
      </c>
      <c r="D134" s="3" t="s">
        <v>284</v>
      </c>
      <c r="E134" s="3" t="s">
        <v>285</v>
      </c>
      <c r="F134" s="5" t="s">
        <v>281</v>
      </c>
      <c r="G134" s="4" t="str">
        <f t="shared" si="9"/>
        <v>11th</v>
      </c>
      <c r="H134" s="4" t="str">
        <f t="shared" si="10"/>
        <v>September</v>
      </c>
      <c r="I134" s="4" t="str">
        <f t="shared" si="11"/>
        <v>2024</v>
      </c>
      <c r="J134" s="10" t="s">
        <v>12</v>
      </c>
    </row>
    <row r="135" spans="1:10" x14ac:dyDescent="0.35">
      <c r="A135" s="9" t="s">
        <v>257</v>
      </c>
      <c r="B135" s="3">
        <v>2</v>
      </c>
      <c r="C135" s="4" t="str">
        <f t="shared" si="8"/>
        <v>Bad</v>
      </c>
      <c r="D135" s="3" t="s">
        <v>286</v>
      </c>
      <c r="E135" s="3" t="s">
        <v>287</v>
      </c>
      <c r="F135" s="5" t="s">
        <v>281</v>
      </c>
      <c r="G135" s="4" t="str">
        <f t="shared" si="9"/>
        <v>11th</v>
      </c>
      <c r="H135" s="4" t="str">
        <f t="shared" si="10"/>
        <v>September</v>
      </c>
      <c r="I135" s="4" t="str">
        <f t="shared" si="11"/>
        <v>2024</v>
      </c>
      <c r="J135" s="10" t="s">
        <v>12</v>
      </c>
    </row>
    <row r="136" spans="1:10" x14ac:dyDescent="0.35">
      <c r="A136" s="9" t="s">
        <v>257</v>
      </c>
      <c r="B136" s="3">
        <v>1</v>
      </c>
      <c r="C136" s="4" t="str">
        <f t="shared" si="8"/>
        <v>Bad</v>
      </c>
      <c r="D136" s="3" t="s">
        <v>288</v>
      </c>
      <c r="E136" s="3" t="s">
        <v>289</v>
      </c>
      <c r="F136" s="5" t="s">
        <v>281</v>
      </c>
      <c r="G136" s="4" t="str">
        <f t="shared" si="9"/>
        <v>11th</v>
      </c>
      <c r="H136" s="4" t="str">
        <f t="shared" si="10"/>
        <v>September</v>
      </c>
      <c r="I136" s="4" t="str">
        <f t="shared" si="11"/>
        <v>2024</v>
      </c>
      <c r="J136" s="10" t="s">
        <v>12</v>
      </c>
    </row>
    <row r="137" spans="1:10" x14ac:dyDescent="0.35">
      <c r="A137" s="9" t="s">
        <v>257</v>
      </c>
      <c r="B137" s="3">
        <v>2</v>
      </c>
      <c r="C137" s="4" t="str">
        <f t="shared" si="8"/>
        <v>Bad</v>
      </c>
      <c r="D137" s="3" t="s">
        <v>290</v>
      </c>
      <c r="E137" s="3" t="s">
        <v>291</v>
      </c>
      <c r="F137" s="5" t="s">
        <v>281</v>
      </c>
      <c r="G137" s="4" t="str">
        <f t="shared" si="9"/>
        <v>11th</v>
      </c>
      <c r="H137" s="4" t="str">
        <f t="shared" si="10"/>
        <v>September</v>
      </c>
      <c r="I137" s="4" t="str">
        <f t="shared" si="11"/>
        <v>2024</v>
      </c>
      <c r="J137" s="10" t="s">
        <v>12</v>
      </c>
    </row>
    <row r="138" spans="1:10" x14ac:dyDescent="0.35">
      <c r="A138" s="9" t="s">
        <v>257</v>
      </c>
      <c r="B138" s="3">
        <v>7</v>
      </c>
      <c r="C138" s="4" t="str">
        <f t="shared" si="8"/>
        <v>Neutral</v>
      </c>
      <c r="D138" s="3" t="s">
        <v>292</v>
      </c>
      <c r="E138" s="3" t="s">
        <v>293</v>
      </c>
      <c r="F138" s="5" t="s">
        <v>281</v>
      </c>
      <c r="G138" s="4" t="str">
        <f t="shared" si="9"/>
        <v>11th</v>
      </c>
      <c r="H138" s="4" t="str">
        <f t="shared" si="10"/>
        <v>September</v>
      </c>
      <c r="I138" s="4" t="str">
        <f t="shared" si="11"/>
        <v>2024</v>
      </c>
      <c r="J138" s="10" t="s">
        <v>9</v>
      </c>
    </row>
    <row r="139" spans="1:10" x14ac:dyDescent="0.35">
      <c r="A139" s="9" t="s">
        <v>257</v>
      </c>
      <c r="B139" s="3">
        <v>2</v>
      </c>
      <c r="C139" s="4" t="str">
        <f t="shared" si="8"/>
        <v>Bad</v>
      </c>
      <c r="D139" s="3" t="s">
        <v>294</v>
      </c>
      <c r="E139" s="3" t="s">
        <v>295</v>
      </c>
      <c r="F139" s="5" t="s">
        <v>281</v>
      </c>
      <c r="G139" s="4" t="str">
        <f t="shared" si="9"/>
        <v>11th</v>
      </c>
      <c r="H139" s="4" t="str">
        <f t="shared" si="10"/>
        <v>September</v>
      </c>
      <c r="I139" s="4" t="str">
        <f t="shared" si="11"/>
        <v>2024</v>
      </c>
      <c r="J139" s="10" t="s">
        <v>12</v>
      </c>
    </row>
    <row r="140" spans="1:10" x14ac:dyDescent="0.35">
      <c r="A140" s="9" t="s">
        <v>257</v>
      </c>
      <c r="B140" s="3">
        <v>1</v>
      </c>
      <c r="C140" s="4" t="str">
        <f t="shared" si="8"/>
        <v>Bad</v>
      </c>
      <c r="D140" s="3" t="s">
        <v>296</v>
      </c>
      <c r="E140" s="3" t="s">
        <v>297</v>
      </c>
      <c r="F140" s="5" t="s">
        <v>281</v>
      </c>
      <c r="G140" s="4" t="str">
        <f t="shared" si="9"/>
        <v>11th</v>
      </c>
      <c r="H140" s="4" t="str">
        <f t="shared" si="10"/>
        <v>September</v>
      </c>
      <c r="I140" s="4" t="str">
        <f t="shared" si="11"/>
        <v>2024</v>
      </c>
      <c r="J140" s="10" t="s">
        <v>12</v>
      </c>
    </row>
    <row r="141" spans="1:10" x14ac:dyDescent="0.35">
      <c r="A141" s="9" t="s">
        <v>257</v>
      </c>
      <c r="B141" s="3">
        <v>1</v>
      </c>
      <c r="C141" s="4" t="str">
        <f t="shared" si="8"/>
        <v>Bad</v>
      </c>
      <c r="D141" s="3" t="s">
        <v>298</v>
      </c>
      <c r="E141" s="3" t="s">
        <v>299</v>
      </c>
      <c r="F141" s="5" t="s">
        <v>281</v>
      </c>
      <c r="G141" s="4" t="str">
        <f t="shared" si="9"/>
        <v>11th</v>
      </c>
      <c r="H141" s="4" t="str">
        <f t="shared" si="10"/>
        <v>September</v>
      </c>
      <c r="I141" s="4" t="str">
        <f t="shared" si="11"/>
        <v>2024</v>
      </c>
      <c r="J141" s="10" t="s">
        <v>12</v>
      </c>
    </row>
    <row r="142" spans="1:10" x14ac:dyDescent="0.35">
      <c r="A142" s="9" t="s">
        <v>257</v>
      </c>
      <c r="B142" s="3">
        <v>5</v>
      </c>
      <c r="C142" s="4" t="str">
        <f t="shared" si="8"/>
        <v>Neutral</v>
      </c>
      <c r="D142" s="3" t="s">
        <v>300</v>
      </c>
      <c r="E142" s="3" t="s">
        <v>301</v>
      </c>
      <c r="F142" s="5" t="s">
        <v>302</v>
      </c>
      <c r="G142" s="4" t="str">
        <f t="shared" si="9"/>
        <v>27th</v>
      </c>
      <c r="H142" s="4" t="str">
        <f t="shared" si="10"/>
        <v>August</v>
      </c>
      <c r="I142" s="4" t="str">
        <f t="shared" si="11"/>
        <v>2024</v>
      </c>
      <c r="J142" s="10" t="s">
        <v>12</v>
      </c>
    </row>
    <row r="143" spans="1:10" x14ac:dyDescent="0.35">
      <c r="A143" s="9" t="s">
        <v>257</v>
      </c>
      <c r="B143" s="3">
        <v>1</v>
      </c>
      <c r="C143" s="4" t="str">
        <f t="shared" si="8"/>
        <v>Bad</v>
      </c>
      <c r="D143" s="3" t="s">
        <v>303</v>
      </c>
      <c r="E143" s="3" t="s">
        <v>304</v>
      </c>
      <c r="F143" s="5" t="s">
        <v>302</v>
      </c>
      <c r="G143" s="4" t="str">
        <f t="shared" si="9"/>
        <v>27th</v>
      </c>
      <c r="H143" s="4" t="str">
        <f t="shared" si="10"/>
        <v>August</v>
      </c>
      <c r="I143" s="4" t="str">
        <f t="shared" si="11"/>
        <v>2024</v>
      </c>
      <c r="J143" s="10" t="s">
        <v>12</v>
      </c>
    </row>
    <row r="144" spans="1:10" x14ac:dyDescent="0.35">
      <c r="A144" s="9" t="s">
        <v>257</v>
      </c>
      <c r="B144" s="3">
        <v>1</v>
      </c>
      <c r="C144" s="4" t="str">
        <f t="shared" si="8"/>
        <v>Bad</v>
      </c>
      <c r="D144" s="3" t="s">
        <v>305</v>
      </c>
      <c r="E144" s="3" t="s">
        <v>306</v>
      </c>
      <c r="F144" s="5" t="s">
        <v>302</v>
      </c>
      <c r="G144" s="4" t="str">
        <f t="shared" si="9"/>
        <v>27th</v>
      </c>
      <c r="H144" s="4" t="str">
        <f t="shared" si="10"/>
        <v>August</v>
      </c>
      <c r="I144" s="4" t="str">
        <f t="shared" si="11"/>
        <v>2024</v>
      </c>
      <c r="J144" s="10" t="s">
        <v>12</v>
      </c>
    </row>
    <row r="145" spans="1:10" x14ac:dyDescent="0.35">
      <c r="A145" s="9" t="s">
        <v>257</v>
      </c>
      <c r="B145" s="3">
        <v>1</v>
      </c>
      <c r="C145" s="4" t="str">
        <f t="shared" si="8"/>
        <v>Bad</v>
      </c>
      <c r="D145" s="3" t="s">
        <v>307</v>
      </c>
      <c r="E145" s="3" t="s">
        <v>308</v>
      </c>
      <c r="F145" s="5" t="s">
        <v>302</v>
      </c>
      <c r="G145" s="4" t="str">
        <f t="shared" si="9"/>
        <v>27th</v>
      </c>
      <c r="H145" s="4" t="str">
        <f t="shared" si="10"/>
        <v>August</v>
      </c>
      <c r="I145" s="4" t="str">
        <f t="shared" si="11"/>
        <v>2024</v>
      </c>
      <c r="J145" s="10" t="s">
        <v>12</v>
      </c>
    </row>
    <row r="146" spans="1:10" x14ac:dyDescent="0.35">
      <c r="A146" s="9" t="s">
        <v>257</v>
      </c>
      <c r="B146" s="3">
        <v>1</v>
      </c>
      <c r="C146" s="4" t="str">
        <f t="shared" si="8"/>
        <v>Bad</v>
      </c>
      <c r="D146" s="3" t="s">
        <v>309</v>
      </c>
      <c r="E146" s="3" t="s">
        <v>310</v>
      </c>
      <c r="F146" s="5" t="s">
        <v>302</v>
      </c>
      <c r="G146" s="4" t="str">
        <f t="shared" si="9"/>
        <v>27th</v>
      </c>
      <c r="H146" s="4" t="str">
        <f t="shared" si="10"/>
        <v>August</v>
      </c>
      <c r="I146" s="4" t="str">
        <f t="shared" si="11"/>
        <v>2024</v>
      </c>
      <c r="J146" s="10" t="s">
        <v>12</v>
      </c>
    </row>
    <row r="147" spans="1:10" x14ac:dyDescent="0.35">
      <c r="A147" s="9" t="s">
        <v>257</v>
      </c>
      <c r="B147" s="3">
        <v>1</v>
      </c>
      <c r="C147" s="4" t="str">
        <f t="shared" si="8"/>
        <v>Bad</v>
      </c>
      <c r="D147" s="3" t="s">
        <v>311</v>
      </c>
      <c r="E147" s="3" t="s">
        <v>312</v>
      </c>
      <c r="F147" s="5" t="s">
        <v>302</v>
      </c>
      <c r="G147" s="4" t="str">
        <f t="shared" si="9"/>
        <v>27th</v>
      </c>
      <c r="H147" s="4" t="str">
        <f t="shared" si="10"/>
        <v>August</v>
      </c>
      <c r="I147" s="4" t="str">
        <f t="shared" si="11"/>
        <v>2024</v>
      </c>
      <c r="J147" s="10" t="s">
        <v>12</v>
      </c>
    </row>
    <row r="148" spans="1:10" x14ac:dyDescent="0.35">
      <c r="A148" s="9" t="s">
        <v>257</v>
      </c>
      <c r="B148" s="3">
        <v>1</v>
      </c>
      <c r="C148" s="4" t="str">
        <f t="shared" si="8"/>
        <v>Bad</v>
      </c>
      <c r="D148" s="3" t="s">
        <v>313</v>
      </c>
      <c r="E148" s="3" t="s">
        <v>314</v>
      </c>
      <c r="F148" s="5" t="s">
        <v>302</v>
      </c>
      <c r="G148" s="4" t="str">
        <f t="shared" si="9"/>
        <v>27th</v>
      </c>
      <c r="H148" s="4" t="str">
        <f t="shared" si="10"/>
        <v>August</v>
      </c>
      <c r="I148" s="4" t="str">
        <f t="shared" si="11"/>
        <v>2024</v>
      </c>
      <c r="J148" s="10" t="s">
        <v>12</v>
      </c>
    </row>
    <row r="149" spans="1:10" x14ac:dyDescent="0.35">
      <c r="A149" s="9" t="s">
        <v>257</v>
      </c>
      <c r="B149" s="3">
        <v>2</v>
      </c>
      <c r="C149" s="4" t="str">
        <f t="shared" si="8"/>
        <v>Bad</v>
      </c>
      <c r="D149" s="3" t="s">
        <v>315</v>
      </c>
      <c r="E149" s="3" t="s">
        <v>316</v>
      </c>
      <c r="F149" s="5" t="s">
        <v>302</v>
      </c>
      <c r="G149" s="4" t="str">
        <f t="shared" si="9"/>
        <v>27th</v>
      </c>
      <c r="H149" s="4" t="str">
        <f t="shared" si="10"/>
        <v>August</v>
      </c>
      <c r="I149" s="4" t="str">
        <f t="shared" si="11"/>
        <v>2024</v>
      </c>
      <c r="J149" s="10" t="s">
        <v>12</v>
      </c>
    </row>
    <row r="150" spans="1:10" x14ac:dyDescent="0.35">
      <c r="A150" s="9" t="s">
        <v>257</v>
      </c>
      <c r="B150" s="3">
        <v>1</v>
      </c>
      <c r="C150" s="4" t="str">
        <f t="shared" si="8"/>
        <v>Bad</v>
      </c>
      <c r="D150" s="3" t="s">
        <v>317</v>
      </c>
      <c r="E150" s="3" t="s">
        <v>318</v>
      </c>
      <c r="F150" s="5" t="s">
        <v>302</v>
      </c>
      <c r="G150" s="4" t="str">
        <f t="shared" si="9"/>
        <v>27th</v>
      </c>
      <c r="H150" s="4" t="str">
        <f t="shared" si="10"/>
        <v>August</v>
      </c>
      <c r="I150" s="4" t="str">
        <f t="shared" si="11"/>
        <v>2024</v>
      </c>
      <c r="J150" s="10" t="s">
        <v>12</v>
      </c>
    </row>
    <row r="151" spans="1:10" x14ac:dyDescent="0.35">
      <c r="A151" s="9" t="s">
        <v>257</v>
      </c>
      <c r="B151" s="3">
        <v>1</v>
      </c>
      <c r="C151" s="4" t="str">
        <f t="shared" si="8"/>
        <v>Bad</v>
      </c>
      <c r="D151" s="3" t="s">
        <v>319</v>
      </c>
      <c r="E151" s="3" t="s">
        <v>320</v>
      </c>
      <c r="F151" s="5" t="s">
        <v>302</v>
      </c>
      <c r="G151" s="4" t="str">
        <f t="shared" si="9"/>
        <v>27th</v>
      </c>
      <c r="H151" s="4" t="str">
        <f t="shared" si="10"/>
        <v>August</v>
      </c>
      <c r="I151" s="4" t="str">
        <f t="shared" si="11"/>
        <v>2024</v>
      </c>
      <c r="J151" s="10" t="s">
        <v>12</v>
      </c>
    </row>
    <row r="152" spans="1:10" x14ac:dyDescent="0.35">
      <c r="A152" s="9" t="s">
        <v>257</v>
      </c>
      <c r="B152" s="3">
        <v>1</v>
      </c>
      <c r="C152" s="4" t="str">
        <f t="shared" si="8"/>
        <v>Bad</v>
      </c>
      <c r="D152" s="3" t="s">
        <v>321</v>
      </c>
      <c r="E152" s="3" t="s">
        <v>322</v>
      </c>
      <c r="F152" s="5" t="s">
        <v>323</v>
      </c>
      <c r="G152" s="4" t="str">
        <f t="shared" si="9"/>
        <v>19th</v>
      </c>
      <c r="H152" s="4" t="str">
        <f t="shared" si="10"/>
        <v>July</v>
      </c>
      <c r="I152" s="4" t="str">
        <f t="shared" si="11"/>
        <v>2024</v>
      </c>
      <c r="J152" s="10" t="s">
        <v>12</v>
      </c>
    </row>
    <row r="153" spans="1:10" x14ac:dyDescent="0.35">
      <c r="A153" s="9" t="s">
        <v>257</v>
      </c>
      <c r="B153" s="3">
        <v>2</v>
      </c>
      <c r="C153" s="4" t="str">
        <f t="shared" si="8"/>
        <v>Bad</v>
      </c>
      <c r="D153" s="3" t="s">
        <v>324</v>
      </c>
      <c r="E153" s="3" t="s">
        <v>325</v>
      </c>
      <c r="F153" s="5" t="s">
        <v>323</v>
      </c>
      <c r="G153" s="4" t="str">
        <f t="shared" si="9"/>
        <v>19th</v>
      </c>
      <c r="H153" s="4" t="str">
        <f t="shared" si="10"/>
        <v>July</v>
      </c>
      <c r="I153" s="4" t="str">
        <f t="shared" si="11"/>
        <v>2024</v>
      </c>
      <c r="J153" s="10" t="s">
        <v>12</v>
      </c>
    </row>
    <row r="154" spans="1:10" x14ac:dyDescent="0.35">
      <c r="A154" s="9" t="s">
        <v>257</v>
      </c>
      <c r="B154" s="3">
        <v>1</v>
      </c>
      <c r="C154" s="4" t="str">
        <f t="shared" si="8"/>
        <v>Bad</v>
      </c>
      <c r="D154" s="3" t="s">
        <v>326</v>
      </c>
      <c r="E154" s="3" t="s">
        <v>327</v>
      </c>
      <c r="F154" s="5" t="s">
        <v>323</v>
      </c>
      <c r="G154" s="4" t="str">
        <f t="shared" si="9"/>
        <v>19th</v>
      </c>
      <c r="H154" s="4" t="str">
        <f t="shared" si="10"/>
        <v>July</v>
      </c>
      <c r="I154" s="4" t="str">
        <f t="shared" si="11"/>
        <v>2024</v>
      </c>
      <c r="J154" s="10" t="s">
        <v>12</v>
      </c>
    </row>
    <row r="155" spans="1:10" x14ac:dyDescent="0.35">
      <c r="A155" s="9" t="s">
        <v>257</v>
      </c>
      <c r="B155" s="3">
        <v>1</v>
      </c>
      <c r="C155" s="4" t="str">
        <f t="shared" si="8"/>
        <v>Bad</v>
      </c>
      <c r="D155" s="3" t="s">
        <v>328</v>
      </c>
      <c r="E155" s="3" t="s">
        <v>329</v>
      </c>
      <c r="F155" s="5" t="s">
        <v>323</v>
      </c>
      <c r="G155" s="4" t="str">
        <f t="shared" si="9"/>
        <v>19th</v>
      </c>
      <c r="H155" s="4" t="str">
        <f t="shared" si="10"/>
        <v>July</v>
      </c>
      <c r="I155" s="4" t="str">
        <f t="shared" si="11"/>
        <v>2024</v>
      </c>
      <c r="J155" s="10" t="s">
        <v>12</v>
      </c>
    </row>
    <row r="156" spans="1:10" x14ac:dyDescent="0.35">
      <c r="A156" s="9" t="s">
        <v>257</v>
      </c>
      <c r="B156" s="3">
        <v>1</v>
      </c>
      <c r="C156" s="4" t="str">
        <f t="shared" si="8"/>
        <v>Bad</v>
      </c>
      <c r="D156" s="3" t="s">
        <v>330</v>
      </c>
      <c r="E156" s="3" t="s">
        <v>331</v>
      </c>
      <c r="F156" s="5" t="s">
        <v>323</v>
      </c>
      <c r="G156" s="4" t="str">
        <f t="shared" si="9"/>
        <v>19th</v>
      </c>
      <c r="H156" s="4" t="str">
        <f t="shared" si="10"/>
        <v>July</v>
      </c>
      <c r="I156" s="4" t="str">
        <f t="shared" si="11"/>
        <v>2024</v>
      </c>
      <c r="J156" s="10" t="s">
        <v>12</v>
      </c>
    </row>
    <row r="157" spans="1:10" x14ac:dyDescent="0.35">
      <c r="A157" s="9" t="s">
        <v>257</v>
      </c>
      <c r="B157" s="3">
        <v>1</v>
      </c>
      <c r="C157" s="4" t="str">
        <f t="shared" si="8"/>
        <v>Bad</v>
      </c>
      <c r="D157" s="3" t="s">
        <v>332</v>
      </c>
      <c r="E157" s="3" t="s">
        <v>333</v>
      </c>
      <c r="F157" s="5" t="s">
        <v>323</v>
      </c>
      <c r="G157" s="4" t="str">
        <f t="shared" si="9"/>
        <v>19th</v>
      </c>
      <c r="H157" s="4" t="str">
        <f t="shared" si="10"/>
        <v>July</v>
      </c>
      <c r="I157" s="4" t="str">
        <f t="shared" si="11"/>
        <v>2024</v>
      </c>
      <c r="J157" s="10" t="s">
        <v>12</v>
      </c>
    </row>
    <row r="158" spans="1:10" x14ac:dyDescent="0.35">
      <c r="A158" s="9" t="s">
        <v>257</v>
      </c>
      <c r="B158" s="3">
        <v>1</v>
      </c>
      <c r="C158" s="4" t="str">
        <f t="shared" si="8"/>
        <v>Bad</v>
      </c>
      <c r="D158" s="3" t="s">
        <v>334</v>
      </c>
      <c r="E158" s="3" t="s">
        <v>335</v>
      </c>
      <c r="F158" s="5" t="s">
        <v>323</v>
      </c>
      <c r="G158" s="4" t="str">
        <f t="shared" si="9"/>
        <v>19th</v>
      </c>
      <c r="H158" s="4" t="str">
        <f t="shared" si="10"/>
        <v>July</v>
      </c>
      <c r="I158" s="4" t="str">
        <f t="shared" si="11"/>
        <v>2024</v>
      </c>
      <c r="J158" s="10" t="s">
        <v>12</v>
      </c>
    </row>
    <row r="159" spans="1:10" x14ac:dyDescent="0.35">
      <c r="A159" s="9" t="s">
        <v>257</v>
      </c>
      <c r="B159" s="3">
        <v>1</v>
      </c>
      <c r="C159" s="4" t="str">
        <f t="shared" si="8"/>
        <v>Bad</v>
      </c>
      <c r="D159" s="3" t="s">
        <v>336</v>
      </c>
      <c r="E159" s="3" t="s">
        <v>337</v>
      </c>
      <c r="F159" s="5" t="s">
        <v>323</v>
      </c>
      <c r="G159" s="4" t="str">
        <f t="shared" si="9"/>
        <v>19th</v>
      </c>
      <c r="H159" s="4" t="str">
        <f t="shared" si="10"/>
        <v>July</v>
      </c>
      <c r="I159" s="4" t="str">
        <f t="shared" si="11"/>
        <v>2024</v>
      </c>
      <c r="J159" s="10" t="s">
        <v>12</v>
      </c>
    </row>
    <row r="160" spans="1:10" x14ac:dyDescent="0.35">
      <c r="A160" s="9" t="s">
        <v>257</v>
      </c>
      <c r="B160" s="3">
        <v>5</v>
      </c>
      <c r="C160" s="4" t="str">
        <f t="shared" si="8"/>
        <v>Neutral</v>
      </c>
      <c r="D160" s="3" t="s">
        <v>338</v>
      </c>
      <c r="E160" s="3" t="s">
        <v>339</v>
      </c>
      <c r="F160" s="5" t="s">
        <v>323</v>
      </c>
      <c r="G160" s="4" t="str">
        <f t="shared" si="9"/>
        <v>19th</v>
      </c>
      <c r="H160" s="4" t="str">
        <f t="shared" si="10"/>
        <v>July</v>
      </c>
      <c r="I160" s="4" t="str">
        <f t="shared" si="11"/>
        <v>2024</v>
      </c>
      <c r="J160" s="10" t="s">
        <v>9</v>
      </c>
    </row>
    <row r="161" spans="1:10" x14ac:dyDescent="0.35">
      <c r="A161" s="9" t="s">
        <v>257</v>
      </c>
      <c r="B161" s="3">
        <v>1</v>
      </c>
      <c r="C161" s="4" t="str">
        <f t="shared" si="8"/>
        <v>Bad</v>
      </c>
      <c r="D161" s="3" t="s">
        <v>340</v>
      </c>
      <c r="E161" s="3" t="s">
        <v>341</v>
      </c>
      <c r="F161" s="5" t="s">
        <v>323</v>
      </c>
      <c r="G161" s="4" t="str">
        <f t="shared" si="9"/>
        <v>19th</v>
      </c>
      <c r="H161" s="4" t="str">
        <f t="shared" si="10"/>
        <v>July</v>
      </c>
      <c r="I161" s="4" t="str">
        <f t="shared" si="11"/>
        <v>2024</v>
      </c>
      <c r="J161" s="10" t="s">
        <v>12</v>
      </c>
    </row>
    <row r="162" spans="1:10" x14ac:dyDescent="0.35">
      <c r="A162" s="9" t="s">
        <v>257</v>
      </c>
      <c r="B162" s="3">
        <v>1</v>
      </c>
      <c r="C162" s="4" t="str">
        <f t="shared" si="8"/>
        <v>Bad</v>
      </c>
      <c r="D162" s="3" t="s">
        <v>342</v>
      </c>
      <c r="E162" s="3" t="s">
        <v>343</v>
      </c>
      <c r="F162" s="5" t="s">
        <v>344</v>
      </c>
      <c r="G162" s="4" t="str">
        <f t="shared" si="9"/>
        <v>19th</v>
      </c>
      <c r="H162" s="4" t="str">
        <f t="shared" si="10"/>
        <v>June</v>
      </c>
      <c r="I162" s="4" t="str">
        <f t="shared" si="11"/>
        <v>2024</v>
      </c>
      <c r="J162" s="10" t="s">
        <v>12</v>
      </c>
    </row>
    <row r="163" spans="1:10" x14ac:dyDescent="0.35">
      <c r="A163" s="9" t="s">
        <v>257</v>
      </c>
      <c r="B163" s="3">
        <v>9</v>
      </c>
      <c r="C163" s="4" t="str">
        <f t="shared" si="8"/>
        <v>Good</v>
      </c>
      <c r="D163" s="3" t="s">
        <v>345</v>
      </c>
      <c r="E163" s="3" t="s">
        <v>346</v>
      </c>
      <c r="F163" s="5" t="s">
        <v>344</v>
      </c>
      <c r="G163" s="4" t="str">
        <f t="shared" si="9"/>
        <v>19th</v>
      </c>
      <c r="H163" s="4" t="str">
        <f t="shared" si="10"/>
        <v>June</v>
      </c>
      <c r="I163" s="4" t="str">
        <f t="shared" si="11"/>
        <v>2024</v>
      </c>
      <c r="J163" s="10" t="s">
        <v>9</v>
      </c>
    </row>
    <row r="164" spans="1:10" x14ac:dyDescent="0.35">
      <c r="A164" s="9" t="s">
        <v>257</v>
      </c>
      <c r="B164" s="3">
        <v>2</v>
      </c>
      <c r="C164" s="4" t="str">
        <f t="shared" si="8"/>
        <v>Bad</v>
      </c>
      <c r="D164" s="3" t="s">
        <v>347</v>
      </c>
      <c r="E164" s="3" t="s">
        <v>348</v>
      </c>
      <c r="F164" s="5" t="s">
        <v>344</v>
      </c>
      <c r="G164" s="4" t="str">
        <f t="shared" si="9"/>
        <v>19th</v>
      </c>
      <c r="H164" s="4" t="str">
        <f t="shared" si="10"/>
        <v>June</v>
      </c>
      <c r="I164" s="4" t="str">
        <f t="shared" si="11"/>
        <v>2024</v>
      </c>
      <c r="J164" s="10" t="s">
        <v>12</v>
      </c>
    </row>
    <row r="165" spans="1:10" x14ac:dyDescent="0.35">
      <c r="A165" s="9" t="s">
        <v>257</v>
      </c>
      <c r="B165" s="3">
        <v>1</v>
      </c>
      <c r="C165" s="4" t="str">
        <f t="shared" si="8"/>
        <v>Bad</v>
      </c>
      <c r="D165" s="3" t="s">
        <v>349</v>
      </c>
      <c r="E165" s="3" t="s">
        <v>350</v>
      </c>
      <c r="F165" s="5" t="s">
        <v>344</v>
      </c>
      <c r="G165" s="4" t="str">
        <f t="shared" si="9"/>
        <v>19th</v>
      </c>
      <c r="H165" s="4" t="str">
        <f t="shared" si="10"/>
        <v>June</v>
      </c>
      <c r="I165" s="4" t="str">
        <f t="shared" si="11"/>
        <v>2024</v>
      </c>
      <c r="J165" s="10" t="s">
        <v>12</v>
      </c>
    </row>
    <row r="166" spans="1:10" x14ac:dyDescent="0.35">
      <c r="A166" s="9" t="s">
        <v>257</v>
      </c>
      <c r="B166" s="3">
        <v>4</v>
      </c>
      <c r="C166" s="4" t="str">
        <f t="shared" si="8"/>
        <v>Bad</v>
      </c>
      <c r="D166" s="3" t="s">
        <v>351</v>
      </c>
      <c r="E166" s="3" t="s">
        <v>352</v>
      </c>
      <c r="F166" s="5" t="s">
        <v>344</v>
      </c>
      <c r="G166" s="4" t="str">
        <f t="shared" si="9"/>
        <v>19th</v>
      </c>
      <c r="H166" s="4" t="str">
        <f t="shared" si="10"/>
        <v>June</v>
      </c>
      <c r="I166" s="4" t="str">
        <f t="shared" si="11"/>
        <v>2024</v>
      </c>
      <c r="J166" s="10" t="s">
        <v>12</v>
      </c>
    </row>
    <row r="167" spans="1:10" x14ac:dyDescent="0.35">
      <c r="A167" s="9" t="s">
        <v>257</v>
      </c>
      <c r="B167" s="3">
        <v>1</v>
      </c>
      <c r="C167" s="4" t="str">
        <f t="shared" si="8"/>
        <v>Bad</v>
      </c>
      <c r="D167" s="3" t="s">
        <v>353</v>
      </c>
      <c r="E167" s="3" t="s">
        <v>354</v>
      </c>
      <c r="F167" s="5" t="s">
        <v>344</v>
      </c>
      <c r="G167" s="4" t="str">
        <f t="shared" si="9"/>
        <v>19th</v>
      </c>
      <c r="H167" s="4" t="str">
        <f t="shared" si="10"/>
        <v>June</v>
      </c>
      <c r="I167" s="4" t="str">
        <f t="shared" si="11"/>
        <v>2024</v>
      </c>
      <c r="J167" s="10" t="s">
        <v>12</v>
      </c>
    </row>
    <row r="168" spans="1:10" x14ac:dyDescent="0.35">
      <c r="A168" s="9" t="s">
        <v>257</v>
      </c>
      <c r="B168" s="3">
        <v>2</v>
      </c>
      <c r="C168" s="4" t="str">
        <f t="shared" si="8"/>
        <v>Bad</v>
      </c>
      <c r="D168" s="3" t="s">
        <v>355</v>
      </c>
      <c r="E168" s="3" t="s">
        <v>356</v>
      </c>
      <c r="F168" s="5" t="s">
        <v>344</v>
      </c>
      <c r="G168" s="4" t="str">
        <f t="shared" si="9"/>
        <v>19th</v>
      </c>
      <c r="H168" s="4" t="str">
        <f t="shared" si="10"/>
        <v>June</v>
      </c>
      <c r="I168" s="4" t="str">
        <f t="shared" si="11"/>
        <v>2024</v>
      </c>
      <c r="J168" s="10" t="s">
        <v>12</v>
      </c>
    </row>
    <row r="169" spans="1:10" x14ac:dyDescent="0.35">
      <c r="A169" s="9" t="s">
        <v>257</v>
      </c>
      <c r="B169" s="3">
        <v>8</v>
      </c>
      <c r="C169" s="4" t="str">
        <f t="shared" si="8"/>
        <v>Good</v>
      </c>
      <c r="D169" s="3" t="s">
        <v>357</v>
      </c>
      <c r="E169" s="3" t="s">
        <v>358</v>
      </c>
      <c r="F169" s="5" t="s">
        <v>344</v>
      </c>
      <c r="G169" s="4" t="str">
        <f t="shared" si="9"/>
        <v>19th</v>
      </c>
      <c r="H169" s="4" t="str">
        <f t="shared" si="10"/>
        <v>June</v>
      </c>
      <c r="I169" s="4" t="str">
        <f t="shared" si="11"/>
        <v>2024</v>
      </c>
      <c r="J169" s="10" t="s">
        <v>9</v>
      </c>
    </row>
    <row r="170" spans="1:10" x14ac:dyDescent="0.35">
      <c r="A170" s="9" t="s">
        <v>257</v>
      </c>
      <c r="B170" s="3">
        <v>1</v>
      </c>
      <c r="C170" s="4" t="str">
        <f t="shared" si="8"/>
        <v>Bad</v>
      </c>
      <c r="D170" s="3" t="s">
        <v>359</v>
      </c>
      <c r="E170" s="3" t="s">
        <v>360</v>
      </c>
      <c r="F170" s="5" t="s">
        <v>344</v>
      </c>
      <c r="G170" s="4" t="str">
        <f t="shared" si="9"/>
        <v>19th</v>
      </c>
      <c r="H170" s="4" t="str">
        <f t="shared" si="10"/>
        <v>June</v>
      </c>
      <c r="I170" s="4" t="str">
        <f t="shared" si="11"/>
        <v>2024</v>
      </c>
      <c r="J170" s="10" t="s">
        <v>12</v>
      </c>
    </row>
    <row r="171" spans="1:10" x14ac:dyDescent="0.35">
      <c r="A171" s="9" t="s">
        <v>257</v>
      </c>
      <c r="B171" s="3">
        <v>1</v>
      </c>
      <c r="C171" s="4" t="str">
        <f t="shared" si="8"/>
        <v>Bad</v>
      </c>
      <c r="D171" s="3" t="s">
        <v>361</v>
      </c>
      <c r="E171" s="3" t="s">
        <v>362</v>
      </c>
      <c r="F171" s="5" t="s">
        <v>344</v>
      </c>
      <c r="G171" s="4" t="str">
        <f t="shared" si="9"/>
        <v>19th</v>
      </c>
      <c r="H171" s="4" t="str">
        <f t="shared" si="10"/>
        <v>June</v>
      </c>
      <c r="I171" s="4" t="str">
        <f t="shared" si="11"/>
        <v>2024</v>
      </c>
      <c r="J171" s="10" t="s">
        <v>12</v>
      </c>
    </row>
    <row r="172" spans="1:10" x14ac:dyDescent="0.35">
      <c r="A172" s="9" t="s">
        <v>257</v>
      </c>
      <c r="B172" s="3">
        <v>1</v>
      </c>
      <c r="C172" s="4" t="str">
        <f t="shared" si="8"/>
        <v>Bad</v>
      </c>
      <c r="D172" s="3" t="s">
        <v>363</v>
      </c>
      <c r="E172" s="3" t="s">
        <v>364</v>
      </c>
      <c r="F172" s="5" t="s">
        <v>365</v>
      </c>
      <c r="G172" s="4" t="str">
        <f t="shared" si="9"/>
        <v>17th</v>
      </c>
      <c r="H172" s="4" t="str">
        <f t="shared" si="10"/>
        <v>May</v>
      </c>
      <c r="I172" s="4" t="str">
        <f t="shared" si="11"/>
        <v>2024</v>
      </c>
      <c r="J172" s="10" t="s">
        <v>12</v>
      </c>
    </row>
    <row r="173" spans="1:10" x14ac:dyDescent="0.35">
      <c r="A173" s="9" t="s">
        <v>257</v>
      </c>
      <c r="B173" s="3">
        <v>1</v>
      </c>
      <c r="C173" s="4" t="str">
        <f t="shared" si="8"/>
        <v>Bad</v>
      </c>
      <c r="D173" s="3" t="s">
        <v>366</v>
      </c>
      <c r="E173" s="3" t="s">
        <v>367</v>
      </c>
      <c r="F173" s="5" t="s">
        <v>365</v>
      </c>
      <c r="G173" s="4" t="str">
        <f t="shared" si="9"/>
        <v>17th</v>
      </c>
      <c r="H173" s="4" t="str">
        <f t="shared" si="10"/>
        <v>May</v>
      </c>
      <c r="I173" s="4" t="str">
        <f t="shared" si="11"/>
        <v>2024</v>
      </c>
      <c r="J173" s="10" t="s">
        <v>12</v>
      </c>
    </row>
    <row r="174" spans="1:10" x14ac:dyDescent="0.35">
      <c r="A174" s="9" t="s">
        <v>257</v>
      </c>
      <c r="B174" s="3">
        <v>1</v>
      </c>
      <c r="C174" s="4" t="str">
        <f t="shared" si="8"/>
        <v>Bad</v>
      </c>
      <c r="D174" s="3" t="s">
        <v>368</v>
      </c>
      <c r="E174" s="3" t="s">
        <v>369</v>
      </c>
      <c r="F174" s="5" t="s">
        <v>365</v>
      </c>
      <c r="G174" s="4" t="str">
        <f t="shared" si="9"/>
        <v>17th</v>
      </c>
      <c r="H174" s="4" t="str">
        <f t="shared" si="10"/>
        <v>May</v>
      </c>
      <c r="I174" s="4" t="str">
        <f t="shared" si="11"/>
        <v>2024</v>
      </c>
      <c r="J174" s="10" t="s">
        <v>12</v>
      </c>
    </row>
    <row r="175" spans="1:10" x14ac:dyDescent="0.35">
      <c r="A175" s="9" t="s">
        <v>257</v>
      </c>
      <c r="B175" s="3">
        <v>1</v>
      </c>
      <c r="C175" s="4" t="str">
        <f t="shared" si="8"/>
        <v>Bad</v>
      </c>
      <c r="D175" s="3" t="s">
        <v>370</v>
      </c>
      <c r="E175" s="3" t="s">
        <v>371</v>
      </c>
      <c r="F175" s="5" t="s">
        <v>365</v>
      </c>
      <c r="G175" s="4" t="str">
        <f t="shared" si="9"/>
        <v>17th</v>
      </c>
      <c r="H175" s="4" t="str">
        <f t="shared" si="10"/>
        <v>May</v>
      </c>
      <c r="I175" s="4" t="str">
        <f t="shared" si="11"/>
        <v>2024</v>
      </c>
      <c r="J175" s="10" t="s">
        <v>12</v>
      </c>
    </row>
    <row r="176" spans="1:10" x14ac:dyDescent="0.35">
      <c r="A176" s="9" t="s">
        <v>257</v>
      </c>
      <c r="B176" s="3">
        <v>1</v>
      </c>
      <c r="C176" s="4" t="str">
        <f t="shared" si="8"/>
        <v>Bad</v>
      </c>
      <c r="D176" s="3" t="s">
        <v>372</v>
      </c>
      <c r="E176" s="3" t="s">
        <v>373</v>
      </c>
      <c r="F176" s="5" t="s">
        <v>365</v>
      </c>
      <c r="G176" s="4" t="str">
        <f t="shared" si="9"/>
        <v>17th</v>
      </c>
      <c r="H176" s="4" t="str">
        <f t="shared" si="10"/>
        <v>May</v>
      </c>
      <c r="I176" s="4" t="str">
        <f t="shared" si="11"/>
        <v>2024</v>
      </c>
      <c r="J176" s="10" t="s">
        <v>12</v>
      </c>
    </row>
    <row r="177" spans="1:10" x14ac:dyDescent="0.35">
      <c r="A177" s="9" t="s">
        <v>257</v>
      </c>
      <c r="B177" s="3">
        <v>1</v>
      </c>
      <c r="C177" s="4" t="str">
        <f t="shared" si="8"/>
        <v>Bad</v>
      </c>
      <c r="D177" s="3" t="s">
        <v>374</v>
      </c>
      <c r="E177" s="3" t="s">
        <v>375</v>
      </c>
      <c r="F177" s="5" t="s">
        <v>365</v>
      </c>
      <c r="G177" s="4" t="str">
        <f t="shared" si="9"/>
        <v>17th</v>
      </c>
      <c r="H177" s="4" t="str">
        <f t="shared" si="10"/>
        <v>May</v>
      </c>
      <c r="I177" s="4" t="str">
        <f t="shared" si="11"/>
        <v>2024</v>
      </c>
      <c r="J177" s="10" t="s">
        <v>12</v>
      </c>
    </row>
    <row r="178" spans="1:10" x14ac:dyDescent="0.35">
      <c r="A178" s="9" t="s">
        <v>257</v>
      </c>
      <c r="B178" s="3">
        <v>1</v>
      </c>
      <c r="C178" s="4" t="str">
        <f t="shared" si="8"/>
        <v>Bad</v>
      </c>
      <c r="D178" s="3" t="s">
        <v>376</v>
      </c>
      <c r="E178" s="3" t="s">
        <v>377</v>
      </c>
      <c r="F178" s="5" t="s">
        <v>365</v>
      </c>
      <c r="G178" s="4" t="str">
        <f t="shared" si="9"/>
        <v>17th</v>
      </c>
      <c r="H178" s="4" t="str">
        <f t="shared" si="10"/>
        <v>May</v>
      </c>
      <c r="I178" s="4" t="str">
        <f t="shared" si="11"/>
        <v>2024</v>
      </c>
      <c r="J178" s="10" t="s">
        <v>12</v>
      </c>
    </row>
    <row r="179" spans="1:10" x14ac:dyDescent="0.35">
      <c r="A179" s="9" t="s">
        <v>257</v>
      </c>
      <c r="B179" s="3">
        <v>1</v>
      </c>
      <c r="C179" s="4" t="str">
        <f t="shared" si="8"/>
        <v>Bad</v>
      </c>
      <c r="D179" s="3" t="s">
        <v>378</v>
      </c>
      <c r="E179" s="3" t="s">
        <v>379</v>
      </c>
      <c r="F179" s="5" t="s">
        <v>365</v>
      </c>
      <c r="G179" s="4" t="str">
        <f t="shared" si="9"/>
        <v>17th</v>
      </c>
      <c r="H179" s="4" t="str">
        <f t="shared" si="10"/>
        <v>May</v>
      </c>
      <c r="I179" s="4" t="str">
        <f t="shared" si="11"/>
        <v>2024</v>
      </c>
      <c r="J179" s="10" t="s">
        <v>12</v>
      </c>
    </row>
    <row r="180" spans="1:10" x14ac:dyDescent="0.35">
      <c r="A180" s="9" t="s">
        <v>257</v>
      </c>
      <c r="B180" s="3">
        <v>2</v>
      </c>
      <c r="C180" s="4" t="str">
        <f t="shared" si="8"/>
        <v>Bad</v>
      </c>
      <c r="D180" s="3" t="s">
        <v>380</v>
      </c>
      <c r="E180" s="3" t="s">
        <v>381</v>
      </c>
      <c r="F180" s="5" t="s">
        <v>365</v>
      </c>
      <c r="G180" s="4" t="str">
        <f t="shared" si="9"/>
        <v>17th</v>
      </c>
      <c r="H180" s="4" t="str">
        <f t="shared" si="10"/>
        <v>May</v>
      </c>
      <c r="I180" s="4" t="str">
        <f t="shared" si="11"/>
        <v>2024</v>
      </c>
      <c r="J180" s="10" t="s">
        <v>12</v>
      </c>
    </row>
    <row r="181" spans="1:10" x14ac:dyDescent="0.35">
      <c r="A181" s="9" t="s">
        <v>257</v>
      </c>
      <c r="B181" s="3">
        <v>2</v>
      </c>
      <c r="C181" s="4" t="str">
        <f t="shared" si="8"/>
        <v>Bad</v>
      </c>
      <c r="D181" s="3" t="s">
        <v>382</v>
      </c>
      <c r="E181" s="3" t="s">
        <v>383</v>
      </c>
      <c r="F181" s="5" t="s">
        <v>365</v>
      </c>
      <c r="G181" s="4" t="str">
        <f t="shared" si="9"/>
        <v>17th</v>
      </c>
      <c r="H181" s="4" t="str">
        <f t="shared" si="10"/>
        <v>May</v>
      </c>
      <c r="I181" s="4" t="str">
        <f t="shared" si="11"/>
        <v>2024</v>
      </c>
      <c r="J181" s="10" t="s">
        <v>12</v>
      </c>
    </row>
    <row r="182" spans="1:10" x14ac:dyDescent="0.35">
      <c r="A182" s="9" t="s">
        <v>257</v>
      </c>
      <c r="B182" s="3">
        <v>1</v>
      </c>
      <c r="C182" s="4" t="str">
        <f t="shared" si="8"/>
        <v>Bad</v>
      </c>
      <c r="D182" s="3" t="s">
        <v>384</v>
      </c>
      <c r="E182" s="3" t="s">
        <v>385</v>
      </c>
      <c r="F182" s="5" t="s">
        <v>386</v>
      </c>
      <c r="G182" s="4" t="str">
        <f t="shared" si="9"/>
        <v>29th</v>
      </c>
      <c r="H182" s="4" t="str">
        <f t="shared" si="10"/>
        <v>April</v>
      </c>
      <c r="I182" s="4" t="str">
        <f t="shared" si="11"/>
        <v>2024</v>
      </c>
      <c r="J182" s="10" t="s">
        <v>12</v>
      </c>
    </row>
    <row r="183" spans="1:10" x14ac:dyDescent="0.35">
      <c r="A183" s="9" t="s">
        <v>257</v>
      </c>
      <c r="B183" s="3">
        <v>2</v>
      </c>
      <c r="C183" s="4" t="str">
        <f t="shared" si="8"/>
        <v>Bad</v>
      </c>
      <c r="D183" s="3" t="s">
        <v>387</v>
      </c>
      <c r="E183" s="3" t="s">
        <v>388</v>
      </c>
      <c r="F183" s="5" t="s">
        <v>386</v>
      </c>
      <c r="G183" s="4" t="str">
        <f t="shared" si="9"/>
        <v>29th</v>
      </c>
      <c r="H183" s="4" t="str">
        <f t="shared" si="10"/>
        <v>April</v>
      </c>
      <c r="I183" s="4" t="str">
        <f t="shared" si="11"/>
        <v>2024</v>
      </c>
      <c r="J183" s="10" t="s">
        <v>12</v>
      </c>
    </row>
    <row r="184" spans="1:10" x14ac:dyDescent="0.35">
      <c r="A184" s="9" t="s">
        <v>257</v>
      </c>
      <c r="B184" s="3">
        <v>8</v>
      </c>
      <c r="C184" s="4" t="str">
        <f t="shared" si="8"/>
        <v>Good</v>
      </c>
      <c r="D184" s="3" t="s">
        <v>61</v>
      </c>
      <c r="E184" s="3" t="s">
        <v>389</v>
      </c>
      <c r="F184" s="5" t="s">
        <v>386</v>
      </c>
      <c r="G184" s="4" t="str">
        <f t="shared" si="9"/>
        <v>29th</v>
      </c>
      <c r="H184" s="4" t="str">
        <f t="shared" si="10"/>
        <v>April</v>
      </c>
      <c r="I184" s="4" t="str">
        <f t="shared" si="11"/>
        <v>2024</v>
      </c>
      <c r="J184" s="10" t="s">
        <v>9</v>
      </c>
    </row>
    <row r="185" spans="1:10" x14ac:dyDescent="0.35">
      <c r="A185" s="9" t="s">
        <v>257</v>
      </c>
      <c r="B185" s="3">
        <v>7</v>
      </c>
      <c r="C185" s="4" t="str">
        <f t="shared" si="8"/>
        <v>Neutral</v>
      </c>
      <c r="D185" s="3" t="s">
        <v>390</v>
      </c>
      <c r="E185" s="3" t="s">
        <v>391</v>
      </c>
      <c r="F185" s="5" t="s">
        <v>386</v>
      </c>
      <c r="G185" s="4" t="str">
        <f t="shared" si="9"/>
        <v>29th</v>
      </c>
      <c r="H185" s="4" t="str">
        <f t="shared" si="10"/>
        <v>April</v>
      </c>
      <c r="I185" s="4" t="str">
        <f t="shared" si="11"/>
        <v>2024</v>
      </c>
      <c r="J185" s="10" t="s">
        <v>9</v>
      </c>
    </row>
    <row r="186" spans="1:10" x14ac:dyDescent="0.35">
      <c r="A186" s="9" t="s">
        <v>257</v>
      </c>
      <c r="B186" s="3">
        <v>1</v>
      </c>
      <c r="C186" s="4" t="str">
        <f t="shared" si="8"/>
        <v>Bad</v>
      </c>
      <c r="D186" s="3" t="s">
        <v>392</v>
      </c>
      <c r="E186" s="3" t="s">
        <v>393</v>
      </c>
      <c r="F186" s="5" t="s">
        <v>386</v>
      </c>
      <c r="G186" s="4" t="str">
        <f t="shared" si="9"/>
        <v>29th</v>
      </c>
      <c r="H186" s="4" t="str">
        <f t="shared" si="10"/>
        <v>April</v>
      </c>
      <c r="I186" s="4" t="str">
        <f t="shared" si="11"/>
        <v>2024</v>
      </c>
      <c r="J186" s="10" t="s">
        <v>12</v>
      </c>
    </row>
    <row r="187" spans="1:10" x14ac:dyDescent="0.35">
      <c r="A187" s="9" t="s">
        <v>257</v>
      </c>
      <c r="B187" s="3">
        <v>1</v>
      </c>
      <c r="C187" s="4" t="str">
        <f t="shared" si="8"/>
        <v>Bad</v>
      </c>
      <c r="D187" s="3" t="s">
        <v>394</v>
      </c>
      <c r="E187" s="3" t="s">
        <v>395</v>
      </c>
      <c r="F187" s="5" t="s">
        <v>386</v>
      </c>
      <c r="G187" s="4" t="str">
        <f t="shared" si="9"/>
        <v>29th</v>
      </c>
      <c r="H187" s="4" t="str">
        <f t="shared" si="10"/>
        <v>April</v>
      </c>
      <c r="I187" s="4" t="str">
        <f t="shared" si="11"/>
        <v>2024</v>
      </c>
      <c r="J187" s="10" t="s">
        <v>12</v>
      </c>
    </row>
    <row r="188" spans="1:10" x14ac:dyDescent="0.35">
      <c r="A188" s="9" t="s">
        <v>257</v>
      </c>
      <c r="B188" s="3">
        <v>1</v>
      </c>
      <c r="C188" s="4" t="str">
        <f t="shared" si="8"/>
        <v>Bad</v>
      </c>
      <c r="D188" s="3" t="s">
        <v>396</v>
      </c>
      <c r="E188" s="3" t="s">
        <v>397</v>
      </c>
      <c r="F188" s="5" t="s">
        <v>386</v>
      </c>
      <c r="G188" s="4" t="str">
        <f t="shared" si="9"/>
        <v>29th</v>
      </c>
      <c r="H188" s="4" t="str">
        <f t="shared" si="10"/>
        <v>April</v>
      </c>
      <c r="I188" s="4" t="str">
        <f t="shared" si="11"/>
        <v>2024</v>
      </c>
      <c r="J188" s="10" t="s">
        <v>12</v>
      </c>
    </row>
    <row r="189" spans="1:10" x14ac:dyDescent="0.35">
      <c r="A189" s="9" t="s">
        <v>257</v>
      </c>
      <c r="B189" s="3">
        <v>7</v>
      </c>
      <c r="C189" s="4" t="str">
        <f t="shared" si="8"/>
        <v>Neutral</v>
      </c>
      <c r="D189" s="3" t="s">
        <v>398</v>
      </c>
      <c r="E189" s="3" t="s">
        <v>399</v>
      </c>
      <c r="F189" s="5" t="s">
        <v>386</v>
      </c>
      <c r="G189" s="4" t="str">
        <f t="shared" si="9"/>
        <v>29th</v>
      </c>
      <c r="H189" s="4" t="str">
        <f t="shared" si="10"/>
        <v>April</v>
      </c>
      <c r="I189" s="4" t="str">
        <f t="shared" si="11"/>
        <v>2024</v>
      </c>
      <c r="J189" s="10" t="s">
        <v>9</v>
      </c>
    </row>
    <row r="190" spans="1:10" x14ac:dyDescent="0.35">
      <c r="A190" s="9" t="s">
        <v>257</v>
      </c>
      <c r="B190" s="3">
        <v>9</v>
      </c>
      <c r="C190" s="4" t="str">
        <f t="shared" si="8"/>
        <v>Good</v>
      </c>
      <c r="D190" s="3" t="s">
        <v>400</v>
      </c>
      <c r="E190" s="3" t="s">
        <v>399</v>
      </c>
      <c r="F190" s="5" t="s">
        <v>386</v>
      </c>
      <c r="G190" s="4" t="str">
        <f t="shared" si="9"/>
        <v>29th</v>
      </c>
      <c r="H190" s="4" t="str">
        <f t="shared" si="10"/>
        <v>April</v>
      </c>
      <c r="I190" s="4" t="str">
        <f t="shared" si="11"/>
        <v>2024</v>
      </c>
      <c r="J190" s="10" t="s">
        <v>9</v>
      </c>
    </row>
    <row r="191" spans="1:10" x14ac:dyDescent="0.35">
      <c r="A191" s="9" t="s">
        <v>257</v>
      </c>
      <c r="B191" s="3">
        <v>3</v>
      </c>
      <c r="C191" s="4" t="str">
        <f t="shared" si="8"/>
        <v>Bad</v>
      </c>
      <c r="D191" s="3" t="s">
        <v>401</v>
      </c>
      <c r="E191" s="3" t="s">
        <v>402</v>
      </c>
      <c r="F191" s="5" t="s">
        <v>386</v>
      </c>
      <c r="G191" s="4" t="str">
        <f t="shared" si="9"/>
        <v>29th</v>
      </c>
      <c r="H191" s="4" t="str">
        <f t="shared" si="10"/>
        <v>April</v>
      </c>
      <c r="I191" s="4" t="str">
        <f t="shared" si="11"/>
        <v>2024</v>
      </c>
      <c r="J191" s="10" t="s">
        <v>12</v>
      </c>
    </row>
    <row r="192" spans="1:10" x14ac:dyDescent="0.35">
      <c r="A192" s="9" t="s">
        <v>257</v>
      </c>
      <c r="B192" s="3">
        <v>10</v>
      </c>
      <c r="C192" s="4" t="str">
        <f t="shared" si="8"/>
        <v>Good</v>
      </c>
      <c r="D192" s="3" t="s">
        <v>403</v>
      </c>
      <c r="E192" s="3" t="s">
        <v>404</v>
      </c>
      <c r="F192" s="5" t="s">
        <v>405</v>
      </c>
      <c r="G192" s="4" t="str">
        <f t="shared" si="9"/>
        <v>11th</v>
      </c>
      <c r="H192" s="4" t="str">
        <f t="shared" si="10"/>
        <v>April</v>
      </c>
      <c r="I192" s="4" t="str">
        <f t="shared" si="11"/>
        <v>2024</v>
      </c>
      <c r="J192" s="10" t="s">
        <v>9</v>
      </c>
    </row>
    <row r="193" spans="1:10" x14ac:dyDescent="0.35">
      <c r="A193" s="9" t="s">
        <v>257</v>
      </c>
      <c r="B193" s="3">
        <v>3</v>
      </c>
      <c r="C193" s="4" t="str">
        <f t="shared" si="8"/>
        <v>Bad</v>
      </c>
      <c r="D193" s="3" t="s">
        <v>406</v>
      </c>
      <c r="E193" s="3" t="s">
        <v>407</v>
      </c>
      <c r="F193" s="5" t="s">
        <v>405</v>
      </c>
      <c r="G193" s="4" t="str">
        <f t="shared" si="9"/>
        <v>11th</v>
      </c>
      <c r="H193" s="4" t="str">
        <f t="shared" si="10"/>
        <v>April</v>
      </c>
      <c r="I193" s="4" t="str">
        <f t="shared" si="11"/>
        <v>2024</v>
      </c>
      <c r="J193" s="10" t="s">
        <v>12</v>
      </c>
    </row>
    <row r="194" spans="1:10" x14ac:dyDescent="0.35">
      <c r="A194" s="9" t="s">
        <v>257</v>
      </c>
      <c r="B194" s="3">
        <v>1</v>
      </c>
      <c r="C194" s="4" t="str">
        <f t="shared" si="8"/>
        <v>Bad</v>
      </c>
      <c r="D194" s="3" t="s">
        <v>408</v>
      </c>
      <c r="E194" s="3" t="s">
        <v>409</v>
      </c>
      <c r="F194" s="5" t="s">
        <v>405</v>
      </c>
      <c r="G194" s="4" t="str">
        <f t="shared" si="9"/>
        <v>11th</v>
      </c>
      <c r="H194" s="4" t="str">
        <f t="shared" si="10"/>
        <v>April</v>
      </c>
      <c r="I194" s="4" t="str">
        <f t="shared" si="11"/>
        <v>2024</v>
      </c>
      <c r="J194" s="10" t="s">
        <v>12</v>
      </c>
    </row>
    <row r="195" spans="1:10" x14ac:dyDescent="0.35">
      <c r="A195" s="9" t="s">
        <v>257</v>
      </c>
      <c r="B195" s="3">
        <v>2</v>
      </c>
      <c r="C195" s="4" t="str">
        <f t="shared" ref="C195:C258" si="12">IF(B195&gt;=8,"Good",IF(B195&gt;=5,"Neutral","Bad"))</f>
        <v>Bad</v>
      </c>
      <c r="D195" s="3" t="s">
        <v>410</v>
      </c>
      <c r="E195" s="3" t="s">
        <v>411</v>
      </c>
      <c r="F195" s="5" t="s">
        <v>405</v>
      </c>
      <c r="G195" s="4" t="str">
        <f t="shared" ref="G195:G258" si="13">LEFT(F195, FIND(" ", F195)-1)</f>
        <v>11th</v>
      </c>
      <c r="H195" s="4" t="str">
        <f t="shared" ref="H195:H258" si="14">TRIM(MID(F195, FIND(" ", F195)+1, FIND(" ", F195, FIND(" ", F195)+1) - FIND(" ", F195)-1))</f>
        <v>April</v>
      </c>
      <c r="I195" s="4" t="str">
        <f t="shared" ref="I195:I258" si="15">RIGHT(F195, 4)</f>
        <v>2024</v>
      </c>
      <c r="J195" s="10" t="s">
        <v>12</v>
      </c>
    </row>
    <row r="196" spans="1:10" x14ac:dyDescent="0.35">
      <c r="A196" s="9" t="s">
        <v>257</v>
      </c>
      <c r="B196" s="3">
        <v>3</v>
      </c>
      <c r="C196" s="4" t="str">
        <f t="shared" si="12"/>
        <v>Bad</v>
      </c>
      <c r="D196" s="3" t="s">
        <v>412</v>
      </c>
      <c r="E196" s="3" t="s">
        <v>413</v>
      </c>
      <c r="F196" s="5" t="s">
        <v>405</v>
      </c>
      <c r="G196" s="4" t="str">
        <f t="shared" si="13"/>
        <v>11th</v>
      </c>
      <c r="H196" s="4" t="str">
        <f t="shared" si="14"/>
        <v>April</v>
      </c>
      <c r="I196" s="4" t="str">
        <f t="shared" si="15"/>
        <v>2024</v>
      </c>
      <c r="J196" s="10" t="s">
        <v>12</v>
      </c>
    </row>
    <row r="197" spans="1:10" x14ac:dyDescent="0.35">
      <c r="A197" s="9" t="s">
        <v>257</v>
      </c>
      <c r="B197" s="3">
        <v>8</v>
      </c>
      <c r="C197" s="4" t="str">
        <f t="shared" si="12"/>
        <v>Good</v>
      </c>
      <c r="D197" s="3" t="s">
        <v>414</v>
      </c>
      <c r="E197" s="3" t="s">
        <v>415</v>
      </c>
      <c r="F197" s="5" t="s">
        <v>405</v>
      </c>
      <c r="G197" s="4" t="str">
        <f t="shared" si="13"/>
        <v>11th</v>
      </c>
      <c r="H197" s="4" t="str">
        <f t="shared" si="14"/>
        <v>April</v>
      </c>
      <c r="I197" s="4" t="str">
        <f t="shared" si="15"/>
        <v>2024</v>
      </c>
      <c r="J197" s="10" t="s">
        <v>9</v>
      </c>
    </row>
    <row r="198" spans="1:10" x14ac:dyDescent="0.35">
      <c r="A198" s="9" t="s">
        <v>257</v>
      </c>
      <c r="B198" s="3">
        <v>2</v>
      </c>
      <c r="C198" s="4" t="str">
        <f t="shared" si="12"/>
        <v>Bad</v>
      </c>
      <c r="D198" s="3" t="s">
        <v>416</v>
      </c>
      <c r="E198" s="3" t="s">
        <v>417</v>
      </c>
      <c r="F198" s="5" t="s">
        <v>405</v>
      </c>
      <c r="G198" s="4" t="str">
        <f t="shared" si="13"/>
        <v>11th</v>
      </c>
      <c r="H198" s="4" t="str">
        <f t="shared" si="14"/>
        <v>April</v>
      </c>
      <c r="I198" s="4" t="str">
        <f t="shared" si="15"/>
        <v>2024</v>
      </c>
      <c r="J198" s="10" t="s">
        <v>12</v>
      </c>
    </row>
    <row r="199" spans="1:10" x14ac:dyDescent="0.35">
      <c r="A199" s="9" t="s">
        <v>257</v>
      </c>
      <c r="B199" s="3">
        <v>2</v>
      </c>
      <c r="C199" s="4" t="str">
        <f t="shared" si="12"/>
        <v>Bad</v>
      </c>
      <c r="D199" s="3" t="s">
        <v>418</v>
      </c>
      <c r="E199" s="3" t="s">
        <v>419</v>
      </c>
      <c r="F199" s="5" t="s">
        <v>405</v>
      </c>
      <c r="G199" s="4" t="str">
        <f t="shared" si="13"/>
        <v>11th</v>
      </c>
      <c r="H199" s="4" t="str">
        <f t="shared" si="14"/>
        <v>April</v>
      </c>
      <c r="I199" s="4" t="str">
        <f t="shared" si="15"/>
        <v>2024</v>
      </c>
      <c r="J199" s="10" t="s">
        <v>12</v>
      </c>
    </row>
    <row r="200" spans="1:10" x14ac:dyDescent="0.35">
      <c r="A200" s="9" t="s">
        <v>257</v>
      </c>
      <c r="B200" s="3">
        <v>1</v>
      </c>
      <c r="C200" s="4" t="str">
        <f t="shared" si="12"/>
        <v>Bad</v>
      </c>
      <c r="D200" s="3" t="s">
        <v>420</v>
      </c>
      <c r="E200" s="3" t="s">
        <v>421</v>
      </c>
      <c r="F200" s="5" t="s">
        <v>405</v>
      </c>
      <c r="G200" s="4" t="str">
        <f t="shared" si="13"/>
        <v>11th</v>
      </c>
      <c r="H200" s="4" t="str">
        <f t="shared" si="14"/>
        <v>April</v>
      </c>
      <c r="I200" s="4" t="str">
        <f t="shared" si="15"/>
        <v>2024</v>
      </c>
      <c r="J200" s="10" t="s">
        <v>12</v>
      </c>
    </row>
    <row r="201" spans="1:10" x14ac:dyDescent="0.35">
      <c r="A201" s="9" t="s">
        <v>257</v>
      </c>
      <c r="B201" s="3">
        <v>1</v>
      </c>
      <c r="C201" s="4" t="str">
        <f t="shared" si="12"/>
        <v>Bad</v>
      </c>
      <c r="D201" s="3" t="s">
        <v>422</v>
      </c>
      <c r="E201" s="3" t="s">
        <v>423</v>
      </c>
      <c r="F201" s="5" t="s">
        <v>405</v>
      </c>
      <c r="G201" s="4" t="str">
        <f t="shared" si="13"/>
        <v>11th</v>
      </c>
      <c r="H201" s="4" t="str">
        <f t="shared" si="14"/>
        <v>April</v>
      </c>
      <c r="I201" s="4" t="str">
        <f t="shared" si="15"/>
        <v>2024</v>
      </c>
      <c r="J201" s="10" t="s">
        <v>12</v>
      </c>
    </row>
    <row r="202" spans="1:10" x14ac:dyDescent="0.35">
      <c r="A202" s="9" t="s">
        <v>257</v>
      </c>
      <c r="B202" s="3">
        <v>1</v>
      </c>
      <c r="C202" s="4" t="str">
        <f t="shared" si="12"/>
        <v>Bad</v>
      </c>
      <c r="D202" s="3" t="s">
        <v>424</v>
      </c>
      <c r="E202" s="3" t="s">
        <v>425</v>
      </c>
      <c r="F202" s="5" t="s">
        <v>426</v>
      </c>
      <c r="G202" s="4" t="str">
        <f t="shared" si="13"/>
        <v>16th</v>
      </c>
      <c r="H202" s="4" t="str">
        <f t="shared" si="14"/>
        <v>March</v>
      </c>
      <c r="I202" s="4" t="str">
        <f t="shared" si="15"/>
        <v>2024</v>
      </c>
      <c r="J202" s="10" t="s">
        <v>12</v>
      </c>
    </row>
    <row r="203" spans="1:10" x14ac:dyDescent="0.35">
      <c r="A203" s="9" t="s">
        <v>257</v>
      </c>
      <c r="B203" s="3">
        <v>1</v>
      </c>
      <c r="C203" s="4" t="str">
        <f t="shared" si="12"/>
        <v>Bad</v>
      </c>
      <c r="D203" s="3" t="s">
        <v>427</v>
      </c>
      <c r="E203" s="3" t="s">
        <v>428</v>
      </c>
      <c r="F203" s="5" t="s">
        <v>426</v>
      </c>
      <c r="G203" s="4" t="str">
        <f t="shared" si="13"/>
        <v>16th</v>
      </c>
      <c r="H203" s="4" t="str">
        <f t="shared" si="14"/>
        <v>March</v>
      </c>
      <c r="I203" s="4" t="str">
        <f t="shared" si="15"/>
        <v>2024</v>
      </c>
      <c r="J203" s="10" t="s">
        <v>12</v>
      </c>
    </row>
    <row r="204" spans="1:10" x14ac:dyDescent="0.35">
      <c r="A204" s="9" t="s">
        <v>257</v>
      </c>
      <c r="B204" s="3">
        <v>1</v>
      </c>
      <c r="C204" s="4" t="str">
        <f t="shared" si="12"/>
        <v>Bad</v>
      </c>
      <c r="D204" s="3" t="s">
        <v>429</v>
      </c>
      <c r="E204" s="3" t="s">
        <v>430</v>
      </c>
      <c r="F204" s="5" t="s">
        <v>426</v>
      </c>
      <c r="G204" s="4" t="str">
        <f t="shared" si="13"/>
        <v>16th</v>
      </c>
      <c r="H204" s="4" t="str">
        <f t="shared" si="14"/>
        <v>March</v>
      </c>
      <c r="I204" s="4" t="str">
        <f t="shared" si="15"/>
        <v>2024</v>
      </c>
      <c r="J204" s="10" t="s">
        <v>12</v>
      </c>
    </row>
    <row r="205" spans="1:10" x14ac:dyDescent="0.35">
      <c r="A205" s="9" t="s">
        <v>257</v>
      </c>
      <c r="B205" s="3">
        <v>8</v>
      </c>
      <c r="C205" s="4" t="str">
        <f t="shared" si="12"/>
        <v>Good</v>
      </c>
      <c r="D205" s="3" t="s">
        <v>431</v>
      </c>
      <c r="E205" s="3" t="s">
        <v>432</v>
      </c>
      <c r="F205" s="5" t="s">
        <v>426</v>
      </c>
      <c r="G205" s="4" t="str">
        <f t="shared" si="13"/>
        <v>16th</v>
      </c>
      <c r="H205" s="4" t="str">
        <f t="shared" si="14"/>
        <v>March</v>
      </c>
      <c r="I205" s="4" t="str">
        <f t="shared" si="15"/>
        <v>2024</v>
      </c>
      <c r="J205" s="10" t="s">
        <v>9</v>
      </c>
    </row>
    <row r="206" spans="1:10" x14ac:dyDescent="0.35">
      <c r="A206" s="9" t="s">
        <v>257</v>
      </c>
      <c r="B206" s="3">
        <v>2</v>
      </c>
      <c r="C206" s="4" t="str">
        <f t="shared" si="12"/>
        <v>Bad</v>
      </c>
      <c r="D206" s="3" t="s">
        <v>433</v>
      </c>
      <c r="E206" s="3" t="s">
        <v>434</v>
      </c>
      <c r="F206" s="5" t="s">
        <v>426</v>
      </c>
      <c r="G206" s="4" t="str">
        <f t="shared" si="13"/>
        <v>16th</v>
      </c>
      <c r="H206" s="4" t="str">
        <f t="shared" si="14"/>
        <v>March</v>
      </c>
      <c r="I206" s="4" t="str">
        <f t="shared" si="15"/>
        <v>2024</v>
      </c>
      <c r="J206" s="10" t="s">
        <v>12</v>
      </c>
    </row>
    <row r="207" spans="1:10" x14ac:dyDescent="0.35">
      <c r="A207" s="9" t="s">
        <v>257</v>
      </c>
      <c r="B207" s="3">
        <v>8</v>
      </c>
      <c r="C207" s="4" t="str">
        <f t="shared" si="12"/>
        <v>Good</v>
      </c>
      <c r="D207" s="3" t="s">
        <v>435</v>
      </c>
      <c r="E207" s="3" t="s">
        <v>434</v>
      </c>
      <c r="F207" s="5" t="s">
        <v>426</v>
      </c>
      <c r="G207" s="4" t="str">
        <f t="shared" si="13"/>
        <v>16th</v>
      </c>
      <c r="H207" s="4" t="str">
        <f t="shared" si="14"/>
        <v>March</v>
      </c>
      <c r="I207" s="4" t="str">
        <f t="shared" si="15"/>
        <v>2024</v>
      </c>
      <c r="J207" s="10" t="s">
        <v>9</v>
      </c>
    </row>
    <row r="208" spans="1:10" x14ac:dyDescent="0.35">
      <c r="A208" s="9" t="s">
        <v>257</v>
      </c>
      <c r="B208" s="3">
        <v>1</v>
      </c>
      <c r="C208" s="4" t="str">
        <f t="shared" si="12"/>
        <v>Bad</v>
      </c>
      <c r="D208" s="3" t="s">
        <v>436</v>
      </c>
      <c r="E208" s="3" t="s">
        <v>437</v>
      </c>
      <c r="F208" s="5" t="s">
        <v>426</v>
      </c>
      <c r="G208" s="4" t="str">
        <f t="shared" si="13"/>
        <v>16th</v>
      </c>
      <c r="H208" s="4" t="str">
        <f t="shared" si="14"/>
        <v>March</v>
      </c>
      <c r="I208" s="4" t="str">
        <f t="shared" si="15"/>
        <v>2024</v>
      </c>
      <c r="J208" s="10" t="s">
        <v>12</v>
      </c>
    </row>
    <row r="209" spans="1:10" x14ac:dyDescent="0.35">
      <c r="A209" s="9" t="s">
        <v>257</v>
      </c>
      <c r="B209" s="3">
        <v>1</v>
      </c>
      <c r="C209" s="4" t="str">
        <f t="shared" si="12"/>
        <v>Bad</v>
      </c>
      <c r="D209" s="3" t="s">
        <v>438</v>
      </c>
      <c r="E209" s="3" t="s">
        <v>439</v>
      </c>
      <c r="F209" s="5" t="s">
        <v>426</v>
      </c>
      <c r="G209" s="4" t="str">
        <f t="shared" si="13"/>
        <v>16th</v>
      </c>
      <c r="H209" s="4" t="str">
        <f t="shared" si="14"/>
        <v>March</v>
      </c>
      <c r="I209" s="4" t="str">
        <f t="shared" si="15"/>
        <v>2024</v>
      </c>
      <c r="J209" s="10" t="s">
        <v>12</v>
      </c>
    </row>
    <row r="210" spans="1:10" x14ac:dyDescent="0.35">
      <c r="A210" s="9" t="s">
        <v>257</v>
      </c>
      <c r="B210" s="3">
        <v>1</v>
      </c>
      <c r="C210" s="4" t="str">
        <f t="shared" si="12"/>
        <v>Bad</v>
      </c>
      <c r="D210" s="3" t="s">
        <v>440</v>
      </c>
      <c r="E210" s="3" t="s">
        <v>441</v>
      </c>
      <c r="F210" s="5" t="s">
        <v>426</v>
      </c>
      <c r="G210" s="4" t="str">
        <f t="shared" si="13"/>
        <v>16th</v>
      </c>
      <c r="H210" s="4" t="str">
        <f t="shared" si="14"/>
        <v>March</v>
      </c>
      <c r="I210" s="4" t="str">
        <f t="shared" si="15"/>
        <v>2024</v>
      </c>
      <c r="J210" s="10" t="s">
        <v>12</v>
      </c>
    </row>
    <row r="211" spans="1:10" x14ac:dyDescent="0.35">
      <c r="A211" s="9" t="s">
        <v>257</v>
      </c>
      <c r="B211" s="3">
        <v>8</v>
      </c>
      <c r="C211" s="4" t="str">
        <f t="shared" si="12"/>
        <v>Good</v>
      </c>
      <c r="D211" s="3" t="s">
        <v>442</v>
      </c>
      <c r="E211" s="3" t="s">
        <v>443</v>
      </c>
      <c r="F211" s="5" t="s">
        <v>426</v>
      </c>
      <c r="G211" s="4" t="str">
        <f t="shared" si="13"/>
        <v>16th</v>
      </c>
      <c r="H211" s="4" t="str">
        <f t="shared" si="14"/>
        <v>March</v>
      </c>
      <c r="I211" s="4" t="str">
        <f t="shared" si="15"/>
        <v>2024</v>
      </c>
      <c r="J211" s="10" t="s">
        <v>12</v>
      </c>
    </row>
    <row r="212" spans="1:10" x14ac:dyDescent="0.35">
      <c r="A212" s="9" t="s">
        <v>257</v>
      </c>
      <c r="B212" s="3">
        <v>1</v>
      </c>
      <c r="C212" s="4" t="str">
        <f t="shared" si="12"/>
        <v>Bad</v>
      </c>
      <c r="D212" s="3" t="s">
        <v>163</v>
      </c>
      <c r="E212" s="3" t="s">
        <v>444</v>
      </c>
      <c r="F212" s="5" t="s">
        <v>445</v>
      </c>
      <c r="G212" s="4" t="str">
        <f t="shared" si="13"/>
        <v>3rd</v>
      </c>
      <c r="H212" s="4" t="str">
        <f t="shared" si="14"/>
        <v>March</v>
      </c>
      <c r="I212" s="4" t="str">
        <f t="shared" si="15"/>
        <v>2024</v>
      </c>
      <c r="J212" s="10" t="s">
        <v>12</v>
      </c>
    </row>
    <row r="213" spans="1:10" x14ac:dyDescent="0.35">
      <c r="A213" s="9" t="s">
        <v>257</v>
      </c>
      <c r="B213" s="3">
        <v>1</v>
      </c>
      <c r="C213" s="4" t="str">
        <f t="shared" si="12"/>
        <v>Bad</v>
      </c>
      <c r="D213" s="3" t="s">
        <v>446</v>
      </c>
      <c r="E213" s="3" t="s">
        <v>447</v>
      </c>
      <c r="F213" s="5" t="s">
        <v>445</v>
      </c>
      <c r="G213" s="4" t="str">
        <f t="shared" si="13"/>
        <v>3rd</v>
      </c>
      <c r="H213" s="4" t="str">
        <f t="shared" si="14"/>
        <v>March</v>
      </c>
      <c r="I213" s="4" t="str">
        <f t="shared" si="15"/>
        <v>2024</v>
      </c>
      <c r="J213" s="10" t="s">
        <v>12</v>
      </c>
    </row>
    <row r="214" spans="1:10" x14ac:dyDescent="0.35">
      <c r="A214" s="9" t="s">
        <v>257</v>
      </c>
      <c r="B214" s="3">
        <v>1</v>
      </c>
      <c r="C214" s="4" t="str">
        <f t="shared" si="12"/>
        <v>Bad</v>
      </c>
      <c r="D214" s="3" t="s">
        <v>448</v>
      </c>
      <c r="E214" s="3" t="s">
        <v>449</v>
      </c>
      <c r="F214" s="5" t="s">
        <v>445</v>
      </c>
      <c r="G214" s="4" t="str">
        <f t="shared" si="13"/>
        <v>3rd</v>
      </c>
      <c r="H214" s="4" t="str">
        <f t="shared" si="14"/>
        <v>March</v>
      </c>
      <c r="I214" s="4" t="str">
        <f t="shared" si="15"/>
        <v>2024</v>
      </c>
      <c r="J214" s="10" t="s">
        <v>12</v>
      </c>
    </row>
    <row r="215" spans="1:10" x14ac:dyDescent="0.35">
      <c r="A215" s="9" t="s">
        <v>257</v>
      </c>
      <c r="B215" s="3">
        <v>1</v>
      </c>
      <c r="C215" s="4" t="str">
        <f t="shared" si="12"/>
        <v>Bad</v>
      </c>
      <c r="D215" s="3" t="s">
        <v>450</v>
      </c>
      <c r="E215" s="3" t="s">
        <v>451</v>
      </c>
      <c r="F215" s="5" t="s">
        <v>445</v>
      </c>
      <c r="G215" s="4" t="str">
        <f t="shared" si="13"/>
        <v>3rd</v>
      </c>
      <c r="H215" s="4" t="str">
        <f t="shared" si="14"/>
        <v>March</v>
      </c>
      <c r="I215" s="4" t="str">
        <f t="shared" si="15"/>
        <v>2024</v>
      </c>
      <c r="J215" s="10" t="s">
        <v>12</v>
      </c>
    </row>
    <row r="216" spans="1:10" x14ac:dyDescent="0.35">
      <c r="A216" s="9" t="s">
        <v>257</v>
      </c>
      <c r="B216" s="3">
        <v>1</v>
      </c>
      <c r="C216" s="4" t="str">
        <f t="shared" si="12"/>
        <v>Bad</v>
      </c>
      <c r="D216" s="3" t="s">
        <v>452</v>
      </c>
      <c r="E216" s="3" t="s">
        <v>453</v>
      </c>
      <c r="F216" s="5" t="s">
        <v>445</v>
      </c>
      <c r="G216" s="4" t="str">
        <f t="shared" si="13"/>
        <v>3rd</v>
      </c>
      <c r="H216" s="4" t="str">
        <f t="shared" si="14"/>
        <v>March</v>
      </c>
      <c r="I216" s="4" t="str">
        <f t="shared" si="15"/>
        <v>2024</v>
      </c>
      <c r="J216" s="10" t="s">
        <v>12</v>
      </c>
    </row>
    <row r="217" spans="1:10" x14ac:dyDescent="0.35">
      <c r="A217" s="9" t="s">
        <v>257</v>
      </c>
      <c r="B217" s="3">
        <v>1</v>
      </c>
      <c r="C217" s="4" t="str">
        <f t="shared" si="12"/>
        <v>Bad</v>
      </c>
      <c r="D217" s="3" t="s">
        <v>454</v>
      </c>
      <c r="E217" s="3" t="s">
        <v>455</v>
      </c>
      <c r="F217" s="5" t="s">
        <v>445</v>
      </c>
      <c r="G217" s="4" t="str">
        <f t="shared" si="13"/>
        <v>3rd</v>
      </c>
      <c r="H217" s="4" t="str">
        <f t="shared" si="14"/>
        <v>March</v>
      </c>
      <c r="I217" s="4" t="str">
        <f t="shared" si="15"/>
        <v>2024</v>
      </c>
      <c r="J217" s="10" t="s">
        <v>12</v>
      </c>
    </row>
    <row r="218" spans="1:10" x14ac:dyDescent="0.35">
      <c r="A218" s="9" t="s">
        <v>257</v>
      </c>
      <c r="B218" s="3">
        <v>9</v>
      </c>
      <c r="C218" s="4" t="str">
        <f t="shared" si="12"/>
        <v>Good</v>
      </c>
      <c r="D218" s="3" t="s">
        <v>456</v>
      </c>
      <c r="E218" s="3" t="s">
        <v>457</v>
      </c>
      <c r="F218" s="5" t="s">
        <v>445</v>
      </c>
      <c r="G218" s="4" t="str">
        <f t="shared" si="13"/>
        <v>3rd</v>
      </c>
      <c r="H218" s="4" t="str">
        <f t="shared" si="14"/>
        <v>March</v>
      </c>
      <c r="I218" s="4" t="str">
        <f t="shared" si="15"/>
        <v>2024</v>
      </c>
      <c r="J218" s="10" t="s">
        <v>9</v>
      </c>
    </row>
    <row r="219" spans="1:10" x14ac:dyDescent="0.35">
      <c r="A219" s="9" t="s">
        <v>257</v>
      </c>
      <c r="B219" s="3">
        <v>1</v>
      </c>
      <c r="C219" s="4" t="str">
        <f t="shared" si="12"/>
        <v>Bad</v>
      </c>
      <c r="D219" s="3" t="s">
        <v>458</v>
      </c>
      <c r="E219" s="3" t="s">
        <v>459</v>
      </c>
      <c r="F219" s="5" t="s">
        <v>445</v>
      </c>
      <c r="G219" s="4" t="str">
        <f t="shared" si="13"/>
        <v>3rd</v>
      </c>
      <c r="H219" s="4" t="str">
        <f t="shared" si="14"/>
        <v>March</v>
      </c>
      <c r="I219" s="4" t="str">
        <f t="shared" si="15"/>
        <v>2024</v>
      </c>
      <c r="J219" s="10" t="s">
        <v>12</v>
      </c>
    </row>
    <row r="220" spans="1:10" x14ac:dyDescent="0.35">
      <c r="A220" s="9" t="s">
        <v>257</v>
      </c>
      <c r="B220" s="3">
        <v>1</v>
      </c>
      <c r="C220" s="4" t="str">
        <f t="shared" si="12"/>
        <v>Bad</v>
      </c>
      <c r="D220" s="3" t="s">
        <v>460</v>
      </c>
      <c r="E220" s="3" t="s">
        <v>461</v>
      </c>
      <c r="F220" s="5" t="s">
        <v>445</v>
      </c>
      <c r="G220" s="4" t="str">
        <f t="shared" si="13"/>
        <v>3rd</v>
      </c>
      <c r="H220" s="4" t="str">
        <f t="shared" si="14"/>
        <v>March</v>
      </c>
      <c r="I220" s="4" t="str">
        <f t="shared" si="15"/>
        <v>2024</v>
      </c>
      <c r="J220" s="10" t="s">
        <v>12</v>
      </c>
    </row>
    <row r="221" spans="1:10" x14ac:dyDescent="0.35">
      <c r="A221" s="9" t="s">
        <v>257</v>
      </c>
      <c r="B221" s="3">
        <v>1</v>
      </c>
      <c r="C221" s="4" t="str">
        <f t="shared" si="12"/>
        <v>Bad</v>
      </c>
      <c r="D221" s="3" t="s">
        <v>462</v>
      </c>
      <c r="E221" s="3" t="s">
        <v>463</v>
      </c>
      <c r="F221" s="5" t="s">
        <v>445</v>
      </c>
      <c r="G221" s="4" t="str">
        <f t="shared" si="13"/>
        <v>3rd</v>
      </c>
      <c r="H221" s="4" t="str">
        <f t="shared" si="14"/>
        <v>March</v>
      </c>
      <c r="I221" s="4" t="str">
        <f t="shared" si="15"/>
        <v>2024</v>
      </c>
      <c r="J221" s="10" t="s">
        <v>9</v>
      </c>
    </row>
    <row r="222" spans="1:10" x14ac:dyDescent="0.35">
      <c r="A222" s="9" t="s">
        <v>257</v>
      </c>
      <c r="B222" s="3">
        <v>10</v>
      </c>
      <c r="C222" s="4" t="str">
        <f t="shared" si="12"/>
        <v>Good</v>
      </c>
      <c r="D222" s="3" t="s">
        <v>464</v>
      </c>
      <c r="E222" s="3" t="s">
        <v>465</v>
      </c>
      <c r="F222" s="5" t="s">
        <v>466</v>
      </c>
      <c r="G222" s="4" t="str">
        <f t="shared" si="13"/>
        <v>2nd</v>
      </c>
      <c r="H222" s="4" t="str">
        <f t="shared" si="14"/>
        <v>February</v>
      </c>
      <c r="I222" s="4" t="str">
        <f t="shared" si="15"/>
        <v>2024</v>
      </c>
      <c r="J222" s="10" t="s">
        <v>9</v>
      </c>
    </row>
    <row r="223" spans="1:10" x14ac:dyDescent="0.35">
      <c r="A223" s="9" t="s">
        <v>257</v>
      </c>
      <c r="B223" s="3">
        <v>1</v>
      </c>
      <c r="C223" s="4" t="str">
        <f t="shared" si="12"/>
        <v>Bad</v>
      </c>
      <c r="D223" s="3" t="s">
        <v>467</v>
      </c>
      <c r="E223" s="3" t="s">
        <v>468</v>
      </c>
      <c r="F223" s="5" t="s">
        <v>466</v>
      </c>
      <c r="G223" s="4" t="str">
        <f t="shared" si="13"/>
        <v>2nd</v>
      </c>
      <c r="H223" s="4" t="str">
        <f t="shared" si="14"/>
        <v>February</v>
      </c>
      <c r="I223" s="4" t="str">
        <f t="shared" si="15"/>
        <v>2024</v>
      </c>
      <c r="J223" s="10" t="s">
        <v>12</v>
      </c>
    </row>
    <row r="224" spans="1:10" x14ac:dyDescent="0.35">
      <c r="A224" s="9" t="s">
        <v>257</v>
      </c>
      <c r="B224" s="3">
        <v>1</v>
      </c>
      <c r="C224" s="4" t="str">
        <f t="shared" si="12"/>
        <v>Bad</v>
      </c>
      <c r="D224" s="3" t="s">
        <v>469</v>
      </c>
      <c r="E224" s="3" t="s">
        <v>470</v>
      </c>
      <c r="F224" s="5" t="s">
        <v>466</v>
      </c>
      <c r="G224" s="4" t="str">
        <f t="shared" si="13"/>
        <v>2nd</v>
      </c>
      <c r="H224" s="4" t="str">
        <f t="shared" si="14"/>
        <v>February</v>
      </c>
      <c r="I224" s="4" t="str">
        <f t="shared" si="15"/>
        <v>2024</v>
      </c>
      <c r="J224" s="10" t="s">
        <v>12</v>
      </c>
    </row>
    <row r="225" spans="1:10" x14ac:dyDescent="0.35">
      <c r="A225" s="9" t="s">
        <v>257</v>
      </c>
      <c r="B225" s="3">
        <v>1</v>
      </c>
      <c r="C225" s="4" t="str">
        <f t="shared" si="12"/>
        <v>Bad</v>
      </c>
      <c r="D225" s="3" t="s">
        <v>471</v>
      </c>
      <c r="E225" s="3" t="s">
        <v>472</v>
      </c>
      <c r="F225" s="5" t="s">
        <v>466</v>
      </c>
      <c r="G225" s="4" t="str">
        <f t="shared" si="13"/>
        <v>2nd</v>
      </c>
      <c r="H225" s="4" t="str">
        <f t="shared" si="14"/>
        <v>February</v>
      </c>
      <c r="I225" s="4" t="str">
        <f t="shared" si="15"/>
        <v>2024</v>
      </c>
      <c r="J225" s="10" t="s">
        <v>12</v>
      </c>
    </row>
    <row r="226" spans="1:10" x14ac:dyDescent="0.35">
      <c r="A226" s="9" t="s">
        <v>257</v>
      </c>
      <c r="B226" s="3">
        <v>4</v>
      </c>
      <c r="C226" s="4" t="str">
        <f t="shared" si="12"/>
        <v>Bad</v>
      </c>
      <c r="D226" s="3" t="s">
        <v>473</v>
      </c>
      <c r="E226" s="3" t="s">
        <v>474</v>
      </c>
      <c r="F226" s="5" t="s">
        <v>466</v>
      </c>
      <c r="G226" s="4" t="str">
        <f t="shared" si="13"/>
        <v>2nd</v>
      </c>
      <c r="H226" s="4" t="str">
        <f t="shared" si="14"/>
        <v>February</v>
      </c>
      <c r="I226" s="4" t="str">
        <f t="shared" si="15"/>
        <v>2024</v>
      </c>
      <c r="J226" s="10" t="s">
        <v>12</v>
      </c>
    </row>
    <row r="227" spans="1:10" x14ac:dyDescent="0.35">
      <c r="A227" s="9" t="s">
        <v>257</v>
      </c>
      <c r="B227" s="3">
        <v>10</v>
      </c>
      <c r="C227" s="4" t="str">
        <f t="shared" si="12"/>
        <v>Good</v>
      </c>
      <c r="D227" s="3" t="s">
        <v>475</v>
      </c>
      <c r="E227" s="3" t="s">
        <v>476</v>
      </c>
      <c r="F227" s="5" t="s">
        <v>466</v>
      </c>
      <c r="G227" s="4" t="str">
        <f t="shared" si="13"/>
        <v>2nd</v>
      </c>
      <c r="H227" s="4" t="str">
        <f t="shared" si="14"/>
        <v>February</v>
      </c>
      <c r="I227" s="4" t="str">
        <f t="shared" si="15"/>
        <v>2024</v>
      </c>
      <c r="J227" s="10" t="s">
        <v>9</v>
      </c>
    </row>
    <row r="228" spans="1:10" x14ac:dyDescent="0.35">
      <c r="A228" s="9" t="s">
        <v>257</v>
      </c>
      <c r="B228" s="3">
        <v>1</v>
      </c>
      <c r="C228" s="4" t="str">
        <f t="shared" si="12"/>
        <v>Bad</v>
      </c>
      <c r="D228" s="3" t="s">
        <v>477</v>
      </c>
      <c r="E228" s="3" t="s">
        <v>478</v>
      </c>
      <c r="F228" s="5" t="s">
        <v>466</v>
      </c>
      <c r="G228" s="4" t="str">
        <f t="shared" si="13"/>
        <v>2nd</v>
      </c>
      <c r="H228" s="4" t="str">
        <f t="shared" si="14"/>
        <v>February</v>
      </c>
      <c r="I228" s="4" t="str">
        <f t="shared" si="15"/>
        <v>2024</v>
      </c>
      <c r="J228" s="10" t="s">
        <v>12</v>
      </c>
    </row>
    <row r="229" spans="1:10" x14ac:dyDescent="0.35">
      <c r="A229" s="9" t="s">
        <v>257</v>
      </c>
      <c r="B229" s="3">
        <v>10</v>
      </c>
      <c r="C229" s="4" t="str">
        <f t="shared" si="12"/>
        <v>Good</v>
      </c>
      <c r="D229" s="3" t="s">
        <v>479</v>
      </c>
      <c r="E229" s="3" t="s">
        <v>480</v>
      </c>
      <c r="F229" s="5" t="s">
        <v>466</v>
      </c>
      <c r="G229" s="4" t="str">
        <f t="shared" si="13"/>
        <v>2nd</v>
      </c>
      <c r="H229" s="4" t="str">
        <f t="shared" si="14"/>
        <v>February</v>
      </c>
      <c r="I229" s="4" t="str">
        <f t="shared" si="15"/>
        <v>2024</v>
      </c>
      <c r="J229" s="10" t="s">
        <v>9</v>
      </c>
    </row>
    <row r="230" spans="1:10" x14ac:dyDescent="0.35">
      <c r="A230" s="9" t="s">
        <v>257</v>
      </c>
      <c r="B230" s="3">
        <v>2</v>
      </c>
      <c r="C230" s="4" t="str">
        <f t="shared" si="12"/>
        <v>Bad</v>
      </c>
      <c r="D230" s="3" t="s">
        <v>481</v>
      </c>
      <c r="E230" s="3" t="s">
        <v>482</v>
      </c>
      <c r="F230" s="5" t="s">
        <v>466</v>
      </c>
      <c r="G230" s="4" t="str">
        <f t="shared" si="13"/>
        <v>2nd</v>
      </c>
      <c r="H230" s="4" t="str">
        <f t="shared" si="14"/>
        <v>February</v>
      </c>
      <c r="I230" s="4" t="str">
        <f t="shared" si="15"/>
        <v>2024</v>
      </c>
      <c r="J230" s="10" t="s">
        <v>12</v>
      </c>
    </row>
    <row r="231" spans="1:10" x14ac:dyDescent="0.35">
      <c r="A231" s="9" t="s">
        <v>257</v>
      </c>
      <c r="B231" s="3">
        <v>10</v>
      </c>
      <c r="C231" s="4" t="str">
        <f t="shared" si="12"/>
        <v>Good</v>
      </c>
      <c r="D231" s="3" t="s">
        <v>483</v>
      </c>
      <c r="E231" s="3" t="s">
        <v>484</v>
      </c>
      <c r="F231" s="5" t="s">
        <v>466</v>
      </c>
      <c r="G231" s="4" t="str">
        <f t="shared" si="13"/>
        <v>2nd</v>
      </c>
      <c r="H231" s="4" t="str">
        <f t="shared" si="14"/>
        <v>February</v>
      </c>
      <c r="I231" s="4" t="str">
        <f t="shared" si="15"/>
        <v>2024</v>
      </c>
      <c r="J231" s="10" t="s">
        <v>9</v>
      </c>
    </row>
    <row r="232" spans="1:10" x14ac:dyDescent="0.35">
      <c r="A232" s="9" t="s">
        <v>257</v>
      </c>
      <c r="B232" s="3">
        <v>8</v>
      </c>
      <c r="C232" s="4" t="str">
        <f t="shared" si="12"/>
        <v>Good</v>
      </c>
      <c r="D232" s="3" t="s">
        <v>485</v>
      </c>
      <c r="E232" s="3" t="s">
        <v>486</v>
      </c>
      <c r="F232" s="5" t="s">
        <v>487</v>
      </c>
      <c r="G232" s="4" t="str">
        <f t="shared" si="13"/>
        <v>3rd</v>
      </c>
      <c r="H232" s="4" t="str">
        <f t="shared" si="14"/>
        <v>January</v>
      </c>
      <c r="I232" s="4" t="str">
        <f t="shared" si="15"/>
        <v>2024</v>
      </c>
      <c r="J232" s="10" t="s">
        <v>9</v>
      </c>
    </row>
    <row r="233" spans="1:10" x14ac:dyDescent="0.35">
      <c r="A233" s="9" t="s">
        <v>257</v>
      </c>
      <c r="B233" s="3">
        <v>1</v>
      </c>
      <c r="C233" s="4" t="str">
        <f t="shared" si="12"/>
        <v>Bad</v>
      </c>
      <c r="D233" s="3" t="s">
        <v>488</v>
      </c>
      <c r="E233" s="3" t="s">
        <v>489</v>
      </c>
      <c r="F233" s="5" t="s">
        <v>487</v>
      </c>
      <c r="G233" s="4" t="str">
        <f t="shared" si="13"/>
        <v>3rd</v>
      </c>
      <c r="H233" s="4" t="str">
        <f t="shared" si="14"/>
        <v>January</v>
      </c>
      <c r="I233" s="4" t="str">
        <f t="shared" si="15"/>
        <v>2024</v>
      </c>
      <c r="J233" s="10" t="s">
        <v>12</v>
      </c>
    </row>
    <row r="234" spans="1:10" x14ac:dyDescent="0.35">
      <c r="A234" s="9" t="s">
        <v>257</v>
      </c>
      <c r="B234" s="3">
        <v>1</v>
      </c>
      <c r="C234" s="4" t="str">
        <f t="shared" si="12"/>
        <v>Bad</v>
      </c>
      <c r="D234" s="3" t="s">
        <v>490</v>
      </c>
      <c r="E234" s="3" t="s">
        <v>491</v>
      </c>
      <c r="F234" s="5" t="s">
        <v>487</v>
      </c>
      <c r="G234" s="4" t="str">
        <f t="shared" si="13"/>
        <v>3rd</v>
      </c>
      <c r="H234" s="4" t="str">
        <f t="shared" si="14"/>
        <v>January</v>
      </c>
      <c r="I234" s="4" t="str">
        <f t="shared" si="15"/>
        <v>2024</v>
      </c>
      <c r="J234" s="10" t="s">
        <v>12</v>
      </c>
    </row>
    <row r="235" spans="1:10" x14ac:dyDescent="0.35">
      <c r="A235" s="9" t="s">
        <v>257</v>
      </c>
      <c r="B235" s="3">
        <v>3</v>
      </c>
      <c r="C235" s="4" t="str">
        <f t="shared" si="12"/>
        <v>Bad</v>
      </c>
      <c r="D235" s="3" t="s">
        <v>492</v>
      </c>
      <c r="E235" s="3" t="s">
        <v>493</v>
      </c>
      <c r="F235" s="5" t="s">
        <v>487</v>
      </c>
      <c r="G235" s="4" t="str">
        <f t="shared" si="13"/>
        <v>3rd</v>
      </c>
      <c r="H235" s="4" t="str">
        <f t="shared" si="14"/>
        <v>January</v>
      </c>
      <c r="I235" s="4" t="str">
        <f t="shared" si="15"/>
        <v>2024</v>
      </c>
      <c r="J235" s="10" t="s">
        <v>12</v>
      </c>
    </row>
    <row r="236" spans="1:10" x14ac:dyDescent="0.35">
      <c r="A236" s="9" t="s">
        <v>257</v>
      </c>
      <c r="B236" s="3">
        <v>1</v>
      </c>
      <c r="C236" s="4" t="str">
        <f t="shared" si="12"/>
        <v>Bad</v>
      </c>
      <c r="D236" s="3" t="s">
        <v>494</v>
      </c>
      <c r="E236" s="3" t="s">
        <v>495</v>
      </c>
      <c r="F236" s="5" t="s">
        <v>487</v>
      </c>
      <c r="G236" s="4" t="str">
        <f t="shared" si="13"/>
        <v>3rd</v>
      </c>
      <c r="H236" s="4" t="str">
        <f t="shared" si="14"/>
        <v>January</v>
      </c>
      <c r="I236" s="4" t="str">
        <f t="shared" si="15"/>
        <v>2024</v>
      </c>
      <c r="J236" s="10" t="s">
        <v>12</v>
      </c>
    </row>
    <row r="237" spans="1:10" x14ac:dyDescent="0.35">
      <c r="A237" s="9" t="s">
        <v>257</v>
      </c>
      <c r="B237" s="3">
        <v>2</v>
      </c>
      <c r="C237" s="4" t="str">
        <f t="shared" si="12"/>
        <v>Bad</v>
      </c>
      <c r="D237" s="3" t="s">
        <v>496</v>
      </c>
      <c r="E237" s="3" t="s">
        <v>497</v>
      </c>
      <c r="F237" s="5" t="s">
        <v>487</v>
      </c>
      <c r="G237" s="4" t="str">
        <f t="shared" si="13"/>
        <v>3rd</v>
      </c>
      <c r="H237" s="4" t="str">
        <f t="shared" si="14"/>
        <v>January</v>
      </c>
      <c r="I237" s="4" t="str">
        <f t="shared" si="15"/>
        <v>2024</v>
      </c>
      <c r="J237" s="10" t="s">
        <v>12</v>
      </c>
    </row>
    <row r="238" spans="1:10" x14ac:dyDescent="0.35">
      <c r="A238" s="9" t="s">
        <v>257</v>
      </c>
      <c r="B238" s="3">
        <v>1</v>
      </c>
      <c r="C238" s="4" t="str">
        <f t="shared" si="12"/>
        <v>Bad</v>
      </c>
      <c r="D238" s="3" t="s">
        <v>498</v>
      </c>
      <c r="E238" s="3" t="s">
        <v>499</v>
      </c>
      <c r="F238" s="5" t="s">
        <v>487</v>
      </c>
      <c r="G238" s="4" t="str">
        <f t="shared" si="13"/>
        <v>3rd</v>
      </c>
      <c r="H238" s="4" t="str">
        <f t="shared" si="14"/>
        <v>January</v>
      </c>
      <c r="I238" s="4" t="str">
        <f t="shared" si="15"/>
        <v>2024</v>
      </c>
      <c r="J238" s="10" t="s">
        <v>12</v>
      </c>
    </row>
    <row r="239" spans="1:10" x14ac:dyDescent="0.35">
      <c r="A239" s="9" t="s">
        <v>257</v>
      </c>
      <c r="B239" s="3">
        <v>1</v>
      </c>
      <c r="C239" s="4" t="str">
        <f t="shared" si="12"/>
        <v>Bad</v>
      </c>
      <c r="D239" s="3" t="s">
        <v>500</v>
      </c>
      <c r="E239" s="3" t="s">
        <v>501</v>
      </c>
      <c r="F239" s="5" t="s">
        <v>487</v>
      </c>
      <c r="G239" s="4" t="str">
        <f t="shared" si="13"/>
        <v>3rd</v>
      </c>
      <c r="H239" s="4" t="str">
        <f t="shared" si="14"/>
        <v>January</v>
      </c>
      <c r="I239" s="4" t="str">
        <f t="shared" si="15"/>
        <v>2024</v>
      </c>
      <c r="J239" s="10" t="s">
        <v>12</v>
      </c>
    </row>
    <row r="240" spans="1:10" x14ac:dyDescent="0.35">
      <c r="A240" s="9" t="s">
        <v>257</v>
      </c>
      <c r="B240" s="3">
        <v>1</v>
      </c>
      <c r="C240" s="4" t="str">
        <f t="shared" si="12"/>
        <v>Bad</v>
      </c>
      <c r="D240" s="3" t="s">
        <v>502</v>
      </c>
      <c r="E240" s="3" t="s">
        <v>503</v>
      </c>
      <c r="F240" s="5" t="s">
        <v>487</v>
      </c>
      <c r="G240" s="4" t="str">
        <f t="shared" si="13"/>
        <v>3rd</v>
      </c>
      <c r="H240" s="4" t="str">
        <f t="shared" si="14"/>
        <v>January</v>
      </c>
      <c r="I240" s="4" t="str">
        <f t="shared" si="15"/>
        <v>2024</v>
      </c>
      <c r="J240" s="10" t="s">
        <v>12</v>
      </c>
    </row>
    <row r="241" spans="1:10" x14ac:dyDescent="0.35">
      <c r="A241" s="9" t="s">
        <v>257</v>
      </c>
      <c r="B241" s="3">
        <v>2</v>
      </c>
      <c r="C241" s="4" t="str">
        <f t="shared" si="12"/>
        <v>Bad</v>
      </c>
      <c r="D241" s="3" t="s">
        <v>504</v>
      </c>
      <c r="E241" s="3" t="s">
        <v>505</v>
      </c>
      <c r="F241" s="5" t="s">
        <v>487</v>
      </c>
      <c r="G241" s="4" t="str">
        <f t="shared" si="13"/>
        <v>3rd</v>
      </c>
      <c r="H241" s="4" t="str">
        <f t="shared" si="14"/>
        <v>January</v>
      </c>
      <c r="I241" s="4" t="str">
        <f t="shared" si="15"/>
        <v>2024</v>
      </c>
      <c r="J241" s="10" t="s">
        <v>12</v>
      </c>
    </row>
    <row r="242" spans="1:10" x14ac:dyDescent="0.35">
      <c r="A242" s="9" t="s">
        <v>257</v>
      </c>
      <c r="B242" s="3">
        <v>3</v>
      </c>
      <c r="C242" s="4" t="str">
        <f t="shared" si="12"/>
        <v>Bad</v>
      </c>
      <c r="D242" s="3" t="s">
        <v>506</v>
      </c>
      <c r="E242" s="3" t="s">
        <v>507</v>
      </c>
      <c r="F242" s="5" t="s">
        <v>508</v>
      </c>
      <c r="G242" s="4" t="str">
        <f t="shared" si="13"/>
        <v>5th</v>
      </c>
      <c r="H242" s="4" t="str">
        <f t="shared" si="14"/>
        <v>December</v>
      </c>
      <c r="I242" s="4" t="str">
        <f t="shared" si="15"/>
        <v>2023</v>
      </c>
      <c r="J242" s="10" t="s">
        <v>12</v>
      </c>
    </row>
    <row r="243" spans="1:10" x14ac:dyDescent="0.35">
      <c r="A243" s="9" t="s">
        <v>257</v>
      </c>
      <c r="B243" s="3">
        <v>1</v>
      </c>
      <c r="C243" s="4" t="str">
        <f t="shared" si="12"/>
        <v>Bad</v>
      </c>
      <c r="D243" s="3" t="s">
        <v>509</v>
      </c>
      <c r="E243" s="3" t="s">
        <v>510</v>
      </c>
      <c r="F243" s="5" t="s">
        <v>508</v>
      </c>
      <c r="G243" s="4" t="str">
        <f t="shared" si="13"/>
        <v>5th</v>
      </c>
      <c r="H243" s="4" t="str">
        <f t="shared" si="14"/>
        <v>December</v>
      </c>
      <c r="I243" s="4" t="str">
        <f t="shared" si="15"/>
        <v>2023</v>
      </c>
      <c r="J243" s="10" t="s">
        <v>12</v>
      </c>
    </row>
    <row r="244" spans="1:10" x14ac:dyDescent="0.35">
      <c r="A244" s="9" t="s">
        <v>257</v>
      </c>
      <c r="B244" s="3">
        <v>1</v>
      </c>
      <c r="C244" s="4" t="str">
        <f t="shared" si="12"/>
        <v>Bad</v>
      </c>
      <c r="D244" s="3" t="s">
        <v>511</v>
      </c>
      <c r="E244" s="3" t="s">
        <v>512</v>
      </c>
      <c r="F244" s="5" t="s">
        <v>508</v>
      </c>
      <c r="G244" s="4" t="str">
        <f t="shared" si="13"/>
        <v>5th</v>
      </c>
      <c r="H244" s="4" t="str">
        <f t="shared" si="14"/>
        <v>December</v>
      </c>
      <c r="I244" s="4" t="str">
        <f t="shared" si="15"/>
        <v>2023</v>
      </c>
      <c r="J244" s="10" t="s">
        <v>12</v>
      </c>
    </row>
    <row r="245" spans="1:10" x14ac:dyDescent="0.35">
      <c r="A245" s="9" t="s">
        <v>257</v>
      </c>
      <c r="B245" s="3">
        <v>1</v>
      </c>
      <c r="C245" s="4" t="str">
        <f t="shared" si="12"/>
        <v>Bad</v>
      </c>
      <c r="D245" s="3" t="s">
        <v>513</v>
      </c>
      <c r="E245" s="3" t="s">
        <v>514</v>
      </c>
      <c r="F245" s="5" t="s">
        <v>508</v>
      </c>
      <c r="G245" s="4" t="str">
        <f t="shared" si="13"/>
        <v>5th</v>
      </c>
      <c r="H245" s="4" t="str">
        <f t="shared" si="14"/>
        <v>December</v>
      </c>
      <c r="I245" s="4" t="str">
        <f t="shared" si="15"/>
        <v>2023</v>
      </c>
      <c r="J245" s="10" t="s">
        <v>12</v>
      </c>
    </row>
    <row r="246" spans="1:10" x14ac:dyDescent="0.35">
      <c r="A246" s="9" t="s">
        <v>257</v>
      </c>
      <c r="B246" s="3">
        <v>1</v>
      </c>
      <c r="C246" s="4" t="str">
        <f t="shared" si="12"/>
        <v>Bad</v>
      </c>
      <c r="D246" s="3" t="s">
        <v>515</v>
      </c>
      <c r="E246" s="3" t="s">
        <v>516</v>
      </c>
      <c r="F246" s="5" t="s">
        <v>508</v>
      </c>
      <c r="G246" s="4" t="str">
        <f t="shared" si="13"/>
        <v>5th</v>
      </c>
      <c r="H246" s="4" t="str">
        <f t="shared" si="14"/>
        <v>December</v>
      </c>
      <c r="I246" s="4" t="str">
        <f t="shared" si="15"/>
        <v>2023</v>
      </c>
      <c r="J246" s="10" t="s">
        <v>12</v>
      </c>
    </row>
    <row r="247" spans="1:10" x14ac:dyDescent="0.35">
      <c r="A247" s="9" t="s">
        <v>257</v>
      </c>
      <c r="B247" s="3">
        <v>1</v>
      </c>
      <c r="C247" s="4" t="str">
        <f t="shared" si="12"/>
        <v>Bad</v>
      </c>
      <c r="D247" s="3" t="s">
        <v>517</v>
      </c>
      <c r="E247" s="3" t="s">
        <v>518</v>
      </c>
      <c r="F247" s="5" t="s">
        <v>508</v>
      </c>
      <c r="G247" s="4" t="str">
        <f t="shared" si="13"/>
        <v>5th</v>
      </c>
      <c r="H247" s="4" t="str">
        <f t="shared" si="14"/>
        <v>December</v>
      </c>
      <c r="I247" s="4" t="str">
        <f t="shared" si="15"/>
        <v>2023</v>
      </c>
      <c r="J247" s="10" t="s">
        <v>12</v>
      </c>
    </row>
    <row r="248" spans="1:10" x14ac:dyDescent="0.35">
      <c r="A248" s="9" t="s">
        <v>257</v>
      </c>
      <c r="B248" s="3">
        <v>10</v>
      </c>
      <c r="C248" s="4" t="str">
        <f t="shared" si="12"/>
        <v>Good</v>
      </c>
      <c r="D248" s="3" t="s">
        <v>519</v>
      </c>
      <c r="E248" s="3" t="s">
        <v>520</v>
      </c>
      <c r="F248" s="5" t="s">
        <v>508</v>
      </c>
      <c r="G248" s="4" t="str">
        <f t="shared" si="13"/>
        <v>5th</v>
      </c>
      <c r="H248" s="4" t="str">
        <f t="shared" si="14"/>
        <v>December</v>
      </c>
      <c r="I248" s="4" t="str">
        <f t="shared" si="15"/>
        <v>2023</v>
      </c>
      <c r="J248" s="10" t="s">
        <v>9</v>
      </c>
    </row>
    <row r="249" spans="1:10" x14ac:dyDescent="0.35">
      <c r="A249" s="9" t="s">
        <v>257</v>
      </c>
      <c r="B249" s="3">
        <v>1</v>
      </c>
      <c r="C249" s="4" t="str">
        <f t="shared" si="12"/>
        <v>Bad</v>
      </c>
      <c r="D249" s="3" t="s">
        <v>521</v>
      </c>
      <c r="E249" s="3" t="s">
        <v>522</v>
      </c>
      <c r="F249" s="5" t="s">
        <v>508</v>
      </c>
      <c r="G249" s="4" t="str">
        <f t="shared" si="13"/>
        <v>5th</v>
      </c>
      <c r="H249" s="4" t="str">
        <f t="shared" si="14"/>
        <v>December</v>
      </c>
      <c r="I249" s="4" t="str">
        <f t="shared" si="15"/>
        <v>2023</v>
      </c>
      <c r="J249" s="10" t="s">
        <v>12</v>
      </c>
    </row>
    <row r="250" spans="1:10" x14ac:dyDescent="0.35">
      <c r="A250" s="9" t="s">
        <v>257</v>
      </c>
      <c r="B250" s="3">
        <v>2</v>
      </c>
      <c r="C250" s="4" t="str">
        <f t="shared" si="12"/>
        <v>Bad</v>
      </c>
      <c r="D250" s="3" t="s">
        <v>523</v>
      </c>
      <c r="E250" s="3" t="s">
        <v>524</v>
      </c>
      <c r="F250" s="5" t="s">
        <v>508</v>
      </c>
      <c r="G250" s="4" t="str">
        <f t="shared" si="13"/>
        <v>5th</v>
      </c>
      <c r="H250" s="4" t="str">
        <f t="shared" si="14"/>
        <v>December</v>
      </c>
      <c r="I250" s="4" t="str">
        <f t="shared" si="15"/>
        <v>2023</v>
      </c>
      <c r="J250" s="10" t="s">
        <v>12</v>
      </c>
    </row>
    <row r="251" spans="1:10" x14ac:dyDescent="0.35">
      <c r="A251" s="9" t="s">
        <v>257</v>
      </c>
      <c r="B251" s="3">
        <v>9</v>
      </c>
      <c r="C251" s="4" t="str">
        <f t="shared" si="12"/>
        <v>Good</v>
      </c>
      <c r="D251" s="3" t="s">
        <v>525</v>
      </c>
      <c r="E251" s="3" t="s">
        <v>526</v>
      </c>
      <c r="F251" s="5" t="s">
        <v>508</v>
      </c>
      <c r="G251" s="4" t="str">
        <f t="shared" si="13"/>
        <v>5th</v>
      </c>
      <c r="H251" s="4" t="str">
        <f t="shared" si="14"/>
        <v>December</v>
      </c>
      <c r="I251" s="4" t="str">
        <f t="shared" si="15"/>
        <v>2023</v>
      </c>
      <c r="J251" s="10" t="s">
        <v>9</v>
      </c>
    </row>
    <row r="252" spans="1:10" x14ac:dyDescent="0.35">
      <c r="A252" s="9" t="s">
        <v>257</v>
      </c>
      <c r="B252" s="3">
        <v>1</v>
      </c>
      <c r="C252" s="4" t="str">
        <f t="shared" si="12"/>
        <v>Bad</v>
      </c>
      <c r="D252" s="3" t="s">
        <v>527</v>
      </c>
      <c r="E252" s="3" t="s">
        <v>528</v>
      </c>
      <c r="F252" s="5" t="s">
        <v>529</v>
      </c>
      <c r="G252" s="4" t="str">
        <f t="shared" si="13"/>
        <v>21st</v>
      </c>
      <c r="H252" s="4" t="str">
        <f t="shared" si="14"/>
        <v>November</v>
      </c>
      <c r="I252" s="4" t="str">
        <f t="shared" si="15"/>
        <v>2023</v>
      </c>
      <c r="J252" s="10" t="s">
        <v>12</v>
      </c>
    </row>
    <row r="253" spans="1:10" x14ac:dyDescent="0.35">
      <c r="A253" s="9" t="s">
        <v>257</v>
      </c>
      <c r="B253" s="3">
        <v>1</v>
      </c>
      <c r="C253" s="4" t="str">
        <f t="shared" si="12"/>
        <v>Bad</v>
      </c>
      <c r="D253" s="3" t="s">
        <v>530</v>
      </c>
      <c r="E253" s="3" t="s">
        <v>531</v>
      </c>
      <c r="F253" s="5" t="s">
        <v>529</v>
      </c>
      <c r="G253" s="4" t="str">
        <f t="shared" si="13"/>
        <v>21st</v>
      </c>
      <c r="H253" s="4" t="str">
        <f t="shared" si="14"/>
        <v>November</v>
      </c>
      <c r="I253" s="4" t="str">
        <f t="shared" si="15"/>
        <v>2023</v>
      </c>
      <c r="J253" s="10" t="s">
        <v>12</v>
      </c>
    </row>
    <row r="254" spans="1:10" x14ac:dyDescent="0.35">
      <c r="A254" s="9" t="s">
        <v>257</v>
      </c>
      <c r="B254" s="3">
        <v>10</v>
      </c>
      <c r="C254" s="4" t="str">
        <f t="shared" si="12"/>
        <v>Good</v>
      </c>
      <c r="D254" s="3" t="s">
        <v>532</v>
      </c>
      <c r="E254" s="3" t="s">
        <v>533</v>
      </c>
      <c r="F254" s="5" t="s">
        <v>529</v>
      </c>
      <c r="G254" s="4" t="str">
        <f t="shared" si="13"/>
        <v>21st</v>
      </c>
      <c r="H254" s="4" t="str">
        <f t="shared" si="14"/>
        <v>November</v>
      </c>
      <c r="I254" s="4" t="str">
        <f t="shared" si="15"/>
        <v>2023</v>
      </c>
      <c r="J254" s="10" t="s">
        <v>9</v>
      </c>
    </row>
    <row r="255" spans="1:10" x14ac:dyDescent="0.35">
      <c r="A255" s="9" t="s">
        <v>257</v>
      </c>
      <c r="B255" s="3">
        <v>4</v>
      </c>
      <c r="C255" s="4" t="str">
        <f t="shared" si="12"/>
        <v>Bad</v>
      </c>
      <c r="D255" s="3" t="s">
        <v>534</v>
      </c>
      <c r="E255" s="3" t="s">
        <v>493</v>
      </c>
      <c r="F255" s="5" t="s">
        <v>529</v>
      </c>
      <c r="G255" s="4" t="str">
        <f t="shared" si="13"/>
        <v>21st</v>
      </c>
      <c r="H255" s="4" t="str">
        <f t="shared" si="14"/>
        <v>November</v>
      </c>
      <c r="I255" s="4" t="str">
        <f t="shared" si="15"/>
        <v>2023</v>
      </c>
      <c r="J255" s="10" t="s">
        <v>12</v>
      </c>
    </row>
    <row r="256" spans="1:10" x14ac:dyDescent="0.35">
      <c r="A256" s="9" t="s">
        <v>257</v>
      </c>
      <c r="B256" s="3">
        <v>10</v>
      </c>
      <c r="C256" s="4" t="str">
        <f t="shared" si="12"/>
        <v>Good</v>
      </c>
      <c r="D256" s="3" t="s">
        <v>535</v>
      </c>
      <c r="E256" s="3" t="s">
        <v>536</v>
      </c>
      <c r="F256" s="5" t="s">
        <v>529</v>
      </c>
      <c r="G256" s="4" t="str">
        <f t="shared" si="13"/>
        <v>21st</v>
      </c>
      <c r="H256" s="4" t="str">
        <f t="shared" si="14"/>
        <v>November</v>
      </c>
      <c r="I256" s="4" t="str">
        <f t="shared" si="15"/>
        <v>2023</v>
      </c>
      <c r="J256" s="10" t="s">
        <v>9</v>
      </c>
    </row>
    <row r="257" spans="1:10" x14ac:dyDescent="0.35">
      <c r="A257" s="9" t="s">
        <v>257</v>
      </c>
      <c r="B257" s="3">
        <v>2</v>
      </c>
      <c r="C257" s="4" t="str">
        <f t="shared" si="12"/>
        <v>Bad</v>
      </c>
      <c r="D257" s="3" t="s">
        <v>537</v>
      </c>
      <c r="E257" s="3" t="s">
        <v>538</v>
      </c>
      <c r="F257" s="5" t="s">
        <v>529</v>
      </c>
      <c r="G257" s="4" t="str">
        <f t="shared" si="13"/>
        <v>21st</v>
      </c>
      <c r="H257" s="4" t="str">
        <f t="shared" si="14"/>
        <v>November</v>
      </c>
      <c r="I257" s="4" t="str">
        <f t="shared" si="15"/>
        <v>2023</v>
      </c>
      <c r="J257" s="10" t="s">
        <v>12</v>
      </c>
    </row>
    <row r="258" spans="1:10" x14ac:dyDescent="0.35">
      <c r="A258" s="9" t="s">
        <v>257</v>
      </c>
      <c r="B258" s="3">
        <v>3</v>
      </c>
      <c r="C258" s="4" t="str">
        <f t="shared" si="12"/>
        <v>Bad</v>
      </c>
      <c r="D258" s="3" t="s">
        <v>539</v>
      </c>
      <c r="E258" s="3" t="s">
        <v>540</v>
      </c>
      <c r="F258" s="5" t="s">
        <v>529</v>
      </c>
      <c r="G258" s="4" t="str">
        <f t="shared" si="13"/>
        <v>21st</v>
      </c>
      <c r="H258" s="4" t="str">
        <f t="shared" si="14"/>
        <v>November</v>
      </c>
      <c r="I258" s="4" t="str">
        <f t="shared" si="15"/>
        <v>2023</v>
      </c>
      <c r="J258" s="10" t="s">
        <v>12</v>
      </c>
    </row>
    <row r="259" spans="1:10" x14ac:dyDescent="0.35">
      <c r="A259" s="9" t="s">
        <v>257</v>
      </c>
      <c r="B259" s="3">
        <v>1</v>
      </c>
      <c r="C259" s="4" t="str">
        <f t="shared" ref="C259:C322" si="16">IF(B259&gt;=8,"Good",IF(B259&gt;=5,"Neutral","Bad"))</f>
        <v>Bad</v>
      </c>
      <c r="D259" s="3" t="s">
        <v>541</v>
      </c>
      <c r="E259" s="3" t="s">
        <v>542</v>
      </c>
      <c r="F259" s="5" t="s">
        <v>529</v>
      </c>
      <c r="G259" s="4" t="str">
        <f t="shared" ref="G259:G322" si="17">LEFT(F259, FIND(" ", F259)-1)</f>
        <v>21st</v>
      </c>
      <c r="H259" s="4" t="str">
        <f t="shared" ref="H259:H322" si="18">TRIM(MID(F259, FIND(" ", F259)+1, FIND(" ", F259, FIND(" ", F259)+1) - FIND(" ", F259)-1))</f>
        <v>November</v>
      </c>
      <c r="I259" s="4" t="str">
        <f t="shared" ref="I259:I322" si="19">RIGHT(F259, 4)</f>
        <v>2023</v>
      </c>
      <c r="J259" s="10" t="s">
        <v>12</v>
      </c>
    </row>
    <row r="260" spans="1:10" x14ac:dyDescent="0.35">
      <c r="A260" s="9" t="s">
        <v>257</v>
      </c>
      <c r="B260" s="3">
        <v>8</v>
      </c>
      <c r="C260" s="4" t="str">
        <f t="shared" si="16"/>
        <v>Good</v>
      </c>
      <c r="D260" s="3" t="s">
        <v>543</v>
      </c>
      <c r="E260" s="3" t="s">
        <v>544</v>
      </c>
      <c r="F260" s="5" t="s">
        <v>529</v>
      </c>
      <c r="G260" s="4" t="str">
        <f t="shared" si="17"/>
        <v>21st</v>
      </c>
      <c r="H260" s="4" t="str">
        <f t="shared" si="18"/>
        <v>November</v>
      </c>
      <c r="I260" s="4" t="str">
        <f t="shared" si="19"/>
        <v>2023</v>
      </c>
      <c r="J260" s="10" t="s">
        <v>9</v>
      </c>
    </row>
    <row r="261" spans="1:10" x14ac:dyDescent="0.35">
      <c r="A261" s="9" t="s">
        <v>257</v>
      </c>
      <c r="B261" s="3">
        <v>2</v>
      </c>
      <c r="C261" s="4" t="str">
        <f t="shared" si="16"/>
        <v>Bad</v>
      </c>
      <c r="D261" s="3" t="s">
        <v>545</v>
      </c>
      <c r="E261" s="3" t="s">
        <v>546</v>
      </c>
      <c r="F261" s="5" t="s">
        <v>529</v>
      </c>
      <c r="G261" s="4" t="str">
        <f t="shared" si="17"/>
        <v>21st</v>
      </c>
      <c r="H261" s="4" t="str">
        <f t="shared" si="18"/>
        <v>November</v>
      </c>
      <c r="I261" s="4" t="str">
        <f t="shared" si="19"/>
        <v>2023</v>
      </c>
      <c r="J261" s="10" t="s">
        <v>12</v>
      </c>
    </row>
    <row r="262" spans="1:10" x14ac:dyDescent="0.35">
      <c r="A262" s="9" t="s">
        <v>257</v>
      </c>
      <c r="B262" s="3">
        <v>1</v>
      </c>
      <c r="C262" s="4" t="str">
        <f t="shared" si="16"/>
        <v>Bad</v>
      </c>
      <c r="D262" s="3" t="s">
        <v>547</v>
      </c>
      <c r="E262" s="3" t="s">
        <v>548</v>
      </c>
      <c r="F262" s="5" t="s">
        <v>549</v>
      </c>
      <c r="G262" s="4" t="str">
        <f t="shared" si="17"/>
        <v>27th</v>
      </c>
      <c r="H262" s="4" t="str">
        <f t="shared" si="18"/>
        <v>October</v>
      </c>
      <c r="I262" s="4" t="str">
        <f t="shared" si="19"/>
        <v>2023</v>
      </c>
      <c r="J262" s="10" t="s">
        <v>12</v>
      </c>
    </row>
    <row r="263" spans="1:10" x14ac:dyDescent="0.35">
      <c r="A263" s="9" t="s">
        <v>257</v>
      </c>
      <c r="B263" s="3">
        <v>1</v>
      </c>
      <c r="C263" s="4" t="str">
        <f t="shared" si="16"/>
        <v>Bad</v>
      </c>
      <c r="D263" s="3" t="s">
        <v>550</v>
      </c>
      <c r="E263" s="3" t="s">
        <v>551</v>
      </c>
      <c r="F263" s="5" t="s">
        <v>549</v>
      </c>
      <c r="G263" s="4" t="str">
        <f t="shared" si="17"/>
        <v>27th</v>
      </c>
      <c r="H263" s="4" t="str">
        <f t="shared" si="18"/>
        <v>October</v>
      </c>
      <c r="I263" s="4" t="str">
        <f t="shared" si="19"/>
        <v>2023</v>
      </c>
      <c r="J263" s="10" t="s">
        <v>12</v>
      </c>
    </row>
    <row r="264" spans="1:10" x14ac:dyDescent="0.35">
      <c r="A264" s="9" t="s">
        <v>257</v>
      </c>
      <c r="B264" s="3">
        <v>2</v>
      </c>
      <c r="C264" s="4" t="str">
        <f t="shared" si="16"/>
        <v>Bad</v>
      </c>
      <c r="D264" s="3" t="s">
        <v>552</v>
      </c>
      <c r="E264" s="3" t="s">
        <v>553</v>
      </c>
      <c r="F264" s="5" t="s">
        <v>549</v>
      </c>
      <c r="G264" s="4" t="str">
        <f t="shared" si="17"/>
        <v>27th</v>
      </c>
      <c r="H264" s="4" t="str">
        <f t="shared" si="18"/>
        <v>October</v>
      </c>
      <c r="I264" s="4" t="str">
        <f t="shared" si="19"/>
        <v>2023</v>
      </c>
      <c r="J264" s="10" t="s">
        <v>12</v>
      </c>
    </row>
    <row r="265" spans="1:10" x14ac:dyDescent="0.35">
      <c r="A265" s="9" t="s">
        <v>257</v>
      </c>
      <c r="B265" s="3">
        <v>1</v>
      </c>
      <c r="C265" s="4" t="str">
        <f t="shared" si="16"/>
        <v>Bad</v>
      </c>
      <c r="D265" s="3" t="s">
        <v>554</v>
      </c>
      <c r="E265" s="3" t="s">
        <v>555</v>
      </c>
      <c r="F265" s="5" t="s">
        <v>549</v>
      </c>
      <c r="G265" s="4" t="str">
        <f t="shared" si="17"/>
        <v>27th</v>
      </c>
      <c r="H265" s="4" t="str">
        <f t="shared" si="18"/>
        <v>October</v>
      </c>
      <c r="I265" s="4" t="str">
        <f t="shared" si="19"/>
        <v>2023</v>
      </c>
      <c r="J265" s="10" t="s">
        <v>12</v>
      </c>
    </row>
    <row r="266" spans="1:10" x14ac:dyDescent="0.35">
      <c r="A266" s="9" t="s">
        <v>257</v>
      </c>
      <c r="B266" s="3">
        <v>3</v>
      </c>
      <c r="C266" s="4" t="str">
        <f t="shared" si="16"/>
        <v>Bad</v>
      </c>
      <c r="D266" s="3" t="s">
        <v>556</v>
      </c>
      <c r="E266" s="3" t="s">
        <v>557</v>
      </c>
      <c r="F266" s="5" t="s">
        <v>549</v>
      </c>
      <c r="G266" s="4" t="str">
        <f t="shared" si="17"/>
        <v>27th</v>
      </c>
      <c r="H266" s="4" t="str">
        <f t="shared" si="18"/>
        <v>October</v>
      </c>
      <c r="I266" s="4" t="str">
        <f t="shared" si="19"/>
        <v>2023</v>
      </c>
      <c r="J266" s="10" t="s">
        <v>12</v>
      </c>
    </row>
    <row r="267" spans="1:10" x14ac:dyDescent="0.35">
      <c r="A267" s="9" t="s">
        <v>257</v>
      </c>
      <c r="B267" s="3">
        <v>1</v>
      </c>
      <c r="C267" s="4" t="str">
        <f t="shared" si="16"/>
        <v>Bad</v>
      </c>
      <c r="D267" s="3" t="s">
        <v>558</v>
      </c>
      <c r="E267" s="3" t="s">
        <v>559</v>
      </c>
      <c r="F267" s="5" t="s">
        <v>549</v>
      </c>
      <c r="G267" s="4" t="str">
        <f t="shared" si="17"/>
        <v>27th</v>
      </c>
      <c r="H267" s="4" t="str">
        <f t="shared" si="18"/>
        <v>October</v>
      </c>
      <c r="I267" s="4" t="str">
        <f t="shared" si="19"/>
        <v>2023</v>
      </c>
      <c r="J267" s="10" t="s">
        <v>12</v>
      </c>
    </row>
    <row r="268" spans="1:10" x14ac:dyDescent="0.35">
      <c r="A268" s="9" t="s">
        <v>257</v>
      </c>
      <c r="B268" s="3">
        <v>1</v>
      </c>
      <c r="C268" s="4" t="str">
        <f t="shared" si="16"/>
        <v>Bad</v>
      </c>
      <c r="D268" s="3" t="s">
        <v>560</v>
      </c>
      <c r="E268" s="3" t="s">
        <v>561</v>
      </c>
      <c r="F268" s="5" t="s">
        <v>549</v>
      </c>
      <c r="G268" s="4" t="str">
        <f t="shared" si="17"/>
        <v>27th</v>
      </c>
      <c r="H268" s="4" t="str">
        <f t="shared" si="18"/>
        <v>October</v>
      </c>
      <c r="I268" s="4" t="str">
        <f t="shared" si="19"/>
        <v>2023</v>
      </c>
      <c r="J268" s="10" t="s">
        <v>12</v>
      </c>
    </row>
    <row r="269" spans="1:10" x14ac:dyDescent="0.35">
      <c r="A269" s="9" t="s">
        <v>257</v>
      </c>
      <c r="B269" s="3">
        <v>2</v>
      </c>
      <c r="C269" s="4" t="str">
        <f t="shared" si="16"/>
        <v>Bad</v>
      </c>
      <c r="D269" s="3" t="s">
        <v>562</v>
      </c>
      <c r="E269" s="3" t="s">
        <v>563</v>
      </c>
      <c r="F269" s="5" t="s">
        <v>549</v>
      </c>
      <c r="G269" s="4" t="str">
        <f t="shared" si="17"/>
        <v>27th</v>
      </c>
      <c r="H269" s="4" t="str">
        <f t="shared" si="18"/>
        <v>October</v>
      </c>
      <c r="I269" s="4" t="str">
        <f t="shared" si="19"/>
        <v>2023</v>
      </c>
      <c r="J269" s="10" t="s">
        <v>12</v>
      </c>
    </row>
    <row r="270" spans="1:10" x14ac:dyDescent="0.35">
      <c r="A270" s="9" t="s">
        <v>257</v>
      </c>
      <c r="B270" s="3">
        <v>2</v>
      </c>
      <c r="C270" s="4" t="str">
        <f t="shared" si="16"/>
        <v>Bad</v>
      </c>
      <c r="D270" s="3" t="s">
        <v>564</v>
      </c>
      <c r="E270" s="3" t="s">
        <v>565</v>
      </c>
      <c r="F270" s="5" t="s">
        <v>549</v>
      </c>
      <c r="G270" s="4" t="str">
        <f t="shared" si="17"/>
        <v>27th</v>
      </c>
      <c r="H270" s="4" t="str">
        <f t="shared" si="18"/>
        <v>October</v>
      </c>
      <c r="I270" s="4" t="str">
        <f t="shared" si="19"/>
        <v>2023</v>
      </c>
      <c r="J270" s="10" t="s">
        <v>12</v>
      </c>
    </row>
    <row r="271" spans="1:10" x14ac:dyDescent="0.35">
      <c r="A271" s="9" t="s">
        <v>257</v>
      </c>
      <c r="B271" s="3">
        <v>1</v>
      </c>
      <c r="C271" s="4" t="str">
        <f t="shared" si="16"/>
        <v>Bad</v>
      </c>
      <c r="D271" s="3" t="s">
        <v>566</v>
      </c>
      <c r="E271" s="3" t="s">
        <v>567</v>
      </c>
      <c r="F271" s="5" t="s">
        <v>549</v>
      </c>
      <c r="G271" s="4" t="str">
        <f t="shared" si="17"/>
        <v>27th</v>
      </c>
      <c r="H271" s="4" t="str">
        <f t="shared" si="18"/>
        <v>October</v>
      </c>
      <c r="I271" s="4" t="str">
        <f t="shared" si="19"/>
        <v>2023</v>
      </c>
      <c r="J271" s="10" t="s">
        <v>12</v>
      </c>
    </row>
    <row r="272" spans="1:10" x14ac:dyDescent="0.35">
      <c r="A272" s="9" t="s">
        <v>257</v>
      </c>
      <c r="B272" s="3">
        <v>1</v>
      </c>
      <c r="C272" s="4" t="str">
        <f t="shared" si="16"/>
        <v>Bad</v>
      </c>
      <c r="D272" s="3" t="s">
        <v>568</v>
      </c>
      <c r="E272" s="3" t="s">
        <v>569</v>
      </c>
      <c r="F272" s="5" t="s">
        <v>570</v>
      </c>
      <c r="G272" s="4" t="str">
        <f t="shared" si="17"/>
        <v>9th</v>
      </c>
      <c r="H272" s="4" t="str">
        <f t="shared" si="18"/>
        <v>October</v>
      </c>
      <c r="I272" s="4" t="str">
        <f t="shared" si="19"/>
        <v>2023</v>
      </c>
      <c r="J272" s="10" t="s">
        <v>12</v>
      </c>
    </row>
    <row r="273" spans="1:10" x14ac:dyDescent="0.35">
      <c r="A273" s="9" t="s">
        <v>257</v>
      </c>
      <c r="B273" s="3">
        <v>1</v>
      </c>
      <c r="C273" s="4" t="str">
        <f t="shared" si="16"/>
        <v>Bad</v>
      </c>
      <c r="D273" s="3" t="s">
        <v>571</v>
      </c>
      <c r="E273" s="3" t="s">
        <v>572</v>
      </c>
      <c r="F273" s="5" t="s">
        <v>570</v>
      </c>
      <c r="G273" s="4" t="str">
        <f t="shared" si="17"/>
        <v>9th</v>
      </c>
      <c r="H273" s="4" t="str">
        <f t="shared" si="18"/>
        <v>October</v>
      </c>
      <c r="I273" s="4" t="str">
        <f t="shared" si="19"/>
        <v>2023</v>
      </c>
      <c r="J273" s="10" t="s">
        <v>12</v>
      </c>
    </row>
    <row r="274" spans="1:10" x14ac:dyDescent="0.35">
      <c r="A274" s="9" t="s">
        <v>257</v>
      </c>
      <c r="B274" s="3">
        <v>1</v>
      </c>
      <c r="C274" s="4" t="str">
        <f t="shared" si="16"/>
        <v>Bad</v>
      </c>
      <c r="D274" s="3" t="s">
        <v>573</v>
      </c>
      <c r="E274" s="3" t="s">
        <v>574</v>
      </c>
      <c r="F274" s="5" t="s">
        <v>570</v>
      </c>
      <c r="G274" s="4" t="str">
        <f t="shared" si="17"/>
        <v>9th</v>
      </c>
      <c r="H274" s="4" t="str">
        <f t="shared" si="18"/>
        <v>October</v>
      </c>
      <c r="I274" s="4" t="str">
        <f t="shared" si="19"/>
        <v>2023</v>
      </c>
      <c r="J274" s="10" t="s">
        <v>12</v>
      </c>
    </row>
    <row r="275" spans="1:10" x14ac:dyDescent="0.35">
      <c r="A275" s="9" t="s">
        <v>257</v>
      </c>
      <c r="B275" s="3">
        <v>3</v>
      </c>
      <c r="C275" s="4" t="str">
        <f t="shared" si="16"/>
        <v>Bad</v>
      </c>
      <c r="D275" s="3" t="s">
        <v>575</v>
      </c>
      <c r="E275" s="3" t="s">
        <v>576</v>
      </c>
      <c r="F275" s="5" t="s">
        <v>570</v>
      </c>
      <c r="G275" s="4" t="str">
        <f t="shared" si="17"/>
        <v>9th</v>
      </c>
      <c r="H275" s="4" t="str">
        <f t="shared" si="18"/>
        <v>October</v>
      </c>
      <c r="I275" s="4" t="str">
        <f t="shared" si="19"/>
        <v>2023</v>
      </c>
      <c r="J275" s="10" t="s">
        <v>12</v>
      </c>
    </row>
    <row r="276" spans="1:10" x14ac:dyDescent="0.35">
      <c r="A276" s="9" t="s">
        <v>257</v>
      </c>
      <c r="B276" s="3">
        <v>1</v>
      </c>
      <c r="C276" s="4" t="str">
        <f t="shared" si="16"/>
        <v>Bad</v>
      </c>
      <c r="D276" s="3" t="s">
        <v>577</v>
      </c>
      <c r="E276" s="3" t="s">
        <v>578</v>
      </c>
      <c r="F276" s="5" t="s">
        <v>570</v>
      </c>
      <c r="G276" s="4" t="str">
        <f t="shared" si="17"/>
        <v>9th</v>
      </c>
      <c r="H276" s="4" t="str">
        <f t="shared" si="18"/>
        <v>October</v>
      </c>
      <c r="I276" s="4" t="str">
        <f t="shared" si="19"/>
        <v>2023</v>
      </c>
      <c r="J276" s="10" t="s">
        <v>12</v>
      </c>
    </row>
    <row r="277" spans="1:10" x14ac:dyDescent="0.35">
      <c r="A277" s="9" t="s">
        <v>257</v>
      </c>
      <c r="B277" s="3">
        <v>2</v>
      </c>
      <c r="C277" s="4" t="str">
        <f t="shared" si="16"/>
        <v>Bad</v>
      </c>
      <c r="D277" s="3" t="s">
        <v>579</v>
      </c>
      <c r="E277" s="3" t="s">
        <v>580</v>
      </c>
      <c r="F277" s="5" t="s">
        <v>570</v>
      </c>
      <c r="G277" s="4" t="str">
        <f t="shared" si="17"/>
        <v>9th</v>
      </c>
      <c r="H277" s="4" t="str">
        <f t="shared" si="18"/>
        <v>October</v>
      </c>
      <c r="I277" s="4" t="str">
        <f t="shared" si="19"/>
        <v>2023</v>
      </c>
      <c r="J277" s="10" t="s">
        <v>12</v>
      </c>
    </row>
    <row r="278" spans="1:10" x14ac:dyDescent="0.35">
      <c r="A278" s="9" t="s">
        <v>257</v>
      </c>
      <c r="B278" s="3">
        <v>1</v>
      </c>
      <c r="C278" s="4" t="str">
        <f t="shared" si="16"/>
        <v>Bad</v>
      </c>
      <c r="D278" s="3" t="s">
        <v>581</v>
      </c>
      <c r="E278" s="3" t="s">
        <v>582</v>
      </c>
      <c r="F278" s="5" t="s">
        <v>570</v>
      </c>
      <c r="G278" s="4" t="str">
        <f t="shared" si="17"/>
        <v>9th</v>
      </c>
      <c r="H278" s="4" t="str">
        <f t="shared" si="18"/>
        <v>October</v>
      </c>
      <c r="I278" s="4" t="str">
        <f t="shared" si="19"/>
        <v>2023</v>
      </c>
      <c r="J278" s="10" t="s">
        <v>12</v>
      </c>
    </row>
    <row r="279" spans="1:10" x14ac:dyDescent="0.35">
      <c r="A279" s="9" t="s">
        <v>257</v>
      </c>
      <c r="B279" s="3">
        <v>1</v>
      </c>
      <c r="C279" s="4" t="str">
        <f t="shared" si="16"/>
        <v>Bad</v>
      </c>
      <c r="D279" s="3" t="s">
        <v>583</v>
      </c>
      <c r="E279" s="3" t="s">
        <v>584</v>
      </c>
      <c r="F279" s="5" t="s">
        <v>570</v>
      </c>
      <c r="G279" s="4" t="str">
        <f t="shared" si="17"/>
        <v>9th</v>
      </c>
      <c r="H279" s="4" t="str">
        <f t="shared" si="18"/>
        <v>October</v>
      </c>
      <c r="I279" s="4" t="str">
        <f t="shared" si="19"/>
        <v>2023</v>
      </c>
      <c r="J279" s="10" t="s">
        <v>12</v>
      </c>
    </row>
    <row r="280" spans="1:10" x14ac:dyDescent="0.35">
      <c r="A280" s="9" t="s">
        <v>257</v>
      </c>
      <c r="B280" s="3">
        <v>3</v>
      </c>
      <c r="C280" s="4" t="str">
        <f t="shared" si="16"/>
        <v>Bad</v>
      </c>
      <c r="D280" s="3" t="s">
        <v>585</v>
      </c>
      <c r="E280" s="3" t="s">
        <v>586</v>
      </c>
      <c r="F280" s="5" t="s">
        <v>570</v>
      </c>
      <c r="G280" s="4" t="str">
        <f t="shared" si="17"/>
        <v>9th</v>
      </c>
      <c r="H280" s="4" t="str">
        <f t="shared" si="18"/>
        <v>October</v>
      </c>
      <c r="I280" s="4" t="str">
        <f t="shared" si="19"/>
        <v>2023</v>
      </c>
      <c r="J280" s="10" t="s">
        <v>12</v>
      </c>
    </row>
    <row r="281" spans="1:10" x14ac:dyDescent="0.35">
      <c r="A281" s="9" t="s">
        <v>257</v>
      </c>
      <c r="B281" s="3">
        <v>2</v>
      </c>
      <c r="C281" s="4" t="str">
        <f t="shared" si="16"/>
        <v>Bad</v>
      </c>
      <c r="D281" s="3" t="s">
        <v>587</v>
      </c>
      <c r="E281" s="3" t="s">
        <v>588</v>
      </c>
      <c r="F281" s="5" t="s">
        <v>570</v>
      </c>
      <c r="G281" s="4" t="str">
        <f t="shared" si="17"/>
        <v>9th</v>
      </c>
      <c r="H281" s="4" t="str">
        <f t="shared" si="18"/>
        <v>October</v>
      </c>
      <c r="I281" s="4" t="str">
        <f t="shared" si="19"/>
        <v>2023</v>
      </c>
      <c r="J281" s="10" t="s">
        <v>12</v>
      </c>
    </row>
    <row r="282" spans="1:10" x14ac:dyDescent="0.35">
      <c r="A282" s="9" t="s">
        <v>257</v>
      </c>
      <c r="B282" s="3">
        <v>2</v>
      </c>
      <c r="C282" s="4" t="str">
        <f t="shared" si="16"/>
        <v>Bad</v>
      </c>
      <c r="D282" s="3" t="s">
        <v>589</v>
      </c>
      <c r="E282" s="3" t="s">
        <v>590</v>
      </c>
      <c r="F282" s="5" t="s">
        <v>591</v>
      </c>
      <c r="G282" s="4" t="str">
        <f t="shared" si="17"/>
        <v>26th</v>
      </c>
      <c r="H282" s="4" t="str">
        <f t="shared" si="18"/>
        <v>September</v>
      </c>
      <c r="I282" s="4" t="str">
        <f t="shared" si="19"/>
        <v>2023</v>
      </c>
      <c r="J282" s="10" t="s">
        <v>12</v>
      </c>
    </row>
    <row r="283" spans="1:10" x14ac:dyDescent="0.35">
      <c r="A283" s="9" t="s">
        <v>257</v>
      </c>
      <c r="B283" s="3">
        <v>1</v>
      </c>
      <c r="C283" s="4" t="str">
        <f t="shared" si="16"/>
        <v>Bad</v>
      </c>
      <c r="D283" s="3" t="s">
        <v>592</v>
      </c>
      <c r="E283" s="3" t="s">
        <v>593</v>
      </c>
      <c r="F283" s="5" t="s">
        <v>591</v>
      </c>
      <c r="G283" s="4" t="str">
        <f t="shared" si="17"/>
        <v>26th</v>
      </c>
      <c r="H283" s="4" t="str">
        <f t="shared" si="18"/>
        <v>September</v>
      </c>
      <c r="I283" s="4" t="str">
        <f t="shared" si="19"/>
        <v>2023</v>
      </c>
      <c r="J283" s="10" t="s">
        <v>12</v>
      </c>
    </row>
    <row r="284" spans="1:10" x14ac:dyDescent="0.35">
      <c r="A284" s="9" t="s">
        <v>257</v>
      </c>
      <c r="B284" s="3">
        <v>1</v>
      </c>
      <c r="C284" s="4" t="str">
        <f t="shared" si="16"/>
        <v>Bad</v>
      </c>
      <c r="D284" s="3" t="s">
        <v>594</v>
      </c>
      <c r="E284" s="3" t="s">
        <v>595</v>
      </c>
      <c r="F284" s="5" t="s">
        <v>591</v>
      </c>
      <c r="G284" s="4" t="str">
        <f t="shared" si="17"/>
        <v>26th</v>
      </c>
      <c r="H284" s="4" t="str">
        <f t="shared" si="18"/>
        <v>September</v>
      </c>
      <c r="I284" s="4" t="str">
        <f t="shared" si="19"/>
        <v>2023</v>
      </c>
      <c r="J284" s="10" t="s">
        <v>12</v>
      </c>
    </row>
    <row r="285" spans="1:10" x14ac:dyDescent="0.35">
      <c r="A285" s="9" t="s">
        <v>257</v>
      </c>
      <c r="B285" s="3">
        <v>1</v>
      </c>
      <c r="C285" s="4" t="str">
        <f t="shared" si="16"/>
        <v>Bad</v>
      </c>
      <c r="D285" s="3" t="s">
        <v>596</v>
      </c>
      <c r="E285" s="3" t="s">
        <v>597</v>
      </c>
      <c r="F285" s="5" t="s">
        <v>591</v>
      </c>
      <c r="G285" s="4" t="str">
        <f t="shared" si="17"/>
        <v>26th</v>
      </c>
      <c r="H285" s="4" t="str">
        <f t="shared" si="18"/>
        <v>September</v>
      </c>
      <c r="I285" s="4" t="str">
        <f t="shared" si="19"/>
        <v>2023</v>
      </c>
      <c r="J285" s="10" t="s">
        <v>12</v>
      </c>
    </row>
    <row r="286" spans="1:10" x14ac:dyDescent="0.35">
      <c r="A286" s="9" t="s">
        <v>257</v>
      </c>
      <c r="B286" s="3">
        <v>4</v>
      </c>
      <c r="C286" s="4" t="str">
        <f t="shared" si="16"/>
        <v>Bad</v>
      </c>
      <c r="D286" s="3" t="s">
        <v>598</v>
      </c>
      <c r="E286" s="3" t="s">
        <v>599</v>
      </c>
      <c r="F286" s="5" t="s">
        <v>591</v>
      </c>
      <c r="G286" s="4" t="str">
        <f t="shared" si="17"/>
        <v>26th</v>
      </c>
      <c r="H286" s="4" t="str">
        <f t="shared" si="18"/>
        <v>September</v>
      </c>
      <c r="I286" s="4" t="str">
        <f t="shared" si="19"/>
        <v>2023</v>
      </c>
      <c r="J286" s="10" t="s">
        <v>9</v>
      </c>
    </row>
    <row r="287" spans="1:10" x14ac:dyDescent="0.35">
      <c r="A287" s="9" t="s">
        <v>257</v>
      </c>
      <c r="B287" s="3">
        <v>2</v>
      </c>
      <c r="C287" s="4" t="str">
        <f t="shared" si="16"/>
        <v>Bad</v>
      </c>
      <c r="D287" s="3" t="s">
        <v>600</v>
      </c>
      <c r="E287" s="3" t="s">
        <v>601</v>
      </c>
      <c r="F287" s="5" t="s">
        <v>591</v>
      </c>
      <c r="G287" s="4" t="str">
        <f t="shared" si="17"/>
        <v>26th</v>
      </c>
      <c r="H287" s="4" t="str">
        <f t="shared" si="18"/>
        <v>September</v>
      </c>
      <c r="I287" s="4" t="str">
        <f t="shared" si="19"/>
        <v>2023</v>
      </c>
      <c r="J287" s="10" t="s">
        <v>12</v>
      </c>
    </row>
    <row r="288" spans="1:10" x14ac:dyDescent="0.35">
      <c r="A288" s="9" t="s">
        <v>257</v>
      </c>
      <c r="B288" s="3">
        <v>2</v>
      </c>
      <c r="C288" s="4" t="str">
        <f t="shared" si="16"/>
        <v>Bad</v>
      </c>
      <c r="D288" s="3" t="s">
        <v>602</v>
      </c>
      <c r="E288" s="3" t="s">
        <v>603</v>
      </c>
      <c r="F288" s="5" t="s">
        <v>591</v>
      </c>
      <c r="G288" s="4" t="str">
        <f t="shared" si="17"/>
        <v>26th</v>
      </c>
      <c r="H288" s="4" t="str">
        <f t="shared" si="18"/>
        <v>September</v>
      </c>
      <c r="I288" s="4" t="str">
        <f t="shared" si="19"/>
        <v>2023</v>
      </c>
      <c r="J288" s="10" t="s">
        <v>12</v>
      </c>
    </row>
    <row r="289" spans="1:10" x14ac:dyDescent="0.35">
      <c r="A289" s="9" t="s">
        <v>257</v>
      </c>
      <c r="B289" s="3">
        <v>1</v>
      </c>
      <c r="C289" s="4" t="str">
        <f t="shared" si="16"/>
        <v>Bad</v>
      </c>
      <c r="D289" s="3" t="s">
        <v>604</v>
      </c>
      <c r="E289" s="3" t="s">
        <v>605</v>
      </c>
      <c r="F289" s="5" t="s">
        <v>591</v>
      </c>
      <c r="G289" s="4" t="str">
        <f t="shared" si="17"/>
        <v>26th</v>
      </c>
      <c r="H289" s="4" t="str">
        <f t="shared" si="18"/>
        <v>September</v>
      </c>
      <c r="I289" s="4" t="str">
        <f t="shared" si="19"/>
        <v>2023</v>
      </c>
      <c r="J289" s="10" t="s">
        <v>12</v>
      </c>
    </row>
    <row r="290" spans="1:10" x14ac:dyDescent="0.35">
      <c r="A290" s="9" t="s">
        <v>257</v>
      </c>
      <c r="B290" s="3">
        <v>3</v>
      </c>
      <c r="C290" s="4" t="str">
        <f t="shared" si="16"/>
        <v>Bad</v>
      </c>
      <c r="D290" s="3" t="s">
        <v>606</v>
      </c>
      <c r="E290" s="3" t="s">
        <v>607</v>
      </c>
      <c r="F290" s="5" t="s">
        <v>591</v>
      </c>
      <c r="G290" s="4" t="str">
        <f t="shared" si="17"/>
        <v>26th</v>
      </c>
      <c r="H290" s="4" t="str">
        <f t="shared" si="18"/>
        <v>September</v>
      </c>
      <c r="I290" s="4" t="str">
        <f t="shared" si="19"/>
        <v>2023</v>
      </c>
      <c r="J290" s="10" t="s">
        <v>12</v>
      </c>
    </row>
    <row r="291" spans="1:10" x14ac:dyDescent="0.35">
      <c r="A291" s="9" t="s">
        <v>257</v>
      </c>
      <c r="B291" s="3">
        <v>10</v>
      </c>
      <c r="C291" s="4" t="str">
        <f t="shared" si="16"/>
        <v>Good</v>
      </c>
      <c r="D291" s="3" t="s">
        <v>608</v>
      </c>
      <c r="E291" s="3" t="s">
        <v>609</v>
      </c>
      <c r="F291" s="5" t="s">
        <v>591</v>
      </c>
      <c r="G291" s="4" t="str">
        <f t="shared" si="17"/>
        <v>26th</v>
      </c>
      <c r="H291" s="4" t="str">
        <f t="shared" si="18"/>
        <v>September</v>
      </c>
      <c r="I291" s="4" t="str">
        <f t="shared" si="19"/>
        <v>2023</v>
      </c>
      <c r="J291" s="10" t="s">
        <v>9</v>
      </c>
    </row>
    <row r="292" spans="1:10" x14ac:dyDescent="0.35">
      <c r="A292" s="9" t="s">
        <v>257</v>
      </c>
      <c r="B292" s="3">
        <v>7</v>
      </c>
      <c r="C292" s="4" t="str">
        <f t="shared" si="16"/>
        <v>Neutral</v>
      </c>
      <c r="D292" s="3" t="s">
        <v>610</v>
      </c>
      <c r="E292" s="3" t="s">
        <v>611</v>
      </c>
      <c r="F292" s="5" t="s">
        <v>612</v>
      </c>
      <c r="G292" s="4" t="str">
        <f t="shared" si="17"/>
        <v>11th</v>
      </c>
      <c r="H292" s="4" t="str">
        <f t="shared" si="18"/>
        <v>September</v>
      </c>
      <c r="I292" s="4" t="str">
        <f t="shared" si="19"/>
        <v>2023</v>
      </c>
      <c r="J292" s="10" t="s">
        <v>9</v>
      </c>
    </row>
    <row r="293" spans="1:10" x14ac:dyDescent="0.35">
      <c r="A293" s="9" t="s">
        <v>257</v>
      </c>
      <c r="B293" s="3">
        <v>8</v>
      </c>
      <c r="C293" s="4" t="str">
        <f t="shared" si="16"/>
        <v>Good</v>
      </c>
      <c r="D293" s="3" t="s">
        <v>613</v>
      </c>
      <c r="E293" s="3" t="s">
        <v>544</v>
      </c>
      <c r="F293" s="5" t="s">
        <v>612</v>
      </c>
      <c r="G293" s="4" t="str">
        <f t="shared" si="17"/>
        <v>11th</v>
      </c>
      <c r="H293" s="4" t="str">
        <f t="shared" si="18"/>
        <v>September</v>
      </c>
      <c r="I293" s="4" t="str">
        <f t="shared" si="19"/>
        <v>2023</v>
      </c>
      <c r="J293" s="10" t="s">
        <v>9</v>
      </c>
    </row>
    <row r="294" spans="1:10" x14ac:dyDescent="0.35">
      <c r="A294" s="9" t="s">
        <v>257</v>
      </c>
      <c r="B294" s="3">
        <v>1</v>
      </c>
      <c r="C294" s="4" t="str">
        <f t="shared" si="16"/>
        <v>Bad</v>
      </c>
      <c r="D294" s="3" t="s">
        <v>614</v>
      </c>
      <c r="E294" s="3" t="s">
        <v>615</v>
      </c>
      <c r="F294" s="5" t="s">
        <v>612</v>
      </c>
      <c r="G294" s="4" t="str">
        <f t="shared" si="17"/>
        <v>11th</v>
      </c>
      <c r="H294" s="4" t="str">
        <f t="shared" si="18"/>
        <v>September</v>
      </c>
      <c r="I294" s="4" t="str">
        <f t="shared" si="19"/>
        <v>2023</v>
      </c>
      <c r="J294" s="10" t="s">
        <v>12</v>
      </c>
    </row>
    <row r="295" spans="1:10" x14ac:dyDescent="0.35">
      <c r="A295" s="9" t="s">
        <v>257</v>
      </c>
      <c r="B295" s="3">
        <v>1</v>
      </c>
      <c r="C295" s="4" t="str">
        <f t="shared" si="16"/>
        <v>Bad</v>
      </c>
      <c r="D295" s="3" t="s">
        <v>616</v>
      </c>
      <c r="E295" s="3" t="s">
        <v>617</v>
      </c>
      <c r="F295" s="5" t="s">
        <v>612</v>
      </c>
      <c r="G295" s="4" t="str">
        <f t="shared" si="17"/>
        <v>11th</v>
      </c>
      <c r="H295" s="4" t="str">
        <f t="shared" si="18"/>
        <v>September</v>
      </c>
      <c r="I295" s="4" t="str">
        <f t="shared" si="19"/>
        <v>2023</v>
      </c>
      <c r="J295" s="10" t="s">
        <v>12</v>
      </c>
    </row>
    <row r="296" spans="1:10" x14ac:dyDescent="0.35">
      <c r="A296" s="9" t="s">
        <v>257</v>
      </c>
      <c r="B296" s="3">
        <v>3</v>
      </c>
      <c r="C296" s="4" t="str">
        <f t="shared" si="16"/>
        <v>Bad</v>
      </c>
      <c r="D296" s="3" t="s">
        <v>618</v>
      </c>
      <c r="E296" s="3" t="s">
        <v>619</v>
      </c>
      <c r="F296" s="5" t="s">
        <v>612</v>
      </c>
      <c r="G296" s="4" t="str">
        <f t="shared" si="17"/>
        <v>11th</v>
      </c>
      <c r="H296" s="4" t="str">
        <f t="shared" si="18"/>
        <v>September</v>
      </c>
      <c r="I296" s="4" t="str">
        <f t="shared" si="19"/>
        <v>2023</v>
      </c>
      <c r="J296" s="10" t="s">
        <v>12</v>
      </c>
    </row>
    <row r="297" spans="1:10" x14ac:dyDescent="0.35">
      <c r="A297" s="9" t="s">
        <v>257</v>
      </c>
      <c r="B297" s="3">
        <v>2</v>
      </c>
      <c r="C297" s="4" t="str">
        <f t="shared" si="16"/>
        <v>Bad</v>
      </c>
      <c r="D297" s="3" t="s">
        <v>620</v>
      </c>
      <c r="E297" s="3" t="s">
        <v>621</v>
      </c>
      <c r="F297" s="5" t="s">
        <v>612</v>
      </c>
      <c r="G297" s="4" t="str">
        <f t="shared" si="17"/>
        <v>11th</v>
      </c>
      <c r="H297" s="4" t="str">
        <f t="shared" si="18"/>
        <v>September</v>
      </c>
      <c r="I297" s="4" t="str">
        <f t="shared" si="19"/>
        <v>2023</v>
      </c>
      <c r="J297" s="10" t="s">
        <v>12</v>
      </c>
    </row>
    <row r="298" spans="1:10" x14ac:dyDescent="0.35">
      <c r="A298" s="9" t="s">
        <v>257</v>
      </c>
      <c r="B298" s="3">
        <v>3</v>
      </c>
      <c r="C298" s="4" t="str">
        <f t="shared" si="16"/>
        <v>Bad</v>
      </c>
      <c r="D298" s="3" t="s">
        <v>622</v>
      </c>
      <c r="E298" s="3" t="s">
        <v>623</v>
      </c>
      <c r="F298" s="5" t="s">
        <v>612</v>
      </c>
      <c r="G298" s="4" t="str">
        <f t="shared" si="17"/>
        <v>11th</v>
      </c>
      <c r="H298" s="4" t="str">
        <f t="shared" si="18"/>
        <v>September</v>
      </c>
      <c r="I298" s="4" t="str">
        <f t="shared" si="19"/>
        <v>2023</v>
      </c>
      <c r="J298" s="10" t="s">
        <v>12</v>
      </c>
    </row>
    <row r="299" spans="1:10" x14ac:dyDescent="0.35">
      <c r="A299" s="9" t="s">
        <v>257</v>
      </c>
      <c r="B299" s="3">
        <v>10</v>
      </c>
      <c r="C299" s="4" t="str">
        <f t="shared" si="16"/>
        <v>Good</v>
      </c>
      <c r="D299" s="3" t="s">
        <v>624</v>
      </c>
      <c r="E299" s="3" t="s">
        <v>625</v>
      </c>
      <c r="F299" s="5" t="s">
        <v>612</v>
      </c>
      <c r="G299" s="4" t="str">
        <f t="shared" si="17"/>
        <v>11th</v>
      </c>
      <c r="H299" s="4" t="str">
        <f t="shared" si="18"/>
        <v>September</v>
      </c>
      <c r="I299" s="4" t="str">
        <f t="shared" si="19"/>
        <v>2023</v>
      </c>
      <c r="J299" s="10" t="s">
        <v>9</v>
      </c>
    </row>
    <row r="300" spans="1:10" x14ac:dyDescent="0.35">
      <c r="A300" s="9" t="s">
        <v>257</v>
      </c>
      <c r="B300" s="3">
        <v>1</v>
      </c>
      <c r="C300" s="4" t="str">
        <f t="shared" si="16"/>
        <v>Bad</v>
      </c>
      <c r="D300" s="3" t="s">
        <v>626</v>
      </c>
      <c r="E300" s="3" t="s">
        <v>627</v>
      </c>
      <c r="F300" s="5" t="s">
        <v>612</v>
      </c>
      <c r="G300" s="4" t="str">
        <f t="shared" si="17"/>
        <v>11th</v>
      </c>
      <c r="H300" s="4" t="str">
        <f t="shared" si="18"/>
        <v>September</v>
      </c>
      <c r="I300" s="4" t="str">
        <f t="shared" si="19"/>
        <v>2023</v>
      </c>
      <c r="J300" s="10" t="s">
        <v>12</v>
      </c>
    </row>
    <row r="301" spans="1:10" x14ac:dyDescent="0.35">
      <c r="A301" s="9" t="s">
        <v>257</v>
      </c>
      <c r="B301" s="3">
        <v>1</v>
      </c>
      <c r="C301" s="4" t="str">
        <f t="shared" si="16"/>
        <v>Bad</v>
      </c>
      <c r="D301" s="3" t="s">
        <v>330</v>
      </c>
      <c r="E301" s="3" t="s">
        <v>628</v>
      </c>
      <c r="F301" s="5" t="s">
        <v>612</v>
      </c>
      <c r="G301" s="4" t="str">
        <f t="shared" si="17"/>
        <v>11th</v>
      </c>
      <c r="H301" s="4" t="str">
        <f t="shared" si="18"/>
        <v>September</v>
      </c>
      <c r="I301" s="4" t="str">
        <f t="shared" si="19"/>
        <v>2023</v>
      </c>
      <c r="J301" s="10" t="s">
        <v>12</v>
      </c>
    </row>
    <row r="302" spans="1:10" x14ac:dyDescent="0.35">
      <c r="A302" s="9" t="s">
        <v>257</v>
      </c>
      <c r="B302" s="3">
        <v>4</v>
      </c>
      <c r="C302" s="4" t="str">
        <f t="shared" si="16"/>
        <v>Bad</v>
      </c>
      <c r="D302" s="3" t="s">
        <v>629</v>
      </c>
      <c r="E302" s="3" t="s">
        <v>630</v>
      </c>
      <c r="F302" s="5" t="s">
        <v>631</v>
      </c>
      <c r="G302" s="4" t="str">
        <f t="shared" si="17"/>
        <v>19th</v>
      </c>
      <c r="H302" s="4" t="str">
        <f t="shared" si="18"/>
        <v>August</v>
      </c>
      <c r="I302" s="4" t="str">
        <f t="shared" si="19"/>
        <v>2023</v>
      </c>
      <c r="J302" s="10" t="s">
        <v>12</v>
      </c>
    </row>
    <row r="303" spans="1:10" x14ac:dyDescent="0.35">
      <c r="A303" s="9" t="s">
        <v>257</v>
      </c>
      <c r="B303" s="3">
        <v>2</v>
      </c>
      <c r="C303" s="4" t="str">
        <f t="shared" si="16"/>
        <v>Bad</v>
      </c>
      <c r="D303" s="3" t="s">
        <v>632</v>
      </c>
      <c r="E303" s="3" t="s">
        <v>633</v>
      </c>
      <c r="F303" s="5" t="s">
        <v>631</v>
      </c>
      <c r="G303" s="4" t="str">
        <f t="shared" si="17"/>
        <v>19th</v>
      </c>
      <c r="H303" s="4" t="str">
        <f t="shared" si="18"/>
        <v>August</v>
      </c>
      <c r="I303" s="4" t="str">
        <f t="shared" si="19"/>
        <v>2023</v>
      </c>
      <c r="J303" s="10" t="s">
        <v>12</v>
      </c>
    </row>
    <row r="304" spans="1:10" x14ac:dyDescent="0.35">
      <c r="A304" s="9" t="s">
        <v>257</v>
      </c>
      <c r="B304" s="3">
        <v>2</v>
      </c>
      <c r="C304" s="4" t="str">
        <f t="shared" si="16"/>
        <v>Bad</v>
      </c>
      <c r="D304" s="3" t="s">
        <v>634</v>
      </c>
      <c r="E304" s="3" t="s">
        <v>635</v>
      </c>
      <c r="F304" s="5" t="s">
        <v>631</v>
      </c>
      <c r="G304" s="4" t="str">
        <f t="shared" si="17"/>
        <v>19th</v>
      </c>
      <c r="H304" s="4" t="str">
        <f t="shared" si="18"/>
        <v>August</v>
      </c>
      <c r="I304" s="4" t="str">
        <f t="shared" si="19"/>
        <v>2023</v>
      </c>
      <c r="J304" s="10" t="s">
        <v>12</v>
      </c>
    </row>
    <row r="305" spans="1:10" x14ac:dyDescent="0.35">
      <c r="A305" s="9" t="s">
        <v>257</v>
      </c>
      <c r="B305" s="3">
        <v>2</v>
      </c>
      <c r="C305" s="4" t="str">
        <f t="shared" si="16"/>
        <v>Bad</v>
      </c>
      <c r="D305" s="3" t="s">
        <v>636</v>
      </c>
      <c r="E305" s="3" t="s">
        <v>637</v>
      </c>
      <c r="F305" s="5" t="s">
        <v>631</v>
      </c>
      <c r="G305" s="4" t="str">
        <f t="shared" si="17"/>
        <v>19th</v>
      </c>
      <c r="H305" s="4" t="str">
        <f t="shared" si="18"/>
        <v>August</v>
      </c>
      <c r="I305" s="4" t="str">
        <f t="shared" si="19"/>
        <v>2023</v>
      </c>
      <c r="J305" s="10" t="s">
        <v>12</v>
      </c>
    </row>
    <row r="306" spans="1:10" x14ac:dyDescent="0.35">
      <c r="A306" s="9" t="s">
        <v>257</v>
      </c>
      <c r="B306" s="3">
        <v>1</v>
      </c>
      <c r="C306" s="4" t="str">
        <f t="shared" si="16"/>
        <v>Bad</v>
      </c>
      <c r="D306" s="3" t="s">
        <v>638</v>
      </c>
      <c r="E306" s="3" t="s">
        <v>639</v>
      </c>
      <c r="F306" s="5" t="s">
        <v>631</v>
      </c>
      <c r="G306" s="4" t="str">
        <f t="shared" si="17"/>
        <v>19th</v>
      </c>
      <c r="H306" s="4" t="str">
        <f t="shared" si="18"/>
        <v>August</v>
      </c>
      <c r="I306" s="4" t="str">
        <f t="shared" si="19"/>
        <v>2023</v>
      </c>
      <c r="J306" s="10" t="s">
        <v>12</v>
      </c>
    </row>
    <row r="307" spans="1:10" x14ac:dyDescent="0.35">
      <c r="A307" s="9" t="s">
        <v>257</v>
      </c>
      <c r="B307" s="3">
        <v>1</v>
      </c>
      <c r="C307" s="4" t="str">
        <f t="shared" si="16"/>
        <v>Bad</v>
      </c>
      <c r="D307" s="3" t="s">
        <v>640</v>
      </c>
      <c r="E307" s="3" t="s">
        <v>641</v>
      </c>
      <c r="F307" s="5" t="s">
        <v>631</v>
      </c>
      <c r="G307" s="4" t="str">
        <f t="shared" si="17"/>
        <v>19th</v>
      </c>
      <c r="H307" s="4" t="str">
        <f t="shared" si="18"/>
        <v>August</v>
      </c>
      <c r="I307" s="4" t="str">
        <f t="shared" si="19"/>
        <v>2023</v>
      </c>
      <c r="J307" s="10" t="s">
        <v>12</v>
      </c>
    </row>
    <row r="308" spans="1:10" x14ac:dyDescent="0.35">
      <c r="A308" s="9" t="s">
        <v>257</v>
      </c>
      <c r="B308" s="3">
        <v>2</v>
      </c>
      <c r="C308" s="4" t="str">
        <f t="shared" si="16"/>
        <v>Bad</v>
      </c>
      <c r="D308" s="3" t="s">
        <v>642</v>
      </c>
      <c r="E308" s="3" t="s">
        <v>643</v>
      </c>
      <c r="F308" s="5" t="s">
        <v>631</v>
      </c>
      <c r="G308" s="4" t="str">
        <f t="shared" si="17"/>
        <v>19th</v>
      </c>
      <c r="H308" s="4" t="str">
        <f t="shared" si="18"/>
        <v>August</v>
      </c>
      <c r="I308" s="4" t="str">
        <f t="shared" si="19"/>
        <v>2023</v>
      </c>
      <c r="J308" s="10" t="s">
        <v>12</v>
      </c>
    </row>
    <row r="309" spans="1:10" x14ac:dyDescent="0.35">
      <c r="A309" s="9" t="s">
        <v>257</v>
      </c>
      <c r="B309" s="3">
        <v>3</v>
      </c>
      <c r="C309" s="4" t="str">
        <f t="shared" si="16"/>
        <v>Bad</v>
      </c>
      <c r="D309" s="3" t="s">
        <v>644</v>
      </c>
      <c r="E309" s="3" t="s">
        <v>645</v>
      </c>
      <c r="F309" s="5" t="s">
        <v>631</v>
      </c>
      <c r="G309" s="4" t="str">
        <f t="shared" si="17"/>
        <v>19th</v>
      </c>
      <c r="H309" s="4" t="str">
        <f t="shared" si="18"/>
        <v>August</v>
      </c>
      <c r="I309" s="4" t="str">
        <f t="shared" si="19"/>
        <v>2023</v>
      </c>
      <c r="J309" s="10" t="s">
        <v>12</v>
      </c>
    </row>
    <row r="310" spans="1:10" x14ac:dyDescent="0.35">
      <c r="A310" s="9" t="s">
        <v>257</v>
      </c>
      <c r="B310" s="3">
        <v>10</v>
      </c>
      <c r="C310" s="4" t="str">
        <f t="shared" si="16"/>
        <v>Good</v>
      </c>
      <c r="D310" s="3" t="s">
        <v>646</v>
      </c>
      <c r="E310" s="3" t="s">
        <v>647</v>
      </c>
      <c r="F310" s="5" t="s">
        <v>631</v>
      </c>
      <c r="G310" s="4" t="str">
        <f t="shared" si="17"/>
        <v>19th</v>
      </c>
      <c r="H310" s="4" t="str">
        <f t="shared" si="18"/>
        <v>August</v>
      </c>
      <c r="I310" s="4" t="str">
        <f t="shared" si="19"/>
        <v>2023</v>
      </c>
      <c r="J310" s="10" t="s">
        <v>9</v>
      </c>
    </row>
    <row r="311" spans="1:10" x14ac:dyDescent="0.35">
      <c r="A311" s="9" t="s">
        <v>257</v>
      </c>
      <c r="B311" s="3">
        <v>1</v>
      </c>
      <c r="C311" s="4" t="str">
        <f t="shared" si="16"/>
        <v>Bad</v>
      </c>
      <c r="D311" s="3" t="s">
        <v>648</v>
      </c>
      <c r="E311" s="3" t="s">
        <v>649</v>
      </c>
      <c r="F311" s="5" t="s">
        <v>631</v>
      </c>
      <c r="G311" s="4" t="str">
        <f t="shared" si="17"/>
        <v>19th</v>
      </c>
      <c r="H311" s="4" t="str">
        <f t="shared" si="18"/>
        <v>August</v>
      </c>
      <c r="I311" s="4" t="str">
        <f t="shared" si="19"/>
        <v>2023</v>
      </c>
      <c r="J311" s="10" t="s">
        <v>12</v>
      </c>
    </row>
    <row r="312" spans="1:10" x14ac:dyDescent="0.35">
      <c r="A312" s="9" t="s">
        <v>257</v>
      </c>
      <c r="B312" s="3">
        <v>3</v>
      </c>
      <c r="C312" s="4" t="str">
        <f t="shared" si="16"/>
        <v>Bad</v>
      </c>
      <c r="D312" s="3" t="s">
        <v>650</v>
      </c>
      <c r="E312" s="3" t="s">
        <v>651</v>
      </c>
      <c r="F312" s="5" t="s">
        <v>652</v>
      </c>
      <c r="G312" s="4" t="str">
        <f t="shared" si="17"/>
        <v>7th</v>
      </c>
      <c r="H312" s="4" t="str">
        <f t="shared" si="18"/>
        <v>August</v>
      </c>
      <c r="I312" s="4" t="str">
        <f t="shared" si="19"/>
        <v>2023</v>
      </c>
      <c r="J312" s="10" t="s">
        <v>12</v>
      </c>
    </row>
    <row r="313" spans="1:10" x14ac:dyDescent="0.35">
      <c r="A313" s="9" t="s">
        <v>257</v>
      </c>
      <c r="B313" s="3">
        <v>1</v>
      </c>
      <c r="C313" s="4" t="str">
        <f t="shared" si="16"/>
        <v>Bad</v>
      </c>
      <c r="D313" s="3" t="s">
        <v>653</v>
      </c>
      <c r="E313" s="3" t="s">
        <v>654</v>
      </c>
      <c r="F313" s="5" t="s">
        <v>652</v>
      </c>
      <c r="G313" s="4" t="str">
        <f t="shared" si="17"/>
        <v>7th</v>
      </c>
      <c r="H313" s="4" t="str">
        <f t="shared" si="18"/>
        <v>August</v>
      </c>
      <c r="I313" s="4" t="str">
        <f t="shared" si="19"/>
        <v>2023</v>
      </c>
      <c r="J313" s="10" t="s">
        <v>12</v>
      </c>
    </row>
    <row r="314" spans="1:10" x14ac:dyDescent="0.35">
      <c r="A314" s="9" t="s">
        <v>257</v>
      </c>
      <c r="B314" s="3">
        <v>1</v>
      </c>
      <c r="C314" s="4" t="str">
        <f t="shared" si="16"/>
        <v>Bad</v>
      </c>
      <c r="D314" s="3" t="s">
        <v>655</v>
      </c>
      <c r="E314" s="3" t="s">
        <v>656</v>
      </c>
      <c r="F314" s="5" t="s">
        <v>652</v>
      </c>
      <c r="G314" s="4" t="str">
        <f t="shared" si="17"/>
        <v>7th</v>
      </c>
      <c r="H314" s="4" t="str">
        <f t="shared" si="18"/>
        <v>August</v>
      </c>
      <c r="I314" s="4" t="str">
        <f t="shared" si="19"/>
        <v>2023</v>
      </c>
      <c r="J314" s="10" t="s">
        <v>12</v>
      </c>
    </row>
    <row r="315" spans="1:10" x14ac:dyDescent="0.35">
      <c r="A315" s="9" t="s">
        <v>257</v>
      </c>
      <c r="B315" s="3">
        <v>5</v>
      </c>
      <c r="C315" s="4" t="str">
        <f t="shared" si="16"/>
        <v>Neutral</v>
      </c>
      <c r="D315" s="3" t="s">
        <v>657</v>
      </c>
      <c r="E315" s="3" t="s">
        <v>658</v>
      </c>
      <c r="F315" s="5" t="s">
        <v>652</v>
      </c>
      <c r="G315" s="4" t="str">
        <f t="shared" si="17"/>
        <v>7th</v>
      </c>
      <c r="H315" s="4" t="str">
        <f t="shared" si="18"/>
        <v>August</v>
      </c>
      <c r="I315" s="4" t="str">
        <f t="shared" si="19"/>
        <v>2023</v>
      </c>
      <c r="J315" s="10" t="s">
        <v>9</v>
      </c>
    </row>
    <row r="316" spans="1:10" x14ac:dyDescent="0.35">
      <c r="A316" s="9" t="s">
        <v>257</v>
      </c>
      <c r="B316" s="3">
        <v>1</v>
      </c>
      <c r="C316" s="4" t="str">
        <f t="shared" si="16"/>
        <v>Bad</v>
      </c>
      <c r="D316" s="3" t="s">
        <v>659</v>
      </c>
      <c r="E316" s="3" t="s">
        <v>660</v>
      </c>
      <c r="F316" s="5" t="s">
        <v>652</v>
      </c>
      <c r="G316" s="4" t="str">
        <f t="shared" si="17"/>
        <v>7th</v>
      </c>
      <c r="H316" s="4" t="str">
        <f t="shared" si="18"/>
        <v>August</v>
      </c>
      <c r="I316" s="4" t="str">
        <f t="shared" si="19"/>
        <v>2023</v>
      </c>
      <c r="J316" s="10" t="s">
        <v>12</v>
      </c>
    </row>
    <row r="317" spans="1:10" x14ac:dyDescent="0.35">
      <c r="A317" s="9" t="s">
        <v>257</v>
      </c>
      <c r="B317" s="3">
        <v>3</v>
      </c>
      <c r="C317" s="4" t="str">
        <f t="shared" si="16"/>
        <v>Bad</v>
      </c>
      <c r="D317" s="3" t="s">
        <v>661</v>
      </c>
      <c r="E317" s="3" t="s">
        <v>662</v>
      </c>
      <c r="F317" s="5" t="s">
        <v>652</v>
      </c>
      <c r="G317" s="4" t="str">
        <f t="shared" si="17"/>
        <v>7th</v>
      </c>
      <c r="H317" s="4" t="str">
        <f t="shared" si="18"/>
        <v>August</v>
      </c>
      <c r="I317" s="4" t="str">
        <f t="shared" si="19"/>
        <v>2023</v>
      </c>
      <c r="J317" s="10" t="s">
        <v>12</v>
      </c>
    </row>
    <row r="318" spans="1:10" x14ac:dyDescent="0.35">
      <c r="A318" s="9" t="s">
        <v>257</v>
      </c>
      <c r="B318" s="3">
        <v>3</v>
      </c>
      <c r="C318" s="4" t="str">
        <f t="shared" si="16"/>
        <v>Bad</v>
      </c>
      <c r="D318" s="3" t="s">
        <v>663</v>
      </c>
      <c r="E318" s="3" t="s">
        <v>664</v>
      </c>
      <c r="F318" s="5" t="s">
        <v>652</v>
      </c>
      <c r="G318" s="4" t="str">
        <f t="shared" si="17"/>
        <v>7th</v>
      </c>
      <c r="H318" s="4" t="str">
        <f t="shared" si="18"/>
        <v>August</v>
      </c>
      <c r="I318" s="4" t="str">
        <f t="shared" si="19"/>
        <v>2023</v>
      </c>
      <c r="J318" s="10" t="s">
        <v>12</v>
      </c>
    </row>
    <row r="319" spans="1:10" x14ac:dyDescent="0.35">
      <c r="A319" s="9" t="s">
        <v>257</v>
      </c>
      <c r="B319" s="3">
        <v>1</v>
      </c>
      <c r="C319" s="4" t="str">
        <f t="shared" si="16"/>
        <v>Bad</v>
      </c>
      <c r="D319" s="3" t="s">
        <v>665</v>
      </c>
      <c r="E319" s="3" t="s">
        <v>666</v>
      </c>
      <c r="F319" s="5" t="s">
        <v>652</v>
      </c>
      <c r="G319" s="4" t="str">
        <f t="shared" si="17"/>
        <v>7th</v>
      </c>
      <c r="H319" s="4" t="str">
        <f t="shared" si="18"/>
        <v>August</v>
      </c>
      <c r="I319" s="4" t="str">
        <f t="shared" si="19"/>
        <v>2023</v>
      </c>
      <c r="J319" s="10" t="s">
        <v>12</v>
      </c>
    </row>
    <row r="320" spans="1:10" x14ac:dyDescent="0.35">
      <c r="A320" s="9" t="s">
        <v>257</v>
      </c>
      <c r="B320" s="3">
        <v>1</v>
      </c>
      <c r="C320" s="4" t="str">
        <f t="shared" si="16"/>
        <v>Bad</v>
      </c>
      <c r="D320" s="3" t="s">
        <v>667</v>
      </c>
      <c r="E320" s="3" t="s">
        <v>668</v>
      </c>
      <c r="F320" s="5" t="s">
        <v>652</v>
      </c>
      <c r="G320" s="4" t="str">
        <f t="shared" si="17"/>
        <v>7th</v>
      </c>
      <c r="H320" s="4" t="str">
        <f t="shared" si="18"/>
        <v>August</v>
      </c>
      <c r="I320" s="4" t="str">
        <f t="shared" si="19"/>
        <v>2023</v>
      </c>
      <c r="J320" s="10" t="s">
        <v>12</v>
      </c>
    </row>
    <row r="321" spans="1:10" x14ac:dyDescent="0.35">
      <c r="A321" s="9" t="s">
        <v>257</v>
      </c>
      <c r="B321" s="3">
        <v>1</v>
      </c>
      <c r="C321" s="4" t="str">
        <f t="shared" si="16"/>
        <v>Bad</v>
      </c>
      <c r="D321" s="3" t="s">
        <v>669</v>
      </c>
      <c r="E321" s="3" t="s">
        <v>670</v>
      </c>
      <c r="F321" s="5" t="s">
        <v>652</v>
      </c>
      <c r="G321" s="4" t="str">
        <f t="shared" si="17"/>
        <v>7th</v>
      </c>
      <c r="H321" s="4" t="str">
        <f t="shared" si="18"/>
        <v>August</v>
      </c>
      <c r="I321" s="4" t="str">
        <f t="shared" si="19"/>
        <v>2023</v>
      </c>
      <c r="J321" s="10" t="s">
        <v>12</v>
      </c>
    </row>
    <row r="322" spans="1:10" x14ac:dyDescent="0.35">
      <c r="A322" s="9" t="s">
        <v>257</v>
      </c>
      <c r="B322" s="3">
        <v>1</v>
      </c>
      <c r="C322" s="4" t="str">
        <f t="shared" si="16"/>
        <v>Bad</v>
      </c>
      <c r="D322" s="3" t="s">
        <v>671</v>
      </c>
      <c r="E322" s="3" t="s">
        <v>672</v>
      </c>
      <c r="F322" s="5" t="s">
        <v>673</v>
      </c>
      <c r="G322" s="4" t="str">
        <f t="shared" si="17"/>
        <v>18th</v>
      </c>
      <c r="H322" s="4" t="str">
        <f t="shared" si="18"/>
        <v>July</v>
      </c>
      <c r="I322" s="4" t="str">
        <f t="shared" si="19"/>
        <v>2023</v>
      </c>
      <c r="J322" s="10" t="s">
        <v>12</v>
      </c>
    </row>
    <row r="323" spans="1:10" x14ac:dyDescent="0.35">
      <c r="A323" s="9" t="s">
        <v>257</v>
      </c>
      <c r="B323" s="3">
        <v>2</v>
      </c>
      <c r="C323" s="4" t="str">
        <f t="shared" ref="C323:C386" si="20">IF(B323&gt;=8,"Good",IF(B323&gt;=5,"Neutral","Bad"))</f>
        <v>Bad</v>
      </c>
      <c r="D323" s="3" t="s">
        <v>674</v>
      </c>
      <c r="E323" s="3" t="s">
        <v>675</v>
      </c>
      <c r="F323" s="5" t="s">
        <v>673</v>
      </c>
      <c r="G323" s="4" t="str">
        <f t="shared" ref="G323:G386" si="21">LEFT(F323, FIND(" ", F323)-1)</f>
        <v>18th</v>
      </c>
      <c r="H323" s="4" t="str">
        <f t="shared" ref="H323:H386" si="22">TRIM(MID(F323, FIND(" ", F323)+1, FIND(" ", F323, FIND(" ", F323)+1) - FIND(" ", F323)-1))</f>
        <v>July</v>
      </c>
      <c r="I323" s="4" t="str">
        <f t="shared" ref="I323:I386" si="23">RIGHT(F323, 4)</f>
        <v>2023</v>
      </c>
      <c r="J323" s="10" t="s">
        <v>12</v>
      </c>
    </row>
    <row r="324" spans="1:10" x14ac:dyDescent="0.35">
      <c r="A324" s="9" t="s">
        <v>257</v>
      </c>
      <c r="B324" s="3">
        <v>7</v>
      </c>
      <c r="C324" s="4" t="str">
        <f t="shared" si="20"/>
        <v>Neutral</v>
      </c>
      <c r="D324" s="3" t="s">
        <v>676</v>
      </c>
      <c r="E324" s="3" t="s">
        <v>677</v>
      </c>
      <c r="F324" s="5" t="s">
        <v>673</v>
      </c>
      <c r="G324" s="4" t="str">
        <f t="shared" si="21"/>
        <v>18th</v>
      </c>
      <c r="H324" s="4" t="str">
        <f t="shared" si="22"/>
        <v>July</v>
      </c>
      <c r="I324" s="4" t="str">
        <f t="shared" si="23"/>
        <v>2023</v>
      </c>
      <c r="J324" s="10" t="s">
        <v>9</v>
      </c>
    </row>
    <row r="325" spans="1:10" x14ac:dyDescent="0.35">
      <c r="A325" s="9" t="s">
        <v>257</v>
      </c>
      <c r="B325" s="3">
        <v>1</v>
      </c>
      <c r="C325" s="4" t="str">
        <f t="shared" si="20"/>
        <v>Bad</v>
      </c>
      <c r="D325" s="3" t="s">
        <v>678</v>
      </c>
      <c r="E325" s="3" t="s">
        <v>679</v>
      </c>
      <c r="F325" s="5" t="s">
        <v>673</v>
      </c>
      <c r="G325" s="4" t="str">
        <f t="shared" si="21"/>
        <v>18th</v>
      </c>
      <c r="H325" s="4" t="str">
        <f t="shared" si="22"/>
        <v>July</v>
      </c>
      <c r="I325" s="4" t="str">
        <f t="shared" si="23"/>
        <v>2023</v>
      </c>
      <c r="J325" s="10" t="s">
        <v>12</v>
      </c>
    </row>
    <row r="326" spans="1:10" x14ac:dyDescent="0.35">
      <c r="A326" s="9" t="s">
        <v>257</v>
      </c>
      <c r="B326" s="3">
        <v>8</v>
      </c>
      <c r="C326" s="4" t="str">
        <f t="shared" si="20"/>
        <v>Good</v>
      </c>
      <c r="D326" s="3" t="s">
        <v>680</v>
      </c>
      <c r="E326" s="3" t="s">
        <v>681</v>
      </c>
      <c r="F326" s="5" t="s">
        <v>673</v>
      </c>
      <c r="G326" s="4" t="str">
        <f t="shared" si="21"/>
        <v>18th</v>
      </c>
      <c r="H326" s="4" t="str">
        <f t="shared" si="22"/>
        <v>July</v>
      </c>
      <c r="I326" s="4" t="str">
        <f t="shared" si="23"/>
        <v>2023</v>
      </c>
      <c r="J326" s="10" t="s">
        <v>12</v>
      </c>
    </row>
    <row r="327" spans="1:10" x14ac:dyDescent="0.35">
      <c r="A327" s="9" t="s">
        <v>257</v>
      </c>
      <c r="B327" s="3">
        <v>2</v>
      </c>
      <c r="C327" s="4" t="str">
        <f t="shared" si="20"/>
        <v>Bad</v>
      </c>
      <c r="D327" s="3" t="s">
        <v>682</v>
      </c>
      <c r="E327" s="3" t="s">
        <v>683</v>
      </c>
      <c r="F327" s="5" t="s">
        <v>673</v>
      </c>
      <c r="G327" s="4" t="str">
        <f t="shared" si="21"/>
        <v>18th</v>
      </c>
      <c r="H327" s="4" t="str">
        <f t="shared" si="22"/>
        <v>July</v>
      </c>
      <c r="I327" s="4" t="str">
        <f t="shared" si="23"/>
        <v>2023</v>
      </c>
      <c r="J327" s="10" t="s">
        <v>12</v>
      </c>
    </row>
    <row r="328" spans="1:10" x14ac:dyDescent="0.35">
      <c r="A328" s="9" t="s">
        <v>257</v>
      </c>
      <c r="B328" s="3">
        <v>1</v>
      </c>
      <c r="C328" s="4" t="str">
        <f t="shared" si="20"/>
        <v>Bad</v>
      </c>
      <c r="D328" s="3" t="s">
        <v>684</v>
      </c>
      <c r="E328" s="3" t="s">
        <v>685</v>
      </c>
      <c r="F328" s="5" t="s">
        <v>673</v>
      </c>
      <c r="G328" s="4" t="str">
        <f t="shared" si="21"/>
        <v>18th</v>
      </c>
      <c r="H328" s="4" t="str">
        <f t="shared" si="22"/>
        <v>July</v>
      </c>
      <c r="I328" s="4" t="str">
        <f t="shared" si="23"/>
        <v>2023</v>
      </c>
      <c r="J328" s="10" t="s">
        <v>12</v>
      </c>
    </row>
    <row r="329" spans="1:10" x14ac:dyDescent="0.35">
      <c r="A329" s="9" t="s">
        <v>257</v>
      </c>
      <c r="B329" s="3">
        <v>6</v>
      </c>
      <c r="C329" s="4" t="str">
        <f t="shared" si="20"/>
        <v>Neutral</v>
      </c>
      <c r="D329" s="3" t="s">
        <v>686</v>
      </c>
      <c r="E329" s="3" t="s">
        <v>687</v>
      </c>
      <c r="F329" s="5" t="s">
        <v>673</v>
      </c>
      <c r="G329" s="4" t="str">
        <f t="shared" si="21"/>
        <v>18th</v>
      </c>
      <c r="H329" s="4" t="str">
        <f t="shared" si="22"/>
        <v>July</v>
      </c>
      <c r="I329" s="4" t="str">
        <f t="shared" si="23"/>
        <v>2023</v>
      </c>
      <c r="J329" s="10" t="s">
        <v>9</v>
      </c>
    </row>
    <row r="330" spans="1:10" x14ac:dyDescent="0.35">
      <c r="A330" s="9" t="s">
        <v>257</v>
      </c>
      <c r="B330" s="3">
        <v>1</v>
      </c>
      <c r="C330" s="4" t="str">
        <f t="shared" si="20"/>
        <v>Bad</v>
      </c>
      <c r="D330" s="3" t="s">
        <v>688</v>
      </c>
      <c r="E330" s="3" t="s">
        <v>551</v>
      </c>
      <c r="F330" s="5" t="s">
        <v>673</v>
      </c>
      <c r="G330" s="4" t="str">
        <f t="shared" si="21"/>
        <v>18th</v>
      </c>
      <c r="H330" s="4" t="str">
        <f t="shared" si="22"/>
        <v>July</v>
      </c>
      <c r="I330" s="4" t="str">
        <f t="shared" si="23"/>
        <v>2023</v>
      </c>
      <c r="J330" s="10" t="s">
        <v>12</v>
      </c>
    </row>
    <row r="331" spans="1:10" x14ac:dyDescent="0.35">
      <c r="A331" s="9" t="s">
        <v>257</v>
      </c>
      <c r="B331" s="3">
        <v>2</v>
      </c>
      <c r="C331" s="4" t="str">
        <f t="shared" si="20"/>
        <v>Bad</v>
      </c>
      <c r="D331" s="3" t="s">
        <v>689</v>
      </c>
      <c r="E331" s="3" t="s">
        <v>690</v>
      </c>
      <c r="F331" s="5" t="s">
        <v>673</v>
      </c>
      <c r="G331" s="4" t="str">
        <f t="shared" si="21"/>
        <v>18th</v>
      </c>
      <c r="H331" s="4" t="str">
        <f t="shared" si="22"/>
        <v>July</v>
      </c>
      <c r="I331" s="4" t="str">
        <f t="shared" si="23"/>
        <v>2023</v>
      </c>
      <c r="J331" s="10" t="s">
        <v>12</v>
      </c>
    </row>
    <row r="332" spans="1:10" x14ac:dyDescent="0.35">
      <c r="A332" s="9" t="s">
        <v>257</v>
      </c>
      <c r="B332" s="3">
        <v>1</v>
      </c>
      <c r="C332" s="4" t="str">
        <f t="shared" si="20"/>
        <v>Bad</v>
      </c>
      <c r="D332" s="3" t="s">
        <v>691</v>
      </c>
      <c r="E332" s="3" t="s">
        <v>692</v>
      </c>
      <c r="F332" s="5" t="s">
        <v>693</v>
      </c>
      <c r="G332" s="4" t="str">
        <f t="shared" si="21"/>
        <v>5th</v>
      </c>
      <c r="H332" s="4" t="str">
        <f t="shared" si="22"/>
        <v>July</v>
      </c>
      <c r="I332" s="4" t="str">
        <f t="shared" si="23"/>
        <v>2023</v>
      </c>
      <c r="J332" s="10" t="s">
        <v>12</v>
      </c>
    </row>
    <row r="333" spans="1:10" x14ac:dyDescent="0.35">
      <c r="A333" s="9" t="s">
        <v>257</v>
      </c>
      <c r="B333" s="3">
        <v>1</v>
      </c>
      <c r="C333" s="4" t="str">
        <f t="shared" si="20"/>
        <v>Bad</v>
      </c>
      <c r="D333" s="3" t="s">
        <v>694</v>
      </c>
      <c r="E333" s="3" t="s">
        <v>695</v>
      </c>
      <c r="F333" s="5" t="s">
        <v>693</v>
      </c>
      <c r="G333" s="4" t="str">
        <f t="shared" si="21"/>
        <v>5th</v>
      </c>
      <c r="H333" s="4" t="str">
        <f t="shared" si="22"/>
        <v>July</v>
      </c>
      <c r="I333" s="4" t="str">
        <f t="shared" si="23"/>
        <v>2023</v>
      </c>
      <c r="J333" s="10" t="s">
        <v>12</v>
      </c>
    </row>
    <row r="334" spans="1:10" x14ac:dyDescent="0.35">
      <c r="A334" s="9" t="s">
        <v>257</v>
      </c>
      <c r="B334" s="3">
        <v>1</v>
      </c>
      <c r="C334" s="4" t="str">
        <f t="shared" si="20"/>
        <v>Bad</v>
      </c>
      <c r="D334" s="3" t="s">
        <v>696</v>
      </c>
      <c r="E334" s="3" t="s">
        <v>697</v>
      </c>
      <c r="F334" s="5" t="s">
        <v>693</v>
      </c>
      <c r="G334" s="4" t="str">
        <f t="shared" si="21"/>
        <v>5th</v>
      </c>
      <c r="H334" s="4" t="str">
        <f t="shared" si="22"/>
        <v>July</v>
      </c>
      <c r="I334" s="4" t="str">
        <f t="shared" si="23"/>
        <v>2023</v>
      </c>
      <c r="J334" s="10" t="s">
        <v>12</v>
      </c>
    </row>
    <row r="335" spans="1:10" x14ac:dyDescent="0.35">
      <c r="A335" s="9" t="s">
        <v>257</v>
      </c>
      <c r="B335" s="3">
        <v>1</v>
      </c>
      <c r="C335" s="4" t="str">
        <f t="shared" si="20"/>
        <v>Bad</v>
      </c>
      <c r="D335" s="3" t="s">
        <v>698</v>
      </c>
      <c r="E335" s="3" t="s">
        <v>699</v>
      </c>
      <c r="F335" s="5" t="s">
        <v>693</v>
      </c>
      <c r="G335" s="4" t="str">
        <f t="shared" si="21"/>
        <v>5th</v>
      </c>
      <c r="H335" s="4" t="str">
        <f t="shared" si="22"/>
        <v>July</v>
      </c>
      <c r="I335" s="4" t="str">
        <f t="shared" si="23"/>
        <v>2023</v>
      </c>
      <c r="J335" s="10" t="s">
        <v>12</v>
      </c>
    </row>
    <row r="336" spans="1:10" x14ac:dyDescent="0.35">
      <c r="A336" s="9" t="s">
        <v>257</v>
      </c>
      <c r="B336" s="3">
        <v>1</v>
      </c>
      <c r="C336" s="4" t="str">
        <f t="shared" si="20"/>
        <v>Bad</v>
      </c>
      <c r="D336" s="3" t="s">
        <v>700</v>
      </c>
      <c r="E336" s="3" t="s">
        <v>701</v>
      </c>
      <c r="F336" s="5" t="s">
        <v>693</v>
      </c>
      <c r="G336" s="4" t="str">
        <f t="shared" si="21"/>
        <v>5th</v>
      </c>
      <c r="H336" s="4" t="str">
        <f t="shared" si="22"/>
        <v>July</v>
      </c>
      <c r="I336" s="4" t="str">
        <f t="shared" si="23"/>
        <v>2023</v>
      </c>
      <c r="J336" s="10" t="s">
        <v>12</v>
      </c>
    </row>
    <row r="337" spans="1:10" x14ac:dyDescent="0.35">
      <c r="A337" s="9" t="s">
        <v>257</v>
      </c>
      <c r="B337" s="3">
        <v>1</v>
      </c>
      <c r="C337" s="4" t="str">
        <f t="shared" si="20"/>
        <v>Bad</v>
      </c>
      <c r="D337" s="3" t="s">
        <v>702</v>
      </c>
      <c r="E337" s="3" t="s">
        <v>703</v>
      </c>
      <c r="F337" s="5" t="s">
        <v>693</v>
      </c>
      <c r="G337" s="4" t="str">
        <f t="shared" si="21"/>
        <v>5th</v>
      </c>
      <c r="H337" s="4" t="str">
        <f t="shared" si="22"/>
        <v>July</v>
      </c>
      <c r="I337" s="4" t="str">
        <f t="shared" si="23"/>
        <v>2023</v>
      </c>
      <c r="J337" s="10" t="s">
        <v>12</v>
      </c>
    </row>
    <row r="338" spans="1:10" x14ac:dyDescent="0.35">
      <c r="A338" s="9" t="s">
        <v>257</v>
      </c>
      <c r="B338" s="3">
        <v>3</v>
      </c>
      <c r="C338" s="4" t="str">
        <f t="shared" si="20"/>
        <v>Bad</v>
      </c>
      <c r="D338" s="3" t="s">
        <v>704</v>
      </c>
      <c r="E338" s="3" t="s">
        <v>705</v>
      </c>
      <c r="F338" s="5" t="s">
        <v>693</v>
      </c>
      <c r="G338" s="4" t="str">
        <f t="shared" si="21"/>
        <v>5th</v>
      </c>
      <c r="H338" s="4" t="str">
        <f t="shared" si="22"/>
        <v>July</v>
      </c>
      <c r="I338" s="4" t="str">
        <f t="shared" si="23"/>
        <v>2023</v>
      </c>
      <c r="J338" s="10" t="s">
        <v>12</v>
      </c>
    </row>
    <row r="339" spans="1:10" x14ac:dyDescent="0.35">
      <c r="A339" s="9" t="s">
        <v>257</v>
      </c>
      <c r="B339" s="3">
        <v>10</v>
      </c>
      <c r="C339" s="4" t="str">
        <f t="shared" si="20"/>
        <v>Good</v>
      </c>
      <c r="D339" s="3" t="s">
        <v>706</v>
      </c>
      <c r="E339" s="3" t="s">
        <v>707</v>
      </c>
      <c r="F339" s="5" t="s">
        <v>693</v>
      </c>
      <c r="G339" s="4" t="str">
        <f t="shared" si="21"/>
        <v>5th</v>
      </c>
      <c r="H339" s="4" t="str">
        <f t="shared" si="22"/>
        <v>July</v>
      </c>
      <c r="I339" s="4" t="str">
        <f t="shared" si="23"/>
        <v>2023</v>
      </c>
      <c r="J339" s="10" t="s">
        <v>9</v>
      </c>
    </row>
    <row r="340" spans="1:10" x14ac:dyDescent="0.35">
      <c r="A340" s="9" t="s">
        <v>257</v>
      </c>
      <c r="B340" s="3">
        <v>2</v>
      </c>
      <c r="C340" s="4" t="str">
        <f t="shared" si="20"/>
        <v>Bad</v>
      </c>
      <c r="D340" s="3" t="s">
        <v>708</v>
      </c>
      <c r="E340" s="3" t="s">
        <v>709</v>
      </c>
      <c r="F340" s="5" t="s">
        <v>693</v>
      </c>
      <c r="G340" s="4" t="str">
        <f t="shared" si="21"/>
        <v>5th</v>
      </c>
      <c r="H340" s="4" t="str">
        <f t="shared" si="22"/>
        <v>July</v>
      </c>
      <c r="I340" s="4" t="str">
        <f t="shared" si="23"/>
        <v>2023</v>
      </c>
      <c r="J340" s="10" t="s">
        <v>12</v>
      </c>
    </row>
    <row r="341" spans="1:10" x14ac:dyDescent="0.35">
      <c r="A341" s="9" t="s">
        <v>257</v>
      </c>
      <c r="B341" s="3">
        <v>1</v>
      </c>
      <c r="C341" s="4" t="str">
        <f t="shared" si="20"/>
        <v>Bad</v>
      </c>
      <c r="D341" s="3" t="s">
        <v>710</v>
      </c>
      <c r="E341" s="3" t="s">
        <v>711</v>
      </c>
      <c r="F341" s="5" t="s">
        <v>693</v>
      </c>
      <c r="G341" s="4" t="str">
        <f t="shared" si="21"/>
        <v>5th</v>
      </c>
      <c r="H341" s="4" t="str">
        <f t="shared" si="22"/>
        <v>July</v>
      </c>
      <c r="I341" s="4" t="str">
        <f t="shared" si="23"/>
        <v>2023</v>
      </c>
      <c r="J341" s="10" t="s">
        <v>12</v>
      </c>
    </row>
    <row r="342" spans="1:10" x14ac:dyDescent="0.35">
      <c r="A342" s="9" t="s">
        <v>257</v>
      </c>
      <c r="B342" s="3">
        <v>2</v>
      </c>
      <c r="C342" s="4" t="str">
        <f t="shared" si="20"/>
        <v>Bad</v>
      </c>
      <c r="D342" s="3" t="s">
        <v>712</v>
      </c>
      <c r="E342" s="3" t="s">
        <v>713</v>
      </c>
      <c r="F342" s="5" t="s">
        <v>714</v>
      </c>
      <c r="G342" s="4" t="str">
        <f t="shared" si="21"/>
        <v>27th</v>
      </c>
      <c r="H342" s="4" t="str">
        <f t="shared" si="22"/>
        <v>June</v>
      </c>
      <c r="I342" s="4" t="str">
        <f t="shared" si="23"/>
        <v>2023</v>
      </c>
      <c r="J342" s="10" t="s">
        <v>9</v>
      </c>
    </row>
    <row r="343" spans="1:10" x14ac:dyDescent="0.35">
      <c r="A343" s="9" t="s">
        <v>257</v>
      </c>
      <c r="B343" s="3">
        <v>1</v>
      </c>
      <c r="C343" s="4" t="str">
        <f t="shared" si="20"/>
        <v>Bad</v>
      </c>
      <c r="D343" s="3" t="s">
        <v>715</v>
      </c>
      <c r="E343" s="3" t="s">
        <v>716</v>
      </c>
      <c r="F343" s="5" t="s">
        <v>714</v>
      </c>
      <c r="G343" s="4" t="str">
        <f t="shared" si="21"/>
        <v>27th</v>
      </c>
      <c r="H343" s="4" t="str">
        <f t="shared" si="22"/>
        <v>June</v>
      </c>
      <c r="I343" s="4" t="str">
        <f t="shared" si="23"/>
        <v>2023</v>
      </c>
      <c r="J343" s="10" t="s">
        <v>12</v>
      </c>
    </row>
    <row r="344" spans="1:10" x14ac:dyDescent="0.35">
      <c r="A344" s="9" t="s">
        <v>257</v>
      </c>
      <c r="B344" s="3">
        <v>1</v>
      </c>
      <c r="C344" s="4" t="str">
        <f t="shared" si="20"/>
        <v>Bad</v>
      </c>
      <c r="D344" s="3" t="s">
        <v>717</v>
      </c>
      <c r="E344" s="3" t="s">
        <v>718</v>
      </c>
      <c r="F344" s="5" t="s">
        <v>714</v>
      </c>
      <c r="G344" s="4" t="str">
        <f t="shared" si="21"/>
        <v>27th</v>
      </c>
      <c r="H344" s="4" t="str">
        <f t="shared" si="22"/>
        <v>June</v>
      </c>
      <c r="I344" s="4" t="str">
        <f t="shared" si="23"/>
        <v>2023</v>
      </c>
      <c r="J344" s="10" t="s">
        <v>12</v>
      </c>
    </row>
    <row r="345" spans="1:10" x14ac:dyDescent="0.35">
      <c r="A345" s="9" t="s">
        <v>257</v>
      </c>
      <c r="B345" s="3">
        <v>1</v>
      </c>
      <c r="C345" s="4" t="str">
        <f t="shared" si="20"/>
        <v>Bad</v>
      </c>
      <c r="D345" s="3" t="s">
        <v>719</v>
      </c>
      <c r="E345" s="3" t="s">
        <v>720</v>
      </c>
      <c r="F345" s="5" t="s">
        <v>714</v>
      </c>
      <c r="G345" s="4" t="str">
        <f t="shared" si="21"/>
        <v>27th</v>
      </c>
      <c r="H345" s="4" t="str">
        <f t="shared" si="22"/>
        <v>June</v>
      </c>
      <c r="I345" s="4" t="str">
        <f t="shared" si="23"/>
        <v>2023</v>
      </c>
      <c r="J345" s="10" t="s">
        <v>12</v>
      </c>
    </row>
    <row r="346" spans="1:10" x14ac:dyDescent="0.35">
      <c r="A346" s="9" t="s">
        <v>257</v>
      </c>
      <c r="B346" s="3">
        <v>4</v>
      </c>
      <c r="C346" s="4" t="str">
        <f t="shared" si="20"/>
        <v>Bad</v>
      </c>
      <c r="D346" s="3" t="s">
        <v>721</v>
      </c>
      <c r="E346" s="3" t="s">
        <v>722</v>
      </c>
      <c r="F346" s="5" t="s">
        <v>714</v>
      </c>
      <c r="G346" s="4" t="str">
        <f t="shared" si="21"/>
        <v>27th</v>
      </c>
      <c r="H346" s="4" t="str">
        <f t="shared" si="22"/>
        <v>June</v>
      </c>
      <c r="I346" s="4" t="str">
        <f t="shared" si="23"/>
        <v>2023</v>
      </c>
      <c r="J346" s="10" t="s">
        <v>12</v>
      </c>
    </row>
    <row r="347" spans="1:10" x14ac:dyDescent="0.35">
      <c r="A347" s="9" t="s">
        <v>257</v>
      </c>
      <c r="B347" s="3">
        <v>8</v>
      </c>
      <c r="C347" s="4" t="str">
        <f t="shared" si="20"/>
        <v>Good</v>
      </c>
      <c r="D347" s="3" t="s">
        <v>723</v>
      </c>
      <c r="E347" s="3" t="s">
        <v>724</v>
      </c>
      <c r="F347" s="5" t="s">
        <v>714</v>
      </c>
      <c r="G347" s="4" t="str">
        <f t="shared" si="21"/>
        <v>27th</v>
      </c>
      <c r="H347" s="4" t="str">
        <f t="shared" si="22"/>
        <v>June</v>
      </c>
      <c r="I347" s="4" t="str">
        <f t="shared" si="23"/>
        <v>2023</v>
      </c>
      <c r="J347" s="10" t="s">
        <v>9</v>
      </c>
    </row>
    <row r="348" spans="1:10" x14ac:dyDescent="0.35">
      <c r="A348" s="9" t="s">
        <v>257</v>
      </c>
      <c r="B348" s="3">
        <v>2</v>
      </c>
      <c r="C348" s="4" t="str">
        <f t="shared" si="20"/>
        <v>Bad</v>
      </c>
      <c r="D348" s="3" t="s">
        <v>725</v>
      </c>
      <c r="E348" s="3" t="s">
        <v>726</v>
      </c>
      <c r="F348" s="5" t="s">
        <v>714</v>
      </c>
      <c r="G348" s="4" t="str">
        <f t="shared" si="21"/>
        <v>27th</v>
      </c>
      <c r="H348" s="4" t="str">
        <f t="shared" si="22"/>
        <v>June</v>
      </c>
      <c r="I348" s="4" t="str">
        <f t="shared" si="23"/>
        <v>2023</v>
      </c>
      <c r="J348" s="10" t="s">
        <v>12</v>
      </c>
    </row>
    <row r="349" spans="1:10" x14ac:dyDescent="0.35">
      <c r="A349" s="9" t="s">
        <v>257</v>
      </c>
      <c r="B349" s="3">
        <v>2</v>
      </c>
      <c r="C349" s="4" t="str">
        <f t="shared" si="20"/>
        <v>Bad</v>
      </c>
      <c r="D349" s="3" t="s">
        <v>727</v>
      </c>
      <c r="E349" s="3" t="s">
        <v>728</v>
      </c>
      <c r="F349" s="5" t="s">
        <v>714</v>
      </c>
      <c r="G349" s="4" t="str">
        <f t="shared" si="21"/>
        <v>27th</v>
      </c>
      <c r="H349" s="4" t="str">
        <f t="shared" si="22"/>
        <v>June</v>
      </c>
      <c r="I349" s="4" t="str">
        <f t="shared" si="23"/>
        <v>2023</v>
      </c>
      <c r="J349" s="10" t="s">
        <v>12</v>
      </c>
    </row>
    <row r="350" spans="1:10" x14ac:dyDescent="0.35">
      <c r="A350" s="9" t="s">
        <v>257</v>
      </c>
      <c r="B350" s="3">
        <v>1</v>
      </c>
      <c r="C350" s="4" t="str">
        <f t="shared" si="20"/>
        <v>Bad</v>
      </c>
      <c r="D350" s="3" t="s">
        <v>729</v>
      </c>
      <c r="E350" s="3" t="s">
        <v>730</v>
      </c>
      <c r="F350" s="5" t="s">
        <v>714</v>
      </c>
      <c r="G350" s="4" t="str">
        <f t="shared" si="21"/>
        <v>27th</v>
      </c>
      <c r="H350" s="4" t="str">
        <f t="shared" si="22"/>
        <v>June</v>
      </c>
      <c r="I350" s="4" t="str">
        <f t="shared" si="23"/>
        <v>2023</v>
      </c>
      <c r="J350" s="10" t="s">
        <v>12</v>
      </c>
    </row>
    <row r="351" spans="1:10" x14ac:dyDescent="0.35">
      <c r="A351" s="9" t="s">
        <v>257</v>
      </c>
      <c r="B351" s="3">
        <v>1</v>
      </c>
      <c r="C351" s="4" t="str">
        <f t="shared" si="20"/>
        <v>Bad</v>
      </c>
      <c r="D351" s="3" t="s">
        <v>731</v>
      </c>
      <c r="E351" s="3" t="s">
        <v>732</v>
      </c>
      <c r="F351" s="5" t="s">
        <v>714</v>
      </c>
      <c r="G351" s="4" t="str">
        <f t="shared" si="21"/>
        <v>27th</v>
      </c>
      <c r="H351" s="4" t="str">
        <f t="shared" si="22"/>
        <v>June</v>
      </c>
      <c r="I351" s="4" t="str">
        <f t="shared" si="23"/>
        <v>2023</v>
      </c>
      <c r="J351" s="10" t="s">
        <v>12</v>
      </c>
    </row>
    <row r="352" spans="1:10" x14ac:dyDescent="0.35">
      <c r="A352" s="9" t="s">
        <v>257</v>
      </c>
      <c r="B352" s="3">
        <v>9</v>
      </c>
      <c r="C352" s="4" t="str">
        <f t="shared" si="20"/>
        <v>Good</v>
      </c>
      <c r="D352" s="3" t="s">
        <v>733</v>
      </c>
      <c r="E352" s="3" t="s">
        <v>734</v>
      </c>
      <c r="F352" s="5" t="s">
        <v>735</v>
      </c>
      <c r="G352" s="4" t="str">
        <f t="shared" si="21"/>
        <v>20th</v>
      </c>
      <c r="H352" s="4" t="str">
        <f t="shared" si="22"/>
        <v>June</v>
      </c>
      <c r="I352" s="4" t="str">
        <f t="shared" si="23"/>
        <v>2023</v>
      </c>
      <c r="J352" s="10" t="s">
        <v>9</v>
      </c>
    </row>
    <row r="353" spans="1:10" x14ac:dyDescent="0.35">
      <c r="A353" s="9" t="s">
        <v>257</v>
      </c>
      <c r="B353" s="3">
        <v>1</v>
      </c>
      <c r="C353" s="4" t="str">
        <f t="shared" si="20"/>
        <v>Bad</v>
      </c>
      <c r="D353" s="3" t="s">
        <v>736</v>
      </c>
      <c r="E353" s="3" t="s">
        <v>737</v>
      </c>
      <c r="F353" s="5" t="s">
        <v>735</v>
      </c>
      <c r="G353" s="4" t="str">
        <f t="shared" si="21"/>
        <v>20th</v>
      </c>
      <c r="H353" s="4" t="str">
        <f t="shared" si="22"/>
        <v>June</v>
      </c>
      <c r="I353" s="4" t="str">
        <f t="shared" si="23"/>
        <v>2023</v>
      </c>
      <c r="J353" s="10" t="s">
        <v>12</v>
      </c>
    </row>
    <row r="354" spans="1:10" x14ac:dyDescent="0.35">
      <c r="A354" s="9" t="s">
        <v>257</v>
      </c>
      <c r="B354" s="3">
        <v>1</v>
      </c>
      <c r="C354" s="4" t="str">
        <f t="shared" si="20"/>
        <v>Bad</v>
      </c>
      <c r="D354" s="3" t="s">
        <v>738</v>
      </c>
      <c r="E354" s="3" t="s">
        <v>739</v>
      </c>
      <c r="F354" s="5" t="s">
        <v>735</v>
      </c>
      <c r="G354" s="4" t="str">
        <f t="shared" si="21"/>
        <v>20th</v>
      </c>
      <c r="H354" s="4" t="str">
        <f t="shared" si="22"/>
        <v>June</v>
      </c>
      <c r="I354" s="4" t="str">
        <f t="shared" si="23"/>
        <v>2023</v>
      </c>
      <c r="J354" s="10" t="s">
        <v>12</v>
      </c>
    </row>
    <row r="355" spans="1:10" x14ac:dyDescent="0.35">
      <c r="A355" s="9" t="s">
        <v>257</v>
      </c>
      <c r="B355" s="3">
        <v>10</v>
      </c>
      <c r="C355" s="4" t="str">
        <f t="shared" si="20"/>
        <v>Good</v>
      </c>
      <c r="D355" s="3" t="s">
        <v>740</v>
      </c>
      <c r="E355" s="3" t="s">
        <v>741</v>
      </c>
      <c r="F355" s="5" t="s">
        <v>735</v>
      </c>
      <c r="G355" s="4" t="str">
        <f t="shared" si="21"/>
        <v>20th</v>
      </c>
      <c r="H355" s="4" t="str">
        <f t="shared" si="22"/>
        <v>June</v>
      </c>
      <c r="I355" s="4" t="str">
        <f t="shared" si="23"/>
        <v>2023</v>
      </c>
      <c r="J355" s="10" t="s">
        <v>9</v>
      </c>
    </row>
    <row r="356" spans="1:10" x14ac:dyDescent="0.35">
      <c r="A356" s="9" t="s">
        <v>257</v>
      </c>
      <c r="B356" s="3">
        <v>2</v>
      </c>
      <c r="C356" s="4" t="str">
        <f t="shared" si="20"/>
        <v>Bad</v>
      </c>
      <c r="D356" s="3" t="s">
        <v>742</v>
      </c>
      <c r="E356" s="3" t="s">
        <v>743</v>
      </c>
      <c r="F356" s="5" t="s">
        <v>735</v>
      </c>
      <c r="G356" s="4" t="str">
        <f t="shared" si="21"/>
        <v>20th</v>
      </c>
      <c r="H356" s="4" t="str">
        <f t="shared" si="22"/>
        <v>June</v>
      </c>
      <c r="I356" s="4" t="str">
        <f t="shared" si="23"/>
        <v>2023</v>
      </c>
      <c r="J356" s="10" t="s">
        <v>12</v>
      </c>
    </row>
    <row r="357" spans="1:10" x14ac:dyDescent="0.35">
      <c r="A357" s="9" t="s">
        <v>257</v>
      </c>
      <c r="B357" s="3">
        <v>1</v>
      </c>
      <c r="C357" s="4" t="str">
        <f t="shared" si="20"/>
        <v>Bad</v>
      </c>
      <c r="D357" s="3" t="s">
        <v>744</v>
      </c>
      <c r="E357" s="3" t="s">
        <v>745</v>
      </c>
      <c r="F357" s="5" t="s">
        <v>735</v>
      </c>
      <c r="G357" s="4" t="str">
        <f t="shared" si="21"/>
        <v>20th</v>
      </c>
      <c r="H357" s="4" t="str">
        <f t="shared" si="22"/>
        <v>June</v>
      </c>
      <c r="I357" s="4" t="str">
        <f t="shared" si="23"/>
        <v>2023</v>
      </c>
      <c r="J357" s="10" t="s">
        <v>12</v>
      </c>
    </row>
    <row r="358" spans="1:10" x14ac:dyDescent="0.35">
      <c r="A358" s="9" t="s">
        <v>257</v>
      </c>
      <c r="B358" s="3">
        <v>9</v>
      </c>
      <c r="C358" s="4" t="str">
        <f t="shared" si="20"/>
        <v>Good</v>
      </c>
      <c r="D358" s="3" t="s">
        <v>746</v>
      </c>
      <c r="E358" s="3" t="s">
        <v>747</v>
      </c>
      <c r="F358" s="5" t="s">
        <v>735</v>
      </c>
      <c r="G358" s="4" t="str">
        <f t="shared" si="21"/>
        <v>20th</v>
      </c>
      <c r="H358" s="4" t="str">
        <f t="shared" si="22"/>
        <v>June</v>
      </c>
      <c r="I358" s="4" t="str">
        <f t="shared" si="23"/>
        <v>2023</v>
      </c>
      <c r="J358" s="10" t="s">
        <v>9</v>
      </c>
    </row>
    <row r="359" spans="1:10" x14ac:dyDescent="0.35">
      <c r="A359" s="9" t="s">
        <v>257</v>
      </c>
      <c r="B359" s="3">
        <v>1</v>
      </c>
      <c r="C359" s="4" t="str">
        <f t="shared" si="20"/>
        <v>Bad</v>
      </c>
      <c r="D359" s="3" t="s">
        <v>748</v>
      </c>
      <c r="E359" s="3" t="s">
        <v>749</v>
      </c>
      <c r="F359" s="5" t="s">
        <v>735</v>
      </c>
      <c r="G359" s="4" t="str">
        <f t="shared" si="21"/>
        <v>20th</v>
      </c>
      <c r="H359" s="4" t="str">
        <f t="shared" si="22"/>
        <v>June</v>
      </c>
      <c r="I359" s="4" t="str">
        <f t="shared" si="23"/>
        <v>2023</v>
      </c>
      <c r="J359" s="10" t="s">
        <v>12</v>
      </c>
    </row>
    <row r="360" spans="1:10" x14ac:dyDescent="0.35">
      <c r="A360" s="9" t="s">
        <v>257</v>
      </c>
      <c r="B360" s="3">
        <v>1</v>
      </c>
      <c r="C360" s="4" t="str">
        <f t="shared" si="20"/>
        <v>Bad</v>
      </c>
      <c r="D360" s="3" t="s">
        <v>750</v>
      </c>
      <c r="E360" s="3" t="s">
        <v>751</v>
      </c>
      <c r="F360" s="5" t="s">
        <v>735</v>
      </c>
      <c r="G360" s="4" t="str">
        <f t="shared" si="21"/>
        <v>20th</v>
      </c>
      <c r="H360" s="4" t="str">
        <f t="shared" si="22"/>
        <v>June</v>
      </c>
      <c r="I360" s="4" t="str">
        <f t="shared" si="23"/>
        <v>2023</v>
      </c>
      <c r="J360" s="10" t="s">
        <v>12</v>
      </c>
    </row>
    <row r="361" spans="1:10" x14ac:dyDescent="0.35">
      <c r="A361" s="9" t="s">
        <v>257</v>
      </c>
      <c r="B361" s="3">
        <v>1</v>
      </c>
      <c r="C361" s="4" t="str">
        <f t="shared" si="20"/>
        <v>Bad</v>
      </c>
      <c r="D361" s="3" t="s">
        <v>752</v>
      </c>
      <c r="E361" s="3" t="s">
        <v>753</v>
      </c>
      <c r="F361" s="5" t="s">
        <v>735</v>
      </c>
      <c r="G361" s="4" t="str">
        <f t="shared" si="21"/>
        <v>20th</v>
      </c>
      <c r="H361" s="4" t="str">
        <f t="shared" si="22"/>
        <v>June</v>
      </c>
      <c r="I361" s="4" t="str">
        <f t="shared" si="23"/>
        <v>2023</v>
      </c>
      <c r="J361" s="10" t="s">
        <v>12</v>
      </c>
    </row>
    <row r="362" spans="1:10" x14ac:dyDescent="0.35">
      <c r="A362" s="9" t="s">
        <v>257</v>
      </c>
      <c r="B362" s="3">
        <v>5</v>
      </c>
      <c r="C362" s="4" t="str">
        <f t="shared" si="20"/>
        <v>Neutral</v>
      </c>
      <c r="D362" s="3" t="s">
        <v>754</v>
      </c>
      <c r="E362" s="3" t="s">
        <v>755</v>
      </c>
      <c r="F362" s="5" t="s">
        <v>756</v>
      </c>
      <c r="G362" s="4" t="str">
        <f t="shared" si="21"/>
        <v>14th</v>
      </c>
      <c r="H362" s="4" t="str">
        <f t="shared" si="22"/>
        <v>June</v>
      </c>
      <c r="I362" s="4" t="str">
        <f t="shared" si="23"/>
        <v>2023</v>
      </c>
      <c r="J362" s="10" t="s">
        <v>12</v>
      </c>
    </row>
    <row r="363" spans="1:10" x14ac:dyDescent="0.35">
      <c r="A363" s="9" t="s">
        <v>257</v>
      </c>
      <c r="B363" s="3">
        <v>7</v>
      </c>
      <c r="C363" s="4" t="str">
        <f t="shared" si="20"/>
        <v>Neutral</v>
      </c>
      <c r="D363" s="3" t="s">
        <v>757</v>
      </c>
      <c r="E363" s="3" t="s">
        <v>758</v>
      </c>
      <c r="F363" s="5" t="s">
        <v>756</v>
      </c>
      <c r="G363" s="4" t="str">
        <f t="shared" si="21"/>
        <v>14th</v>
      </c>
      <c r="H363" s="4" t="str">
        <f t="shared" si="22"/>
        <v>June</v>
      </c>
      <c r="I363" s="4" t="str">
        <f t="shared" si="23"/>
        <v>2023</v>
      </c>
      <c r="J363" s="10" t="s">
        <v>12</v>
      </c>
    </row>
    <row r="364" spans="1:10" x14ac:dyDescent="0.35">
      <c r="A364" s="9" t="s">
        <v>257</v>
      </c>
      <c r="B364" s="3">
        <v>1</v>
      </c>
      <c r="C364" s="4" t="str">
        <f t="shared" si="20"/>
        <v>Bad</v>
      </c>
      <c r="D364" s="3" t="s">
        <v>759</v>
      </c>
      <c r="E364" s="3" t="s">
        <v>760</v>
      </c>
      <c r="F364" s="5" t="s">
        <v>756</v>
      </c>
      <c r="G364" s="4" t="str">
        <f t="shared" si="21"/>
        <v>14th</v>
      </c>
      <c r="H364" s="4" t="str">
        <f t="shared" si="22"/>
        <v>June</v>
      </c>
      <c r="I364" s="4" t="str">
        <f t="shared" si="23"/>
        <v>2023</v>
      </c>
      <c r="J364" s="10" t="s">
        <v>12</v>
      </c>
    </row>
    <row r="365" spans="1:10" x14ac:dyDescent="0.35">
      <c r="A365" s="9" t="s">
        <v>257</v>
      </c>
      <c r="B365" s="3">
        <v>1</v>
      </c>
      <c r="C365" s="4" t="str">
        <f t="shared" si="20"/>
        <v>Bad</v>
      </c>
      <c r="D365" s="3" t="s">
        <v>761</v>
      </c>
      <c r="E365" s="3" t="s">
        <v>762</v>
      </c>
      <c r="F365" s="5" t="s">
        <v>756</v>
      </c>
      <c r="G365" s="4" t="str">
        <f t="shared" si="21"/>
        <v>14th</v>
      </c>
      <c r="H365" s="4" t="str">
        <f t="shared" si="22"/>
        <v>June</v>
      </c>
      <c r="I365" s="4" t="str">
        <f t="shared" si="23"/>
        <v>2023</v>
      </c>
      <c r="J365" s="10" t="s">
        <v>9</v>
      </c>
    </row>
    <row r="366" spans="1:10" x14ac:dyDescent="0.35">
      <c r="A366" s="9" t="s">
        <v>257</v>
      </c>
      <c r="B366" s="3">
        <v>1</v>
      </c>
      <c r="C366" s="4" t="str">
        <f t="shared" si="20"/>
        <v>Bad</v>
      </c>
      <c r="D366" s="3" t="s">
        <v>763</v>
      </c>
      <c r="E366" s="3" t="s">
        <v>764</v>
      </c>
      <c r="F366" s="5" t="s">
        <v>756</v>
      </c>
      <c r="G366" s="4" t="str">
        <f t="shared" si="21"/>
        <v>14th</v>
      </c>
      <c r="H366" s="4" t="str">
        <f t="shared" si="22"/>
        <v>June</v>
      </c>
      <c r="I366" s="4" t="str">
        <f t="shared" si="23"/>
        <v>2023</v>
      </c>
      <c r="J366" s="10" t="s">
        <v>12</v>
      </c>
    </row>
    <row r="367" spans="1:10" x14ac:dyDescent="0.35">
      <c r="A367" s="9" t="s">
        <v>257</v>
      </c>
      <c r="B367" s="3">
        <v>1</v>
      </c>
      <c r="C367" s="4" t="str">
        <f t="shared" si="20"/>
        <v>Bad</v>
      </c>
      <c r="D367" s="3" t="s">
        <v>765</v>
      </c>
      <c r="E367" s="3" t="s">
        <v>766</v>
      </c>
      <c r="F367" s="5" t="s">
        <v>756</v>
      </c>
      <c r="G367" s="4" t="str">
        <f t="shared" si="21"/>
        <v>14th</v>
      </c>
      <c r="H367" s="4" t="str">
        <f t="shared" si="22"/>
        <v>June</v>
      </c>
      <c r="I367" s="4" t="str">
        <f t="shared" si="23"/>
        <v>2023</v>
      </c>
      <c r="J367" s="10" t="s">
        <v>12</v>
      </c>
    </row>
    <row r="368" spans="1:10" x14ac:dyDescent="0.35">
      <c r="A368" s="9" t="s">
        <v>257</v>
      </c>
      <c r="B368" s="3">
        <v>2</v>
      </c>
      <c r="C368" s="4" t="str">
        <f t="shared" si="20"/>
        <v>Bad</v>
      </c>
      <c r="D368" s="3" t="s">
        <v>767</v>
      </c>
      <c r="E368" s="3" t="s">
        <v>768</v>
      </c>
      <c r="F368" s="5" t="s">
        <v>756</v>
      </c>
      <c r="G368" s="4" t="str">
        <f t="shared" si="21"/>
        <v>14th</v>
      </c>
      <c r="H368" s="4" t="str">
        <f t="shared" si="22"/>
        <v>June</v>
      </c>
      <c r="I368" s="4" t="str">
        <f t="shared" si="23"/>
        <v>2023</v>
      </c>
      <c r="J368" s="10" t="s">
        <v>12</v>
      </c>
    </row>
    <row r="369" spans="1:10" x14ac:dyDescent="0.35">
      <c r="A369" s="9" t="s">
        <v>257</v>
      </c>
      <c r="B369" s="3">
        <v>1</v>
      </c>
      <c r="C369" s="4" t="str">
        <f t="shared" si="20"/>
        <v>Bad</v>
      </c>
      <c r="D369" s="3" t="s">
        <v>769</v>
      </c>
      <c r="E369" s="3" t="s">
        <v>770</v>
      </c>
      <c r="F369" s="5" t="s">
        <v>756</v>
      </c>
      <c r="G369" s="4" t="str">
        <f t="shared" si="21"/>
        <v>14th</v>
      </c>
      <c r="H369" s="4" t="str">
        <f t="shared" si="22"/>
        <v>June</v>
      </c>
      <c r="I369" s="4" t="str">
        <f t="shared" si="23"/>
        <v>2023</v>
      </c>
      <c r="J369" s="10" t="s">
        <v>12</v>
      </c>
    </row>
    <row r="370" spans="1:10" x14ac:dyDescent="0.35">
      <c r="A370" s="9" t="s">
        <v>257</v>
      </c>
      <c r="B370" s="3">
        <v>9</v>
      </c>
      <c r="C370" s="4" t="str">
        <f t="shared" si="20"/>
        <v>Good</v>
      </c>
      <c r="D370" s="3" t="s">
        <v>771</v>
      </c>
      <c r="E370" s="3" t="s">
        <v>772</v>
      </c>
      <c r="F370" s="5" t="s">
        <v>756</v>
      </c>
      <c r="G370" s="4" t="str">
        <f t="shared" si="21"/>
        <v>14th</v>
      </c>
      <c r="H370" s="4" t="str">
        <f t="shared" si="22"/>
        <v>June</v>
      </c>
      <c r="I370" s="4" t="str">
        <f t="shared" si="23"/>
        <v>2023</v>
      </c>
      <c r="J370" s="10" t="s">
        <v>9</v>
      </c>
    </row>
    <row r="371" spans="1:10" x14ac:dyDescent="0.35">
      <c r="A371" s="9" t="s">
        <v>257</v>
      </c>
      <c r="B371" s="3">
        <v>1</v>
      </c>
      <c r="C371" s="4" t="str">
        <f t="shared" si="20"/>
        <v>Bad</v>
      </c>
      <c r="D371" s="3" t="s">
        <v>708</v>
      </c>
      <c r="E371" s="3" t="s">
        <v>773</v>
      </c>
      <c r="F371" s="5" t="s">
        <v>756</v>
      </c>
      <c r="G371" s="4" t="str">
        <f t="shared" si="21"/>
        <v>14th</v>
      </c>
      <c r="H371" s="4" t="str">
        <f t="shared" si="22"/>
        <v>June</v>
      </c>
      <c r="I371" s="4" t="str">
        <f t="shared" si="23"/>
        <v>2023</v>
      </c>
      <c r="J371" s="10" t="s">
        <v>12</v>
      </c>
    </row>
    <row r="372" spans="1:10" x14ac:dyDescent="0.35">
      <c r="A372" s="9" t="s">
        <v>257</v>
      </c>
      <c r="B372" s="3">
        <v>9</v>
      </c>
      <c r="C372" s="4" t="str">
        <f t="shared" si="20"/>
        <v>Good</v>
      </c>
      <c r="D372" s="3" t="s">
        <v>708</v>
      </c>
      <c r="E372" s="3" t="s">
        <v>774</v>
      </c>
      <c r="F372" s="5" t="s">
        <v>775</v>
      </c>
      <c r="G372" s="4" t="str">
        <f t="shared" si="21"/>
        <v>9th</v>
      </c>
      <c r="H372" s="4" t="str">
        <f t="shared" si="22"/>
        <v>June</v>
      </c>
      <c r="I372" s="4" t="str">
        <f t="shared" si="23"/>
        <v>2023</v>
      </c>
      <c r="J372" s="10" t="s">
        <v>12</v>
      </c>
    </row>
    <row r="373" spans="1:10" x14ac:dyDescent="0.35">
      <c r="A373" s="9" t="s">
        <v>257</v>
      </c>
      <c r="B373" s="3">
        <v>3</v>
      </c>
      <c r="C373" s="4" t="str">
        <f t="shared" si="20"/>
        <v>Bad</v>
      </c>
      <c r="D373" s="3" t="s">
        <v>776</v>
      </c>
      <c r="E373" s="3" t="s">
        <v>777</v>
      </c>
      <c r="F373" s="5" t="s">
        <v>775</v>
      </c>
      <c r="G373" s="4" t="str">
        <f t="shared" si="21"/>
        <v>9th</v>
      </c>
      <c r="H373" s="4" t="str">
        <f t="shared" si="22"/>
        <v>June</v>
      </c>
      <c r="I373" s="4" t="str">
        <f t="shared" si="23"/>
        <v>2023</v>
      </c>
      <c r="J373" s="10" t="s">
        <v>12</v>
      </c>
    </row>
    <row r="374" spans="1:10" x14ac:dyDescent="0.35">
      <c r="A374" s="9" t="s">
        <v>257</v>
      </c>
      <c r="B374" s="3">
        <v>1</v>
      </c>
      <c r="C374" s="4" t="str">
        <f t="shared" si="20"/>
        <v>Bad</v>
      </c>
      <c r="D374" s="3" t="s">
        <v>778</v>
      </c>
      <c r="E374" s="3" t="s">
        <v>779</v>
      </c>
      <c r="F374" s="5" t="s">
        <v>775</v>
      </c>
      <c r="G374" s="4" t="str">
        <f t="shared" si="21"/>
        <v>9th</v>
      </c>
      <c r="H374" s="4" t="str">
        <f t="shared" si="22"/>
        <v>June</v>
      </c>
      <c r="I374" s="4" t="str">
        <f t="shared" si="23"/>
        <v>2023</v>
      </c>
      <c r="J374" s="10" t="s">
        <v>12</v>
      </c>
    </row>
    <row r="375" spans="1:10" x14ac:dyDescent="0.35">
      <c r="A375" s="9" t="s">
        <v>257</v>
      </c>
      <c r="B375" s="3">
        <v>2</v>
      </c>
      <c r="C375" s="4" t="str">
        <f t="shared" si="20"/>
        <v>Bad</v>
      </c>
      <c r="D375" s="3" t="s">
        <v>780</v>
      </c>
      <c r="E375" s="3" t="s">
        <v>781</v>
      </c>
      <c r="F375" s="5" t="s">
        <v>775</v>
      </c>
      <c r="G375" s="4" t="str">
        <f t="shared" si="21"/>
        <v>9th</v>
      </c>
      <c r="H375" s="4" t="str">
        <f t="shared" si="22"/>
        <v>June</v>
      </c>
      <c r="I375" s="4" t="str">
        <f t="shared" si="23"/>
        <v>2023</v>
      </c>
      <c r="J375" s="10" t="s">
        <v>12</v>
      </c>
    </row>
    <row r="376" spans="1:10" x14ac:dyDescent="0.35">
      <c r="A376" s="9" t="s">
        <v>257</v>
      </c>
      <c r="B376" s="3">
        <v>1</v>
      </c>
      <c r="C376" s="4" t="str">
        <f t="shared" si="20"/>
        <v>Bad</v>
      </c>
      <c r="D376" s="3" t="s">
        <v>782</v>
      </c>
      <c r="E376" s="3" t="s">
        <v>783</v>
      </c>
      <c r="F376" s="5" t="s">
        <v>775</v>
      </c>
      <c r="G376" s="4" t="str">
        <f t="shared" si="21"/>
        <v>9th</v>
      </c>
      <c r="H376" s="4" t="str">
        <f t="shared" si="22"/>
        <v>June</v>
      </c>
      <c r="I376" s="4" t="str">
        <f t="shared" si="23"/>
        <v>2023</v>
      </c>
      <c r="J376" s="10" t="s">
        <v>12</v>
      </c>
    </row>
    <row r="377" spans="1:10" x14ac:dyDescent="0.35">
      <c r="A377" s="9" t="s">
        <v>257</v>
      </c>
      <c r="B377" s="3">
        <v>1</v>
      </c>
      <c r="C377" s="4" t="str">
        <f t="shared" si="20"/>
        <v>Bad</v>
      </c>
      <c r="D377" s="3" t="s">
        <v>784</v>
      </c>
      <c r="E377" s="3" t="s">
        <v>785</v>
      </c>
      <c r="F377" s="5" t="s">
        <v>775</v>
      </c>
      <c r="G377" s="4" t="str">
        <f t="shared" si="21"/>
        <v>9th</v>
      </c>
      <c r="H377" s="4" t="str">
        <f t="shared" si="22"/>
        <v>June</v>
      </c>
      <c r="I377" s="4" t="str">
        <f t="shared" si="23"/>
        <v>2023</v>
      </c>
      <c r="J377" s="10" t="s">
        <v>12</v>
      </c>
    </row>
    <row r="378" spans="1:10" x14ac:dyDescent="0.35">
      <c r="A378" s="9" t="s">
        <v>257</v>
      </c>
      <c r="B378" s="3">
        <v>2</v>
      </c>
      <c r="C378" s="4" t="str">
        <f t="shared" si="20"/>
        <v>Bad</v>
      </c>
      <c r="D378" s="3" t="s">
        <v>786</v>
      </c>
      <c r="E378" s="3" t="s">
        <v>787</v>
      </c>
      <c r="F378" s="5" t="s">
        <v>775</v>
      </c>
      <c r="G378" s="4" t="str">
        <f t="shared" si="21"/>
        <v>9th</v>
      </c>
      <c r="H378" s="4" t="str">
        <f t="shared" si="22"/>
        <v>June</v>
      </c>
      <c r="I378" s="4" t="str">
        <f t="shared" si="23"/>
        <v>2023</v>
      </c>
      <c r="J378" s="10" t="s">
        <v>12</v>
      </c>
    </row>
    <row r="379" spans="1:10" x14ac:dyDescent="0.35">
      <c r="A379" s="9" t="s">
        <v>257</v>
      </c>
      <c r="B379" s="3">
        <v>1</v>
      </c>
      <c r="C379" s="4" t="str">
        <f t="shared" si="20"/>
        <v>Bad</v>
      </c>
      <c r="D379" s="3" t="s">
        <v>788</v>
      </c>
      <c r="E379" s="3" t="s">
        <v>789</v>
      </c>
      <c r="F379" s="5" t="s">
        <v>775</v>
      </c>
      <c r="G379" s="4" t="str">
        <f t="shared" si="21"/>
        <v>9th</v>
      </c>
      <c r="H379" s="4" t="str">
        <f t="shared" si="22"/>
        <v>June</v>
      </c>
      <c r="I379" s="4" t="str">
        <f t="shared" si="23"/>
        <v>2023</v>
      </c>
      <c r="J379" s="10" t="s">
        <v>12</v>
      </c>
    </row>
    <row r="380" spans="1:10" x14ac:dyDescent="0.35">
      <c r="A380" s="9" t="s">
        <v>257</v>
      </c>
      <c r="B380" s="3">
        <v>1</v>
      </c>
      <c r="C380" s="4" t="str">
        <f t="shared" si="20"/>
        <v>Bad</v>
      </c>
      <c r="D380" s="3" t="s">
        <v>790</v>
      </c>
      <c r="E380" s="3" t="s">
        <v>791</v>
      </c>
      <c r="F380" s="5" t="s">
        <v>775</v>
      </c>
      <c r="G380" s="4" t="str">
        <f t="shared" si="21"/>
        <v>9th</v>
      </c>
      <c r="H380" s="4" t="str">
        <f t="shared" si="22"/>
        <v>June</v>
      </c>
      <c r="I380" s="4" t="str">
        <f t="shared" si="23"/>
        <v>2023</v>
      </c>
      <c r="J380" s="10" t="s">
        <v>12</v>
      </c>
    </row>
    <row r="381" spans="1:10" x14ac:dyDescent="0.35">
      <c r="A381" s="9" t="s">
        <v>257</v>
      </c>
      <c r="B381" s="3">
        <v>1</v>
      </c>
      <c r="C381" s="4" t="str">
        <f t="shared" si="20"/>
        <v>Bad</v>
      </c>
      <c r="D381" s="3" t="s">
        <v>792</v>
      </c>
      <c r="E381" s="3" t="s">
        <v>793</v>
      </c>
      <c r="F381" s="5" t="s">
        <v>775</v>
      </c>
      <c r="G381" s="4" t="str">
        <f t="shared" si="21"/>
        <v>9th</v>
      </c>
      <c r="H381" s="4" t="str">
        <f t="shared" si="22"/>
        <v>June</v>
      </c>
      <c r="I381" s="4" t="str">
        <f t="shared" si="23"/>
        <v>2023</v>
      </c>
      <c r="J381" s="10" t="s">
        <v>12</v>
      </c>
    </row>
    <row r="382" spans="1:10" x14ac:dyDescent="0.35">
      <c r="A382" s="9" t="s">
        <v>257</v>
      </c>
      <c r="B382" s="3">
        <v>1</v>
      </c>
      <c r="C382" s="4" t="str">
        <f t="shared" si="20"/>
        <v>Bad</v>
      </c>
      <c r="D382" s="3" t="s">
        <v>794</v>
      </c>
      <c r="E382" s="3" t="s">
        <v>795</v>
      </c>
      <c r="F382" s="5" t="s">
        <v>796</v>
      </c>
      <c r="G382" s="4" t="str">
        <f t="shared" si="21"/>
        <v>26th</v>
      </c>
      <c r="H382" s="4" t="str">
        <f t="shared" si="22"/>
        <v>May</v>
      </c>
      <c r="I382" s="4" t="str">
        <f t="shared" si="23"/>
        <v>2023</v>
      </c>
      <c r="J382" s="10" t="s">
        <v>12</v>
      </c>
    </row>
    <row r="383" spans="1:10" x14ac:dyDescent="0.35">
      <c r="A383" s="9" t="s">
        <v>257</v>
      </c>
      <c r="B383" s="3">
        <v>1</v>
      </c>
      <c r="C383" s="4" t="str">
        <f t="shared" si="20"/>
        <v>Bad</v>
      </c>
      <c r="D383" s="3" t="s">
        <v>797</v>
      </c>
      <c r="E383" s="3" t="s">
        <v>798</v>
      </c>
      <c r="F383" s="5" t="s">
        <v>796</v>
      </c>
      <c r="G383" s="4" t="str">
        <f t="shared" si="21"/>
        <v>26th</v>
      </c>
      <c r="H383" s="4" t="str">
        <f t="shared" si="22"/>
        <v>May</v>
      </c>
      <c r="I383" s="4" t="str">
        <f t="shared" si="23"/>
        <v>2023</v>
      </c>
      <c r="J383" s="10" t="s">
        <v>12</v>
      </c>
    </row>
    <row r="384" spans="1:10" x14ac:dyDescent="0.35">
      <c r="A384" s="9" t="s">
        <v>257</v>
      </c>
      <c r="B384" s="3">
        <v>4</v>
      </c>
      <c r="C384" s="4" t="str">
        <f t="shared" si="20"/>
        <v>Bad</v>
      </c>
      <c r="D384" s="3" t="s">
        <v>799</v>
      </c>
      <c r="E384" s="3" t="s">
        <v>800</v>
      </c>
      <c r="F384" s="5" t="s">
        <v>796</v>
      </c>
      <c r="G384" s="4" t="str">
        <f t="shared" si="21"/>
        <v>26th</v>
      </c>
      <c r="H384" s="4" t="str">
        <f t="shared" si="22"/>
        <v>May</v>
      </c>
      <c r="I384" s="4" t="str">
        <f t="shared" si="23"/>
        <v>2023</v>
      </c>
      <c r="J384" s="10" t="s">
        <v>12</v>
      </c>
    </row>
    <row r="385" spans="1:10" x14ac:dyDescent="0.35">
      <c r="A385" s="9" t="s">
        <v>257</v>
      </c>
      <c r="B385" s="3">
        <v>2</v>
      </c>
      <c r="C385" s="4" t="str">
        <f t="shared" si="20"/>
        <v>Bad</v>
      </c>
      <c r="D385" s="3" t="s">
        <v>801</v>
      </c>
      <c r="E385" s="3" t="s">
        <v>802</v>
      </c>
      <c r="F385" s="5" t="s">
        <v>796</v>
      </c>
      <c r="G385" s="4" t="str">
        <f t="shared" si="21"/>
        <v>26th</v>
      </c>
      <c r="H385" s="4" t="str">
        <f t="shared" si="22"/>
        <v>May</v>
      </c>
      <c r="I385" s="4" t="str">
        <f t="shared" si="23"/>
        <v>2023</v>
      </c>
      <c r="J385" s="10" t="s">
        <v>12</v>
      </c>
    </row>
    <row r="386" spans="1:10" x14ac:dyDescent="0.35">
      <c r="A386" s="9" t="s">
        <v>257</v>
      </c>
      <c r="B386" s="3">
        <v>1</v>
      </c>
      <c r="C386" s="4" t="str">
        <f t="shared" si="20"/>
        <v>Bad</v>
      </c>
      <c r="D386" s="3" t="s">
        <v>803</v>
      </c>
      <c r="E386" s="3" t="s">
        <v>804</v>
      </c>
      <c r="F386" s="5" t="s">
        <v>796</v>
      </c>
      <c r="G386" s="4" t="str">
        <f t="shared" si="21"/>
        <v>26th</v>
      </c>
      <c r="H386" s="4" t="str">
        <f t="shared" si="22"/>
        <v>May</v>
      </c>
      <c r="I386" s="4" t="str">
        <f t="shared" si="23"/>
        <v>2023</v>
      </c>
      <c r="J386" s="10" t="s">
        <v>12</v>
      </c>
    </row>
    <row r="387" spans="1:10" x14ac:dyDescent="0.35">
      <c r="A387" s="9" t="s">
        <v>257</v>
      </c>
      <c r="B387" s="3">
        <v>5</v>
      </c>
      <c r="C387" s="4" t="str">
        <f t="shared" ref="C387:C450" si="24">IF(B387&gt;=8,"Good",IF(B387&gt;=5,"Neutral","Bad"))</f>
        <v>Neutral</v>
      </c>
      <c r="D387" s="3" t="s">
        <v>805</v>
      </c>
      <c r="E387" s="3" t="s">
        <v>806</v>
      </c>
      <c r="F387" s="5" t="s">
        <v>796</v>
      </c>
      <c r="G387" s="4" t="str">
        <f t="shared" ref="G387:G450" si="25">LEFT(F387, FIND(" ", F387)-1)</f>
        <v>26th</v>
      </c>
      <c r="H387" s="4" t="str">
        <f t="shared" ref="H387:H450" si="26">TRIM(MID(F387, FIND(" ", F387)+1, FIND(" ", F387, FIND(" ", F387)+1) - FIND(" ", F387)-1))</f>
        <v>May</v>
      </c>
      <c r="I387" s="4" t="str">
        <f t="shared" ref="I387:I450" si="27">RIGHT(F387, 4)</f>
        <v>2023</v>
      </c>
      <c r="J387" s="10" t="s">
        <v>9</v>
      </c>
    </row>
    <row r="388" spans="1:10" x14ac:dyDescent="0.35">
      <c r="A388" s="9" t="s">
        <v>257</v>
      </c>
      <c r="B388" s="3">
        <v>2</v>
      </c>
      <c r="C388" s="4" t="str">
        <f t="shared" si="24"/>
        <v>Bad</v>
      </c>
      <c r="D388" s="3" t="s">
        <v>807</v>
      </c>
      <c r="E388" s="3" t="s">
        <v>808</v>
      </c>
      <c r="F388" s="5" t="s">
        <v>796</v>
      </c>
      <c r="G388" s="4" t="str">
        <f t="shared" si="25"/>
        <v>26th</v>
      </c>
      <c r="H388" s="4" t="str">
        <f t="shared" si="26"/>
        <v>May</v>
      </c>
      <c r="I388" s="4" t="str">
        <f t="shared" si="27"/>
        <v>2023</v>
      </c>
      <c r="J388" s="10" t="s">
        <v>12</v>
      </c>
    </row>
    <row r="389" spans="1:10" x14ac:dyDescent="0.35">
      <c r="A389" s="9" t="s">
        <v>257</v>
      </c>
      <c r="B389" s="3">
        <v>1</v>
      </c>
      <c r="C389" s="4" t="str">
        <f t="shared" si="24"/>
        <v>Bad</v>
      </c>
      <c r="D389" s="3" t="s">
        <v>809</v>
      </c>
      <c r="E389" s="3" t="s">
        <v>810</v>
      </c>
      <c r="F389" s="5" t="s">
        <v>796</v>
      </c>
      <c r="G389" s="4" t="str">
        <f t="shared" si="25"/>
        <v>26th</v>
      </c>
      <c r="H389" s="4" t="str">
        <f t="shared" si="26"/>
        <v>May</v>
      </c>
      <c r="I389" s="4" t="str">
        <f t="shared" si="27"/>
        <v>2023</v>
      </c>
      <c r="J389" s="10" t="s">
        <v>12</v>
      </c>
    </row>
    <row r="390" spans="1:10" x14ac:dyDescent="0.35">
      <c r="A390" s="9" t="s">
        <v>257</v>
      </c>
      <c r="B390" s="3">
        <v>3</v>
      </c>
      <c r="C390" s="4" t="str">
        <f t="shared" si="24"/>
        <v>Bad</v>
      </c>
      <c r="D390" s="3" t="s">
        <v>811</v>
      </c>
      <c r="E390" s="3" t="s">
        <v>812</v>
      </c>
      <c r="F390" s="5" t="s">
        <v>796</v>
      </c>
      <c r="G390" s="4" t="str">
        <f t="shared" si="25"/>
        <v>26th</v>
      </c>
      <c r="H390" s="4" t="str">
        <f t="shared" si="26"/>
        <v>May</v>
      </c>
      <c r="I390" s="4" t="str">
        <f t="shared" si="27"/>
        <v>2023</v>
      </c>
      <c r="J390" s="10" t="s">
        <v>12</v>
      </c>
    </row>
    <row r="391" spans="1:10" x14ac:dyDescent="0.35">
      <c r="A391" s="9" t="s">
        <v>257</v>
      </c>
      <c r="B391" s="3">
        <v>8</v>
      </c>
      <c r="C391" s="4" t="str">
        <f t="shared" si="24"/>
        <v>Good</v>
      </c>
      <c r="D391" s="3" t="s">
        <v>813</v>
      </c>
      <c r="E391" s="3" t="s">
        <v>814</v>
      </c>
      <c r="F391" s="5" t="s">
        <v>796</v>
      </c>
      <c r="G391" s="4" t="str">
        <f t="shared" si="25"/>
        <v>26th</v>
      </c>
      <c r="H391" s="4" t="str">
        <f t="shared" si="26"/>
        <v>May</v>
      </c>
      <c r="I391" s="4" t="str">
        <f t="shared" si="27"/>
        <v>2023</v>
      </c>
      <c r="J391" s="10" t="s">
        <v>9</v>
      </c>
    </row>
    <row r="392" spans="1:10" x14ac:dyDescent="0.35">
      <c r="A392" s="9" t="s">
        <v>257</v>
      </c>
      <c r="B392" s="3">
        <v>8</v>
      </c>
      <c r="C392" s="4" t="str">
        <f t="shared" si="24"/>
        <v>Good</v>
      </c>
      <c r="D392" s="3" t="s">
        <v>815</v>
      </c>
      <c r="E392" s="3" t="s">
        <v>816</v>
      </c>
      <c r="F392" s="5" t="s">
        <v>817</v>
      </c>
      <c r="G392" s="4" t="str">
        <f t="shared" si="25"/>
        <v>3rd</v>
      </c>
      <c r="H392" s="4" t="str">
        <f t="shared" si="26"/>
        <v>May</v>
      </c>
      <c r="I392" s="4" t="str">
        <f t="shared" si="27"/>
        <v>2023</v>
      </c>
      <c r="J392" s="10" t="s">
        <v>9</v>
      </c>
    </row>
    <row r="393" spans="1:10" x14ac:dyDescent="0.35">
      <c r="A393" s="9" t="s">
        <v>257</v>
      </c>
      <c r="B393" s="3">
        <v>4</v>
      </c>
      <c r="C393" s="4" t="str">
        <f t="shared" si="24"/>
        <v>Bad</v>
      </c>
      <c r="D393" s="3" t="s">
        <v>818</v>
      </c>
      <c r="E393" s="3" t="s">
        <v>819</v>
      </c>
      <c r="F393" s="5" t="s">
        <v>817</v>
      </c>
      <c r="G393" s="4" t="str">
        <f t="shared" si="25"/>
        <v>3rd</v>
      </c>
      <c r="H393" s="4" t="str">
        <f t="shared" si="26"/>
        <v>May</v>
      </c>
      <c r="I393" s="4" t="str">
        <f t="shared" si="27"/>
        <v>2023</v>
      </c>
      <c r="J393" s="10" t="s">
        <v>12</v>
      </c>
    </row>
    <row r="394" spans="1:10" x14ac:dyDescent="0.35">
      <c r="A394" s="9" t="s">
        <v>257</v>
      </c>
      <c r="B394" s="3">
        <v>5</v>
      </c>
      <c r="C394" s="4" t="str">
        <f t="shared" si="24"/>
        <v>Neutral</v>
      </c>
      <c r="D394" s="3" t="s">
        <v>820</v>
      </c>
      <c r="E394" s="3" t="s">
        <v>821</v>
      </c>
      <c r="F394" s="5" t="s">
        <v>817</v>
      </c>
      <c r="G394" s="4" t="str">
        <f t="shared" si="25"/>
        <v>3rd</v>
      </c>
      <c r="H394" s="4" t="str">
        <f t="shared" si="26"/>
        <v>May</v>
      </c>
      <c r="I394" s="4" t="str">
        <f t="shared" si="27"/>
        <v>2023</v>
      </c>
      <c r="J394" s="10" t="s">
        <v>12</v>
      </c>
    </row>
    <row r="395" spans="1:10" x14ac:dyDescent="0.35">
      <c r="A395" s="9" t="s">
        <v>257</v>
      </c>
      <c r="B395" s="3">
        <v>1</v>
      </c>
      <c r="C395" s="4" t="str">
        <f t="shared" si="24"/>
        <v>Bad</v>
      </c>
      <c r="D395" s="3" t="s">
        <v>822</v>
      </c>
      <c r="E395" s="3" t="s">
        <v>823</v>
      </c>
      <c r="F395" s="5" t="s">
        <v>817</v>
      </c>
      <c r="G395" s="4" t="str">
        <f t="shared" si="25"/>
        <v>3rd</v>
      </c>
      <c r="H395" s="4" t="str">
        <f t="shared" si="26"/>
        <v>May</v>
      </c>
      <c r="I395" s="4" t="str">
        <f t="shared" si="27"/>
        <v>2023</v>
      </c>
      <c r="J395" s="10" t="s">
        <v>12</v>
      </c>
    </row>
    <row r="396" spans="1:10" x14ac:dyDescent="0.35">
      <c r="A396" s="9" t="s">
        <v>257</v>
      </c>
      <c r="B396" s="3">
        <v>2</v>
      </c>
      <c r="C396" s="4" t="str">
        <f t="shared" si="24"/>
        <v>Bad</v>
      </c>
      <c r="D396" s="3" t="s">
        <v>824</v>
      </c>
      <c r="E396" s="3" t="s">
        <v>825</v>
      </c>
      <c r="F396" s="5" t="s">
        <v>817</v>
      </c>
      <c r="G396" s="4" t="str">
        <f t="shared" si="25"/>
        <v>3rd</v>
      </c>
      <c r="H396" s="4" t="str">
        <f t="shared" si="26"/>
        <v>May</v>
      </c>
      <c r="I396" s="4" t="str">
        <f t="shared" si="27"/>
        <v>2023</v>
      </c>
      <c r="J396" s="10" t="s">
        <v>9</v>
      </c>
    </row>
    <row r="397" spans="1:10" x14ac:dyDescent="0.35">
      <c r="A397" s="9" t="s">
        <v>257</v>
      </c>
      <c r="B397" s="3">
        <v>3</v>
      </c>
      <c r="C397" s="4" t="str">
        <f t="shared" si="24"/>
        <v>Bad</v>
      </c>
      <c r="D397" s="3" t="s">
        <v>826</v>
      </c>
      <c r="E397" s="3" t="s">
        <v>827</v>
      </c>
      <c r="F397" s="5" t="s">
        <v>817</v>
      </c>
      <c r="G397" s="4" t="str">
        <f t="shared" si="25"/>
        <v>3rd</v>
      </c>
      <c r="H397" s="4" t="str">
        <f t="shared" si="26"/>
        <v>May</v>
      </c>
      <c r="I397" s="4" t="str">
        <f t="shared" si="27"/>
        <v>2023</v>
      </c>
      <c r="J397" s="10" t="s">
        <v>12</v>
      </c>
    </row>
    <row r="398" spans="1:10" x14ac:dyDescent="0.35">
      <c r="A398" s="9" t="s">
        <v>257</v>
      </c>
      <c r="B398" s="3">
        <v>1</v>
      </c>
      <c r="C398" s="4" t="str">
        <f t="shared" si="24"/>
        <v>Bad</v>
      </c>
      <c r="D398" s="3" t="s">
        <v>828</v>
      </c>
      <c r="E398" s="3" t="s">
        <v>829</v>
      </c>
      <c r="F398" s="5" t="s">
        <v>817</v>
      </c>
      <c r="G398" s="4" t="str">
        <f t="shared" si="25"/>
        <v>3rd</v>
      </c>
      <c r="H398" s="4" t="str">
        <f t="shared" si="26"/>
        <v>May</v>
      </c>
      <c r="I398" s="4" t="str">
        <f t="shared" si="27"/>
        <v>2023</v>
      </c>
      <c r="J398" s="10" t="s">
        <v>12</v>
      </c>
    </row>
    <row r="399" spans="1:10" x14ac:dyDescent="0.35">
      <c r="A399" s="9" t="s">
        <v>257</v>
      </c>
      <c r="B399" s="3">
        <v>3</v>
      </c>
      <c r="C399" s="4" t="str">
        <f t="shared" si="24"/>
        <v>Bad</v>
      </c>
      <c r="D399" s="3" t="s">
        <v>830</v>
      </c>
      <c r="E399" s="3" t="s">
        <v>831</v>
      </c>
      <c r="F399" s="5" t="s">
        <v>817</v>
      </c>
      <c r="G399" s="4" t="str">
        <f t="shared" si="25"/>
        <v>3rd</v>
      </c>
      <c r="H399" s="4" t="str">
        <f t="shared" si="26"/>
        <v>May</v>
      </c>
      <c r="I399" s="4" t="str">
        <f t="shared" si="27"/>
        <v>2023</v>
      </c>
      <c r="J399" s="10" t="s">
        <v>12</v>
      </c>
    </row>
    <row r="400" spans="1:10" x14ac:dyDescent="0.35">
      <c r="A400" s="9" t="s">
        <v>257</v>
      </c>
      <c r="B400" s="3">
        <v>1</v>
      </c>
      <c r="C400" s="4" t="str">
        <f t="shared" si="24"/>
        <v>Bad</v>
      </c>
      <c r="D400" s="3" t="s">
        <v>832</v>
      </c>
      <c r="E400" s="3" t="s">
        <v>833</v>
      </c>
      <c r="F400" s="5" t="s">
        <v>817</v>
      </c>
      <c r="G400" s="4" t="str">
        <f t="shared" si="25"/>
        <v>3rd</v>
      </c>
      <c r="H400" s="4" t="str">
        <f t="shared" si="26"/>
        <v>May</v>
      </c>
      <c r="I400" s="4" t="str">
        <f t="shared" si="27"/>
        <v>2023</v>
      </c>
      <c r="J400" s="10" t="s">
        <v>12</v>
      </c>
    </row>
    <row r="401" spans="1:10" x14ac:dyDescent="0.35">
      <c r="A401" s="9" t="s">
        <v>257</v>
      </c>
      <c r="B401" s="3">
        <v>7</v>
      </c>
      <c r="C401" s="4" t="str">
        <f t="shared" si="24"/>
        <v>Neutral</v>
      </c>
      <c r="D401" s="3" t="s">
        <v>834</v>
      </c>
      <c r="E401" s="3" t="s">
        <v>835</v>
      </c>
      <c r="F401" s="5" t="s">
        <v>817</v>
      </c>
      <c r="G401" s="4" t="str">
        <f t="shared" si="25"/>
        <v>3rd</v>
      </c>
      <c r="H401" s="4" t="str">
        <f t="shared" si="26"/>
        <v>May</v>
      </c>
      <c r="I401" s="4" t="str">
        <f t="shared" si="27"/>
        <v>2023</v>
      </c>
      <c r="J401" s="10" t="s">
        <v>9</v>
      </c>
    </row>
    <row r="402" spans="1:10" x14ac:dyDescent="0.35">
      <c r="A402" s="9" t="s">
        <v>257</v>
      </c>
      <c r="B402" s="3">
        <v>8</v>
      </c>
      <c r="C402" s="4" t="str">
        <f t="shared" si="24"/>
        <v>Good</v>
      </c>
      <c r="D402" s="3" t="s">
        <v>836</v>
      </c>
      <c r="E402" s="3" t="s">
        <v>837</v>
      </c>
      <c r="F402" s="5" t="s">
        <v>838</v>
      </c>
      <c r="G402" s="4" t="str">
        <f t="shared" si="25"/>
        <v>19th</v>
      </c>
      <c r="H402" s="4" t="str">
        <f t="shared" si="26"/>
        <v>April</v>
      </c>
      <c r="I402" s="4" t="str">
        <f t="shared" si="27"/>
        <v>2023</v>
      </c>
      <c r="J402" s="10" t="s">
        <v>9</v>
      </c>
    </row>
    <row r="403" spans="1:10" x14ac:dyDescent="0.35">
      <c r="A403" s="9" t="s">
        <v>257</v>
      </c>
      <c r="B403" s="3">
        <v>5</v>
      </c>
      <c r="C403" s="4" t="str">
        <f t="shared" si="24"/>
        <v>Neutral</v>
      </c>
      <c r="D403" s="3" t="s">
        <v>839</v>
      </c>
      <c r="E403" s="3" t="s">
        <v>840</v>
      </c>
      <c r="F403" s="5" t="s">
        <v>838</v>
      </c>
      <c r="G403" s="4" t="str">
        <f t="shared" si="25"/>
        <v>19th</v>
      </c>
      <c r="H403" s="4" t="str">
        <f t="shared" si="26"/>
        <v>April</v>
      </c>
      <c r="I403" s="4" t="str">
        <f t="shared" si="27"/>
        <v>2023</v>
      </c>
      <c r="J403" s="10" t="s">
        <v>12</v>
      </c>
    </row>
    <row r="404" spans="1:10" x14ac:dyDescent="0.35">
      <c r="A404" s="9" t="s">
        <v>257</v>
      </c>
      <c r="B404" s="3">
        <v>1</v>
      </c>
      <c r="C404" s="4" t="str">
        <f t="shared" si="24"/>
        <v>Bad</v>
      </c>
      <c r="D404" s="3" t="s">
        <v>841</v>
      </c>
      <c r="E404" s="3" t="s">
        <v>842</v>
      </c>
      <c r="F404" s="5" t="s">
        <v>838</v>
      </c>
      <c r="G404" s="4" t="str">
        <f t="shared" si="25"/>
        <v>19th</v>
      </c>
      <c r="H404" s="4" t="str">
        <f t="shared" si="26"/>
        <v>April</v>
      </c>
      <c r="I404" s="4" t="str">
        <f t="shared" si="27"/>
        <v>2023</v>
      </c>
      <c r="J404" s="10" t="s">
        <v>12</v>
      </c>
    </row>
    <row r="405" spans="1:10" x14ac:dyDescent="0.35">
      <c r="A405" s="9" t="s">
        <v>257</v>
      </c>
      <c r="B405" s="3">
        <v>5</v>
      </c>
      <c r="C405" s="4" t="str">
        <f t="shared" si="24"/>
        <v>Neutral</v>
      </c>
      <c r="D405" s="3" t="s">
        <v>843</v>
      </c>
      <c r="E405" s="3" t="s">
        <v>844</v>
      </c>
      <c r="F405" s="5" t="s">
        <v>838</v>
      </c>
      <c r="G405" s="4" t="str">
        <f t="shared" si="25"/>
        <v>19th</v>
      </c>
      <c r="H405" s="4" t="str">
        <f t="shared" si="26"/>
        <v>April</v>
      </c>
      <c r="I405" s="4" t="str">
        <f t="shared" si="27"/>
        <v>2023</v>
      </c>
      <c r="J405" s="10" t="s">
        <v>12</v>
      </c>
    </row>
    <row r="406" spans="1:10" x14ac:dyDescent="0.35">
      <c r="A406" s="9" t="s">
        <v>257</v>
      </c>
      <c r="B406" s="3">
        <v>2</v>
      </c>
      <c r="C406" s="4" t="str">
        <f t="shared" si="24"/>
        <v>Bad</v>
      </c>
      <c r="D406" s="3" t="s">
        <v>845</v>
      </c>
      <c r="E406" s="3" t="s">
        <v>846</v>
      </c>
      <c r="F406" s="5" t="s">
        <v>838</v>
      </c>
      <c r="G406" s="4" t="str">
        <f t="shared" si="25"/>
        <v>19th</v>
      </c>
      <c r="H406" s="4" t="str">
        <f t="shared" si="26"/>
        <v>April</v>
      </c>
      <c r="I406" s="4" t="str">
        <f t="shared" si="27"/>
        <v>2023</v>
      </c>
      <c r="J406" s="10" t="s">
        <v>12</v>
      </c>
    </row>
    <row r="407" spans="1:10" x14ac:dyDescent="0.35">
      <c r="A407" s="9" t="s">
        <v>257</v>
      </c>
      <c r="B407" s="3">
        <v>5</v>
      </c>
      <c r="C407" s="4" t="str">
        <f t="shared" si="24"/>
        <v>Neutral</v>
      </c>
      <c r="D407" s="3" t="s">
        <v>847</v>
      </c>
      <c r="E407" s="3" t="s">
        <v>848</v>
      </c>
      <c r="F407" s="5" t="s">
        <v>838</v>
      </c>
      <c r="G407" s="4" t="str">
        <f t="shared" si="25"/>
        <v>19th</v>
      </c>
      <c r="H407" s="4" t="str">
        <f t="shared" si="26"/>
        <v>April</v>
      </c>
      <c r="I407" s="4" t="str">
        <f t="shared" si="27"/>
        <v>2023</v>
      </c>
      <c r="J407" s="10" t="s">
        <v>9</v>
      </c>
    </row>
    <row r="408" spans="1:10" x14ac:dyDescent="0.35">
      <c r="A408" s="9" t="s">
        <v>257</v>
      </c>
      <c r="B408" s="3">
        <v>1</v>
      </c>
      <c r="C408" s="4" t="str">
        <f t="shared" si="24"/>
        <v>Bad</v>
      </c>
      <c r="D408" s="3" t="s">
        <v>849</v>
      </c>
      <c r="E408" s="3" t="s">
        <v>850</v>
      </c>
      <c r="F408" s="5" t="s">
        <v>838</v>
      </c>
      <c r="G408" s="4" t="str">
        <f t="shared" si="25"/>
        <v>19th</v>
      </c>
      <c r="H408" s="4" t="str">
        <f t="shared" si="26"/>
        <v>April</v>
      </c>
      <c r="I408" s="4" t="str">
        <f t="shared" si="27"/>
        <v>2023</v>
      </c>
      <c r="J408" s="10" t="s">
        <v>12</v>
      </c>
    </row>
    <row r="409" spans="1:10" x14ac:dyDescent="0.35">
      <c r="A409" s="9" t="s">
        <v>257</v>
      </c>
      <c r="B409" s="3">
        <v>1</v>
      </c>
      <c r="C409" s="4" t="str">
        <f t="shared" si="24"/>
        <v>Bad</v>
      </c>
      <c r="D409" s="3" t="s">
        <v>851</v>
      </c>
      <c r="E409" s="3" t="s">
        <v>852</v>
      </c>
      <c r="F409" s="5" t="s">
        <v>838</v>
      </c>
      <c r="G409" s="4" t="str">
        <f t="shared" si="25"/>
        <v>19th</v>
      </c>
      <c r="H409" s="4" t="str">
        <f t="shared" si="26"/>
        <v>April</v>
      </c>
      <c r="I409" s="4" t="str">
        <f t="shared" si="27"/>
        <v>2023</v>
      </c>
      <c r="J409" s="10" t="s">
        <v>12</v>
      </c>
    </row>
    <row r="410" spans="1:10" x14ac:dyDescent="0.35">
      <c r="A410" s="9" t="s">
        <v>257</v>
      </c>
      <c r="B410" s="3">
        <v>3</v>
      </c>
      <c r="C410" s="4" t="str">
        <f t="shared" si="24"/>
        <v>Bad</v>
      </c>
      <c r="D410" s="3" t="s">
        <v>853</v>
      </c>
      <c r="E410" s="3" t="s">
        <v>854</v>
      </c>
      <c r="F410" s="5" t="s">
        <v>838</v>
      </c>
      <c r="G410" s="4" t="str">
        <f t="shared" si="25"/>
        <v>19th</v>
      </c>
      <c r="H410" s="4" t="str">
        <f t="shared" si="26"/>
        <v>April</v>
      </c>
      <c r="I410" s="4" t="str">
        <f t="shared" si="27"/>
        <v>2023</v>
      </c>
      <c r="J410" s="10" t="s">
        <v>12</v>
      </c>
    </row>
    <row r="411" spans="1:10" x14ac:dyDescent="0.35">
      <c r="A411" s="9" t="s">
        <v>257</v>
      </c>
      <c r="B411" s="3">
        <v>1</v>
      </c>
      <c r="C411" s="4" t="str">
        <f t="shared" si="24"/>
        <v>Bad</v>
      </c>
      <c r="D411" s="3" t="s">
        <v>855</v>
      </c>
      <c r="E411" s="3" t="s">
        <v>856</v>
      </c>
      <c r="F411" s="5" t="s">
        <v>838</v>
      </c>
      <c r="G411" s="4" t="str">
        <f t="shared" si="25"/>
        <v>19th</v>
      </c>
      <c r="H411" s="4" t="str">
        <f t="shared" si="26"/>
        <v>April</v>
      </c>
      <c r="I411" s="4" t="str">
        <f t="shared" si="27"/>
        <v>2023</v>
      </c>
      <c r="J411" s="10" t="s">
        <v>12</v>
      </c>
    </row>
    <row r="412" spans="1:10" x14ac:dyDescent="0.35">
      <c r="A412" s="9" t="s">
        <v>257</v>
      </c>
      <c r="B412" s="3">
        <v>2</v>
      </c>
      <c r="C412" s="4" t="str">
        <f t="shared" si="24"/>
        <v>Bad</v>
      </c>
      <c r="D412" s="3" t="s">
        <v>857</v>
      </c>
      <c r="E412" s="3" t="s">
        <v>858</v>
      </c>
      <c r="F412" s="5" t="s">
        <v>859</v>
      </c>
      <c r="G412" s="4" t="str">
        <f t="shared" si="25"/>
        <v>4th</v>
      </c>
      <c r="H412" s="4" t="str">
        <f t="shared" si="26"/>
        <v>April</v>
      </c>
      <c r="I412" s="4" t="str">
        <f t="shared" si="27"/>
        <v>2023</v>
      </c>
      <c r="J412" s="10" t="s">
        <v>12</v>
      </c>
    </row>
    <row r="413" spans="1:10" x14ac:dyDescent="0.35">
      <c r="A413" s="9" t="s">
        <v>257</v>
      </c>
      <c r="B413" s="3">
        <v>1</v>
      </c>
      <c r="C413" s="4" t="str">
        <f t="shared" si="24"/>
        <v>Bad</v>
      </c>
      <c r="D413" s="3" t="s">
        <v>860</v>
      </c>
      <c r="E413" s="3" t="s">
        <v>861</v>
      </c>
      <c r="F413" s="5" t="s">
        <v>859</v>
      </c>
      <c r="G413" s="4" t="str">
        <f t="shared" si="25"/>
        <v>4th</v>
      </c>
      <c r="H413" s="4" t="str">
        <f t="shared" si="26"/>
        <v>April</v>
      </c>
      <c r="I413" s="4" t="str">
        <f t="shared" si="27"/>
        <v>2023</v>
      </c>
      <c r="J413" s="10" t="s">
        <v>12</v>
      </c>
    </row>
    <row r="414" spans="1:10" x14ac:dyDescent="0.35">
      <c r="A414" s="9" t="s">
        <v>257</v>
      </c>
      <c r="B414" s="3">
        <v>3</v>
      </c>
      <c r="C414" s="4" t="str">
        <f t="shared" si="24"/>
        <v>Bad</v>
      </c>
      <c r="D414" s="3" t="s">
        <v>862</v>
      </c>
      <c r="E414" s="3" t="s">
        <v>863</v>
      </c>
      <c r="F414" s="5" t="s">
        <v>859</v>
      </c>
      <c r="G414" s="4" t="str">
        <f t="shared" si="25"/>
        <v>4th</v>
      </c>
      <c r="H414" s="4" t="str">
        <f t="shared" si="26"/>
        <v>April</v>
      </c>
      <c r="I414" s="4" t="str">
        <f t="shared" si="27"/>
        <v>2023</v>
      </c>
      <c r="J414" s="10" t="s">
        <v>12</v>
      </c>
    </row>
    <row r="415" spans="1:10" x14ac:dyDescent="0.35">
      <c r="A415" s="9" t="s">
        <v>257</v>
      </c>
      <c r="B415" s="3">
        <v>5</v>
      </c>
      <c r="C415" s="4" t="str">
        <f t="shared" si="24"/>
        <v>Neutral</v>
      </c>
      <c r="D415" s="3" t="s">
        <v>864</v>
      </c>
      <c r="E415" s="3" t="s">
        <v>865</v>
      </c>
      <c r="F415" s="5" t="s">
        <v>859</v>
      </c>
      <c r="G415" s="4" t="str">
        <f t="shared" si="25"/>
        <v>4th</v>
      </c>
      <c r="H415" s="4" t="str">
        <f t="shared" si="26"/>
        <v>April</v>
      </c>
      <c r="I415" s="4" t="str">
        <f t="shared" si="27"/>
        <v>2023</v>
      </c>
      <c r="J415" s="10" t="s">
        <v>9</v>
      </c>
    </row>
    <row r="416" spans="1:10" x14ac:dyDescent="0.35">
      <c r="A416" s="9" t="s">
        <v>257</v>
      </c>
      <c r="B416" s="3">
        <v>1</v>
      </c>
      <c r="C416" s="4" t="str">
        <f t="shared" si="24"/>
        <v>Bad</v>
      </c>
      <c r="D416" s="3" t="s">
        <v>866</v>
      </c>
      <c r="E416" s="3" t="s">
        <v>867</v>
      </c>
      <c r="F416" s="5" t="s">
        <v>859</v>
      </c>
      <c r="G416" s="4" t="str">
        <f t="shared" si="25"/>
        <v>4th</v>
      </c>
      <c r="H416" s="4" t="str">
        <f t="shared" si="26"/>
        <v>April</v>
      </c>
      <c r="I416" s="4" t="str">
        <f t="shared" si="27"/>
        <v>2023</v>
      </c>
      <c r="J416" s="10" t="s">
        <v>12</v>
      </c>
    </row>
    <row r="417" spans="1:10" x14ac:dyDescent="0.35">
      <c r="A417" s="9" t="s">
        <v>257</v>
      </c>
      <c r="B417" s="3">
        <v>7</v>
      </c>
      <c r="C417" s="4" t="str">
        <f t="shared" si="24"/>
        <v>Neutral</v>
      </c>
      <c r="D417" s="3" t="s">
        <v>868</v>
      </c>
      <c r="E417" s="3" t="s">
        <v>869</v>
      </c>
      <c r="F417" s="5" t="s">
        <v>859</v>
      </c>
      <c r="G417" s="4" t="str">
        <f t="shared" si="25"/>
        <v>4th</v>
      </c>
      <c r="H417" s="4" t="str">
        <f t="shared" si="26"/>
        <v>April</v>
      </c>
      <c r="I417" s="4" t="str">
        <f t="shared" si="27"/>
        <v>2023</v>
      </c>
      <c r="J417" s="10" t="s">
        <v>9</v>
      </c>
    </row>
    <row r="418" spans="1:10" x14ac:dyDescent="0.35">
      <c r="A418" s="9" t="s">
        <v>257</v>
      </c>
      <c r="B418" s="3">
        <v>1</v>
      </c>
      <c r="C418" s="4" t="str">
        <f t="shared" si="24"/>
        <v>Bad</v>
      </c>
      <c r="D418" s="3" t="s">
        <v>870</v>
      </c>
      <c r="E418" s="3" t="s">
        <v>871</v>
      </c>
      <c r="F418" s="5" t="s">
        <v>859</v>
      </c>
      <c r="G418" s="4" t="str">
        <f t="shared" si="25"/>
        <v>4th</v>
      </c>
      <c r="H418" s="4" t="str">
        <f t="shared" si="26"/>
        <v>April</v>
      </c>
      <c r="I418" s="4" t="str">
        <f t="shared" si="27"/>
        <v>2023</v>
      </c>
      <c r="J418" s="10" t="s">
        <v>12</v>
      </c>
    </row>
    <row r="419" spans="1:10" x14ac:dyDescent="0.35">
      <c r="A419" s="9" t="s">
        <v>257</v>
      </c>
      <c r="B419" s="3">
        <v>9</v>
      </c>
      <c r="C419" s="4" t="str">
        <f t="shared" si="24"/>
        <v>Good</v>
      </c>
      <c r="D419" s="3" t="s">
        <v>872</v>
      </c>
      <c r="E419" s="3" t="s">
        <v>873</v>
      </c>
      <c r="F419" s="5" t="s">
        <v>859</v>
      </c>
      <c r="G419" s="4" t="str">
        <f t="shared" si="25"/>
        <v>4th</v>
      </c>
      <c r="H419" s="4" t="str">
        <f t="shared" si="26"/>
        <v>April</v>
      </c>
      <c r="I419" s="4" t="str">
        <f t="shared" si="27"/>
        <v>2023</v>
      </c>
      <c r="J419" s="10" t="s">
        <v>9</v>
      </c>
    </row>
    <row r="420" spans="1:10" x14ac:dyDescent="0.35">
      <c r="A420" s="9" t="s">
        <v>257</v>
      </c>
      <c r="B420" s="3">
        <v>10</v>
      </c>
      <c r="C420" s="4" t="str">
        <f t="shared" si="24"/>
        <v>Good</v>
      </c>
      <c r="D420" s="3" t="s">
        <v>874</v>
      </c>
      <c r="E420" s="3" t="s">
        <v>875</v>
      </c>
      <c r="F420" s="5" t="s">
        <v>859</v>
      </c>
      <c r="G420" s="4" t="str">
        <f t="shared" si="25"/>
        <v>4th</v>
      </c>
      <c r="H420" s="4" t="str">
        <f t="shared" si="26"/>
        <v>April</v>
      </c>
      <c r="I420" s="4" t="str">
        <f t="shared" si="27"/>
        <v>2023</v>
      </c>
      <c r="J420" s="10" t="s">
        <v>9</v>
      </c>
    </row>
    <row r="421" spans="1:10" x14ac:dyDescent="0.35">
      <c r="A421" s="9" t="s">
        <v>257</v>
      </c>
      <c r="B421" s="3">
        <v>2</v>
      </c>
      <c r="C421" s="4" t="str">
        <f t="shared" si="24"/>
        <v>Bad</v>
      </c>
      <c r="D421" s="3" t="s">
        <v>876</v>
      </c>
      <c r="E421" s="3" t="s">
        <v>877</v>
      </c>
      <c r="F421" s="5" t="s">
        <v>859</v>
      </c>
      <c r="G421" s="4" t="str">
        <f t="shared" si="25"/>
        <v>4th</v>
      </c>
      <c r="H421" s="4" t="str">
        <f t="shared" si="26"/>
        <v>April</v>
      </c>
      <c r="I421" s="4" t="str">
        <f t="shared" si="27"/>
        <v>2023</v>
      </c>
      <c r="J421" s="10" t="s">
        <v>12</v>
      </c>
    </row>
    <row r="422" spans="1:10" x14ac:dyDescent="0.35">
      <c r="A422" s="9" t="s">
        <v>257</v>
      </c>
      <c r="B422" s="3">
        <v>1</v>
      </c>
      <c r="C422" s="4" t="str">
        <f t="shared" si="24"/>
        <v>Bad</v>
      </c>
      <c r="D422" s="3" t="s">
        <v>878</v>
      </c>
      <c r="E422" s="3" t="s">
        <v>879</v>
      </c>
      <c r="F422" s="5" t="s">
        <v>880</v>
      </c>
      <c r="G422" s="4" t="str">
        <f t="shared" si="25"/>
        <v>18th</v>
      </c>
      <c r="H422" s="4" t="str">
        <f t="shared" si="26"/>
        <v>March</v>
      </c>
      <c r="I422" s="4" t="str">
        <f t="shared" si="27"/>
        <v>2023</v>
      </c>
      <c r="J422" s="10" t="s">
        <v>12</v>
      </c>
    </row>
    <row r="423" spans="1:10" x14ac:dyDescent="0.35">
      <c r="A423" s="9" t="s">
        <v>257</v>
      </c>
      <c r="B423" s="3">
        <v>1</v>
      </c>
      <c r="C423" s="4" t="str">
        <f t="shared" si="24"/>
        <v>Bad</v>
      </c>
      <c r="D423" s="3" t="s">
        <v>708</v>
      </c>
      <c r="E423" s="3" t="s">
        <v>881</v>
      </c>
      <c r="F423" s="5" t="s">
        <v>880</v>
      </c>
      <c r="G423" s="4" t="str">
        <f t="shared" si="25"/>
        <v>18th</v>
      </c>
      <c r="H423" s="4" t="str">
        <f t="shared" si="26"/>
        <v>March</v>
      </c>
      <c r="I423" s="4" t="str">
        <f t="shared" si="27"/>
        <v>2023</v>
      </c>
      <c r="J423" s="10" t="s">
        <v>12</v>
      </c>
    </row>
    <row r="424" spans="1:10" x14ac:dyDescent="0.35">
      <c r="A424" s="9" t="s">
        <v>257</v>
      </c>
      <c r="B424" s="3">
        <v>1</v>
      </c>
      <c r="C424" s="4" t="str">
        <f t="shared" si="24"/>
        <v>Bad</v>
      </c>
      <c r="D424" s="3" t="s">
        <v>882</v>
      </c>
      <c r="E424" s="3" t="s">
        <v>883</v>
      </c>
      <c r="F424" s="5" t="s">
        <v>880</v>
      </c>
      <c r="G424" s="4" t="str">
        <f t="shared" si="25"/>
        <v>18th</v>
      </c>
      <c r="H424" s="4" t="str">
        <f t="shared" si="26"/>
        <v>March</v>
      </c>
      <c r="I424" s="4" t="str">
        <f t="shared" si="27"/>
        <v>2023</v>
      </c>
      <c r="J424" s="10" t="s">
        <v>12</v>
      </c>
    </row>
    <row r="425" spans="1:10" x14ac:dyDescent="0.35">
      <c r="A425" s="9" t="s">
        <v>257</v>
      </c>
      <c r="B425" s="3">
        <v>4</v>
      </c>
      <c r="C425" s="4" t="str">
        <f t="shared" si="24"/>
        <v>Bad</v>
      </c>
      <c r="D425" s="3" t="s">
        <v>884</v>
      </c>
      <c r="E425" s="3" t="s">
        <v>885</v>
      </c>
      <c r="F425" s="5" t="s">
        <v>880</v>
      </c>
      <c r="G425" s="4" t="str">
        <f t="shared" si="25"/>
        <v>18th</v>
      </c>
      <c r="H425" s="4" t="str">
        <f t="shared" si="26"/>
        <v>March</v>
      </c>
      <c r="I425" s="4" t="str">
        <f t="shared" si="27"/>
        <v>2023</v>
      </c>
      <c r="J425" s="10" t="s">
        <v>12</v>
      </c>
    </row>
    <row r="426" spans="1:10" x14ac:dyDescent="0.35">
      <c r="A426" s="9" t="s">
        <v>257</v>
      </c>
      <c r="B426" s="3">
        <v>10</v>
      </c>
      <c r="C426" s="4" t="str">
        <f t="shared" si="24"/>
        <v>Good</v>
      </c>
      <c r="D426" s="3" t="s">
        <v>886</v>
      </c>
      <c r="E426" s="3" t="s">
        <v>887</v>
      </c>
      <c r="F426" s="5" t="s">
        <v>880</v>
      </c>
      <c r="G426" s="4" t="str">
        <f t="shared" si="25"/>
        <v>18th</v>
      </c>
      <c r="H426" s="4" t="str">
        <f t="shared" si="26"/>
        <v>March</v>
      </c>
      <c r="I426" s="4" t="str">
        <f t="shared" si="27"/>
        <v>2023</v>
      </c>
      <c r="J426" s="10" t="s">
        <v>9</v>
      </c>
    </row>
    <row r="427" spans="1:10" x14ac:dyDescent="0.35">
      <c r="A427" s="9" t="s">
        <v>257</v>
      </c>
      <c r="B427" s="3">
        <v>1</v>
      </c>
      <c r="C427" s="4" t="str">
        <f t="shared" si="24"/>
        <v>Bad</v>
      </c>
      <c r="D427" s="3" t="s">
        <v>888</v>
      </c>
      <c r="E427" s="3" t="s">
        <v>889</v>
      </c>
      <c r="F427" s="5" t="s">
        <v>880</v>
      </c>
      <c r="G427" s="4" t="str">
        <f t="shared" si="25"/>
        <v>18th</v>
      </c>
      <c r="H427" s="4" t="str">
        <f t="shared" si="26"/>
        <v>March</v>
      </c>
      <c r="I427" s="4" t="str">
        <f t="shared" si="27"/>
        <v>2023</v>
      </c>
      <c r="J427" s="10" t="s">
        <v>12</v>
      </c>
    </row>
    <row r="428" spans="1:10" x14ac:dyDescent="0.35">
      <c r="A428" s="9" t="s">
        <v>257</v>
      </c>
      <c r="B428" s="3">
        <v>1</v>
      </c>
      <c r="C428" s="4" t="str">
        <f t="shared" si="24"/>
        <v>Bad</v>
      </c>
      <c r="D428" s="3" t="s">
        <v>890</v>
      </c>
      <c r="E428" s="3" t="s">
        <v>891</v>
      </c>
      <c r="F428" s="5" t="s">
        <v>880</v>
      </c>
      <c r="G428" s="4" t="str">
        <f t="shared" si="25"/>
        <v>18th</v>
      </c>
      <c r="H428" s="4" t="str">
        <f t="shared" si="26"/>
        <v>March</v>
      </c>
      <c r="I428" s="4" t="str">
        <f t="shared" si="27"/>
        <v>2023</v>
      </c>
      <c r="J428" s="10" t="s">
        <v>12</v>
      </c>
    </row>
    <row r="429" spans="1:10" x14ac:dyDescent="0.35">
      <c r="A429" s="9" t="s">
        <v>257</v>
      </c>
      <c r="B429" s="3">
        <v>3</v>
      </c>
      <c r="C429" s="4" t="str">
        <f t="shared" si="24"/>
        <v>Bad</v>
      </c>
      <c r="D429" s="3" t="s">
        <v>892</v>
      </c>
      <c r="E429" s="3" t="s">
        <v>893</v>
      </c>
      <c r="F429" s="5" t="s">
        <v>880</v>
      </c>
      <c r="G429" s="4" t="str">
        <f t="shared" si="25"/>
        <v>18th</v>
      </c>
      <c r="H429" s="4" t="str">
        <f t="shared" si="26"/>
        <v>March</v>
      </c>
      <c r="I429" s="4" t="str">
        <f t="shared" si="27"/>
        <v>2023</v>
      </c>
      <c r="J429" s="10" t="s">
        <v>12</v>
      </c>
    </row>
    <row r="430" spans="1:10" x14ac:dyDescent="0.35">
      <c r="A430" s="9" t="s">
        <v>257</v>
      </c>
      <c r="B430" s="3">
        <v>1</v>
      </c>
      <c r="C430" s="4" t="str">
        <f t="shared" si="24"/>
        <v>Bad</v>
      </c>
      <c r="D430" s="3" t="s">
        <v>894</v>
      </c>
      <c r="E430" s="3" t="s">
        <v>895</v>
      </c>
      <c r="F430" s="5" t="s">
        <v>880</v>
      </c>
      <c r="G430" s="4" t="str">
        <f t="shared" si="25"/>
        <v>18th</v>
      </c>
      <c r="H430" s="4" t="str">
        <f t="shared" si="26"/>
        <v>March</v>
      </c>
      <c r="I430" s="4" t="str">
        <f t="shared" si="27"/>
        <v>2023</v>
      </c>
      <c r="J430" s="10" t="s">
        <v>12</v>
      </c>
    </row>
    <row r="431" spans="1:10" x14ac:dyDescent="0.35">
      <c r="A431" s="9" t="s">
        <v>257</v>
      </c>
      <c r="B431" s="3">
        <v>5</v>
      </c>
      <c r="C431" s="4" t="str">
        <f t="shared" si="24"/>
        <v>Neutral</v>
      </c>
      <c r="D431" s="3" t="s">
        <v>896</v>
      </c>
      <c r="E431" s="3" t="s">
        <v>897</v>
      </c>
      <c r="F431" s="5" t="s">
        <v>880</v>
      </c>
      <c r="G431" s="4" t="str">
        <f t="shared" si="25"/>
        <v>18th</v>
      </c>
      <c r="H431" s="4" t="str">
        <f t="shared" si="26"/>
        <v>March</v>
      </c>
      <c r="I431" s="4" t="str">
        <f t="shared" si="27"/>
        <v>2023</v>
      </c>
      <c r="J431" s="10" t="s">
        <v>9</v>
      </c>
    </row>
    <row r="432" spans="1:10" x14ac:dyDescent="0.35">
      <c r="A432" s="9" t="s">
        <v>257</v>
      </c>
      <c r="B432" s="3">
        <v>1</v>
      </c>
      <c r="C432" s="4" t="str">
        <f t="shared" si="24"/>
        <v>Bad</v>
      </c>
      <c r="D432" s="3" t="s">
        <v>655</v>
      </c>
      <c r="E432" s="3" t="s">
        <v>898</v>
      </c>
      <c r="F432" s="5" t="s">
        <v>899</v>
      </c>
      <c r="G432" s="4" t="str">
        <f t="shared" si="25"/>
        <v>5th</v>
      </c>
      <c r="H432" s="4" t="str">
        <f t="shared" si="26"/>
        <v>March</v>
      </c>
      <c r="I432" s="4" t="str">
        <f t="shared" si="27"/>
        <v>2023</v>
      </c>
      <c r="J432" s="10" t="s">
        <v>12</v>
      </c>
    </row>
    <row r="433" spans="1:10" x14ac:dyDescent="0.35">
      <c r="A433" s="9" t="s">
        <v>257</v>
      </c>
      <c r="B433" s="3">
        <v>1</v>
      </c>
      <c r="C433" s="4" t="str">
        <f t="shared" si="24"/>
        <v>Bad</v>
      </c>
      <c r="D433" s="3" t="s">
        <v>900</v>
      </c>
      <c r="E433" s="3" t="s">
        <v>901</v>
      </c>
      <c r="F433" s="5" t="s">
        <v>899</v>
      </c>
      <c r="G433" s="4" t="str">
        <f t="shared" si="25"/>
        <v>5th</v>
      </c>
      <c r="H433" s="4" t="str">
        <f t="shared" si="26"/>
        <v>March</v>
      </c>
      <c r="I433" s="4" t="str">
        <f t="shared" si="27"/>
        <v>2023</v>
      </c>
      <c r="J433" s="10" t="s">
        <v>12</v>
      </c>
    </row>
    <row r="434" spans="1:10" x14ac:dyDescent="0.35">
      <c r="A434" s="9" t="s">
        <v>257</v>
      </c>
      <c r="B434" s="3">
        <v>2</v>
      </c>
      <c r="C434" s="4" t="str">
        <f t="shared" si="24"/>
        <v>Bad</v>
      </c>
      <c r="D434" s="3" t="s">
        <v>902</v>
      </c>
      <c r="E434" s="3" t="s">
        <v>903</v>
      </c>
      <c r="F434" s="5" t="s">
        <v>899</v>
      </c>
      <c r="G434" s="4" t="str">
        <f t="shared" si="25"/>
        <v>5th</v>
      </c>
      <c r="H434" s="4" t="str">
        <f t="shared" si="26"/>
        <v>March</v>
      </c>
      <c r="I434" s="4" t="str">
        <f t="shared" si="27"/>
        <v>2023</v>
      </c>
      <c r="J434" s="10" t="s">
        <v>12</v>
      </c>
    </row>
    <row r="435" spans="1:10" x14ac:dyDescent="0.35">
      <c r="A435" s="9" t="s">
        <v>257</v>
      </c>
      <c r="B435" s="3">
        <v>5</v>
      </c>
      <c r="C435" s="4" t="str">
        <f t="shared" si="24"/>
        <v>Neutral</v>
      </c>
      <c r="D435" s="3" t="s">
        <v>904</v>
      </c>
      <c r="E435" s="3" t="s">
        <v>905</v>
      </c>
      <c r="F435" s="5" t="s">
        <v>899</v>
      </c>
      <c r="G435" s="4" t="str">
        <f t="shared" si="25"/>
        <v>5th</v>
      </c>
      <c r="H435" s="4" t="str">
        <f t="shared" si="26"/>
        <v>March</v>
      </c>
      <c r="I435" s="4" t="str">
        <f t="shared" si="27"/>
        <v>2023</v>
      </c>
      <c r="J435" s="10" t="s">
        <v>9</v>
      </c>
    </row>
    <row r="436" spans="1:10" x14ac:dyDescent="0.35">
      <c r="A436" s="9" t="s">
        <v>257</v>
      </c>
      <c r="B436" s="3">
        <v>3</v>
      </c>
      <c r="C436" s="4" t="str">
        <f t="shared" si="24"/>
        <v>Bad</v>
      </c>
      <c r="D436" s="3" t="s">
        <v>906</v>
      </c>
      <c r="E436" s="3" t="s">
        <v>907</v>
      </c>
      <c r="F436" s="5" t="s">
        <v>899</v>
      </c>
      <c r="G436" s="4" t="str">
        <f t="shared" si="25"/>
        <v>5th</v>
      </c>
      <c r="H436" s="4" t="str">
        <f t="shared" si="26"/>
        <v>March</v>
      </c>
      <c r="I436" s="4" t="str">
        <f t="shared" si="27"/>
        <v>2023</v>
      </c>
      <c r="J436" s="10" t="s">
        <v>12</v>
      </c>
    </row>
    <row r="437" spans="1:10" x14ac:dyDescent="0.35">
      <c r="A437" s="9" t="s">
        <v>257</v>
      </c>
      <c r="B437" s="3">
        <v>3</v>
      </c>
      <c r="C437" s="4" t="str">
        <f t="shared" si="24"/>
        <v>Bad</v>
      </c>
      <c r="D437" s="3" t="s">
        <v>908</v>
      </c>
      <c r="E437" s="3" t="s">
        <v>909</v>
      </c>
      <c r="F437" s="5" t="s">
        <v>899</v>
      </c>
      <c r="G437" s="4" t="str">
        <f t="shared" si="25"/>
        <v>5th</v>
      </c>
      <c r="H437" s="4" t="str">
        <f t="shared" si="26"/>
        <v>March</v>
      </c>
      <c r="I437" s="4" t="str">
        <f t="shared" si="27"/>
        <v>2023</v>
      </c>
      <c r="J437" s="10" t="s">
        <v>9</v>
      </c>
    </row>
    <row r="438" spans="1:10" x14ac:dyDescent="0.35">
      <c r="A438" s="9" t="s">
        <v>257</v>
      </c>
      <c r="B438" s="3">
        <v>1</v>
      </c>
      <c r="C438" s="4" t="str">
        <f t="shared" si="24"/>
        <v>Bad</v>
      </c>
      <c r="D438" s="3" t="s">
        <v>910</v>
      </c>
      <c r="E438" s="3" t="s">
        <v>911</v>
      </c>
      <c r="F438" s="5" t="s">
        <v>899</v>
      </c>
      <c r="G438" s="4" t="str">
        <f t="shared" si="25"/>
        <v>5th</v>
      </c>
      <c r="H438" s="4" t="str">
        <f t="shared" si="26"/>
        <v>March</v>
      </c>
      <c r="I438" s="4" t="str">
        <f t="shared" si="27"/>
        <v>2023</v>
      </c>
      <c r="J438" s="10" t="s">
        <v>12</v>
      </c>
    </row>
    <row r="439" spans="1:10" x14ac:dyDescent="0.35">
      <c r="A439" s="9" t="s">
        <v>257</v>
      </c>
      <c r="B439" s="3">
        <v>8</v>
      </c>
      <c r="C439" s="4" t="str">
        <f t="shared" si="24"/>
        <v>Good</v>
      </c>
      <c r="D439" s="3" t="s">
        <v>912</v>
      </c>
      <c r="E439" s="3" t="s">
        <v>913</v>
      </c>
      <c r="F439" s="5" t="s">
        <v>899</v>
      </c>
      <c r="G439" s="4" t="str">
        <f t="shared" si="25"/>
        <v>5th</v>
      </c>
      <c r="H439" s="4" t="str">
        <f t="shared" si="26"/>
        <v>March</v>
      </c>
      <c r="I439" s="4" t="str">
        <f t="shared" si="27"/>
        <v>2023</v>
      </c>
      <c r="J439" s="10" t="s">
        <v>9</v>
      </c>
    </row>
    <row r="440" spans="1:10" x14ac:dyDescent="0.35">
      <c r="A440" s="9" t="s">
        <v>257</v>
      </c>
      <c r="B440" s="3">
        <v>1</v>
      </c>
      <c r="C440" s="4" t="str">
        <f t="shared" si="24"/>
        <v>Bad</v>
      </c>
      <c r="D440" s="3" t="s">
        <v>914</v>
      </c>
      <c r="E440" s="3" t="s">
        <v>915</v>
      </c>
      <c r="F440" s="5" t="s">
        <v>899</v>
      </c>
      <c r="G440" s="4" t="str">
        <f t="shared" si="25"/>
        <v>5th</v>
      </c>
      <c r="H440" s="4" t="str">
        <f t="shared" si="26"/>
        <v>March</v>
      </c>
      <c r="I440" s="4" t="str">
        <f t="shared" si="27"/>
        <v>2023</v>
      </c>
      <c r="J440" s="10" t="s">
        <v>12</v>
      </c>
    </row>
    <row r="441" spans="1:10" x14ac:dyDescent="0.35">
      <c r="A441" s="9" t="s">
        <v>257</v>
      </c>
      <c r="B441" s="3">
        <v>1</v>
      </c>
      <c r="C441" s="4" t="str">
        <f t="shared" si="24"/>
        <v>Bad</v>
      </c>
      <c r="D441" s="3" t="s">
        <v>916</v>
      </c>
      <c r="E441" s="3" t="s">
        <v>917</v>
      </c>
      <c r="F441" s="5" t="s">
        <v>899</v>
      </c>
      <c r="G441" s="4" t="str">
        <f t="shared" si="25"/>
        <v>5th</v>
      </c>
      <c r="H441" s="4" t="str">
        <f t="shared" si="26"/>
        <v>March</v>
      </c>
      <c r="I441" s="4" t="str">
        <f t="shared" si="27"/>
        <v>2023</v>
      </c>
      <c r="J441" s="10" t="s">
        <v>12</v>
      </c>
    </row>
    <row r="442" spans="1:10" x14ac:dyDescent="0.35">
      <c r="A442" s="9" t="s">
        <v>257</v>
      </c>
      <c r="B442" s="3">
        <v>1</v>
      </c>
      <c r="C442" s="4" t="str">
        <f t="shared" si="24"/>
        <v>Bad</v>
      </c>
      <c r="D442" s="3" t="s">
        <v>918</v>
      </c>
      <c r="E442" s="3" t="s">
        <v>919</v>
      </c>
      <c r="F442" s="5" t="s">
        <v>920</v>
      </c>
      <c r="G442" s="4" t="str">
        <f t="shared" si="25"/>
        <v>25th</v>
      </c>
      <c r="H442" s="4" t="str">
        <f t="shared" si="26"/>
        <v>February</v>
      </c>
      <c r="I442" s="4" t="str">
        <f t="shared" si="27"/>
        <v>2023</v>
      </c>
      <c r="J442" s="10" t="s">
        <v>12</v>
      </c>
    </row>
    <row r="443" spans="1:10" x14ac:dyDescent="0.35">
      <c r="A443" s="9" t="s">
        <v>257</v>
      </c>
      <c r="B443" s="3">
        <v>4</v>
      </c>
      <c r="C443" s="4" t="str">
        <f t="shared" si="24"/>
        <v>Bad</v>
      </c>
      <c r="D443" s="3" t="s">
        <v>921</v>
      </c>
      <c r="E443" s="3" t="s">
        <v>922</v>
      </c>
      <c r="F443" s="5" t="s">
        <v>920</v>
      </c>
      <c r="G443" s="4" t="str">
        <f t="shared" si="25"/>
        <v>25th</v>
      </c>
      <c r="H443" s="4" t="str">
        <f t="shared" si="26"/>
        <v>February</v>
      </c>
      <c r="I443" s="4" t="str">
        <f t="shared" si="27"/>
        <v>2023</v>
      </c>
      <c r="J443" s="10" t="s">
        <v>12</v>
      </c>
    </row>
    <row r="444" spans="1:10" x14ac:dyDescent="0.35">
      <c r="A444" s="9" t="s">
        <v>257</v>
      </c>
      <c r="B444" s="3">
        <v>1</v>
      </c>
      <c r="C444" s="4" t="str">
        <f t="shared" si="24"/>
        <v>Bad</v>
      </c>
      <c r="D444" s="3" t="s">
        <v>923</v>
      </c>
      <c r="E444" s="3" t="s">
        <v>924</v>
      </c>
      <c r="F444" s="5" t="s">
        <v>920</v>
      </c>
      <c r="G444" s="4" t="str">
        <f t="shared" si="25"/>
        <v>25th</v>
      </c>
      <c r="H444" s="4" t="str">
        <f t="shared" si="26"/>
        <v>February</v>
      </c>
      <c r="I444" s="4" t="str">
        <f t="shared" si="27"/>
        <v>2023</v>
      </c>
      <c r="J444" s="10" t="s">
        <v>12</v>
      </c>
    </row>
    <row r="445" spans="1:10" x14ac:dyDescent="0.35">
      <c r="A445" s="9" t="s">
        <v>257</v>
      </c>
      <c r="B445" s="3">
        <v>1</v>
      </c>
      <c r="C445" s="4" t="str">
        <f t="shared" si="24"/>
        <v>Bad</v>
      </c>
      <c r="D445" s="3" t="s">
        <v>925</v>
      </c>
      <c r="E445" s="3" t="s">
        <v>926</v>
      </c>
      <c r="F445" s="5" t="s">
        <v>920</v>
      </c>
      <c r="G445" s="4" t="str">
        <f t="shared" si="25"/>
        <v>25th</v>
      </c>
      <c r="H445" s="4" t="str">
        <f t="shared" si="26"/>
        <v>February</v>
      </c>
      <c r="I445" s="4" t="str">
        <f t="shared" si="27"/>
        <v>2023</v>
      </c>
      <c r="J445" s="10" t="s">
        <v>12</v>
      </c>
    </row>
    <row r="446" spans="1:10" x14ac:dyDescent="0.35">
      <c r="A446" s="9" t="s">
        <v>257</v>
      </c>
      <c r="B446" s="3">
        <v>2</v>
      </c>
      <c r="C446" s="4" t="str">
        <f t="shared" si="24"/>
        <v>Bad</v>
      </c>
      <c r="D446" s="3" t="s">
        <v>927</v>
      </c>
      <c r="E446" s="3" t="s">
        <v>928</v>
      </c>
      <c r="F446" s="5" t="s">
        <v>920</v>
      </c>
      <c r="G446" s="4" t="str">
        <f t="shared" si="25"/>
        <v>25th</v>
      </c>
      <c r="H446" s="4" t="str">
        <f t="shared" si="26"/>
        <v>February</v>
      </c>
      <c r="I446" s="4" t="str">
        <f t="shared" si="27"/>
        <v>2023</v>
      </c>
      <c r="J446" s="10" t="s">
        <v>12</v>
      </c>
    </row>
    <row r="447" spans="1:10" x14ac:dyDescent="0.35">
      <c r="A447" s="9" t="s">
        <v>257</v>
      </c>
      <c r="B447" s="3">
        <v>1</v>
      </c>
      <c r="C447" s="4" t="str">
        <f t="shared" si="24"/>
        <v>Bad</v>
      </c>
      <c r="D447" s="3" t="s">
        <v>929</v>
      </c>
      <c r="E447" s="3" t="s">
        <v>930</v>
      </c>
      <c r="F447" s="5" t="s">
        <v>920</v>
      </c>
      <c r="G447" s="4" t="str">
        <f t="shared" si="25"/>
        <v>25th</v>
      </c>
      <c r="H447" s="4" t="str">
        <f t="shared" si="26"/>
        <v>February</v>
      </c>
      <c r="I447" s="4" t="str">
        <f t="shared" si="27"/>
        <v>2023</v>
      </c>
      <c r="J447" s="10" t="s">
        <v>12</v>
      </c>
    </row>
    <row r="448" spans="1:10" x14ac:dyDescent="0.35">
      <c r="A448" s="9" t="s">
        <v>257</v>
      </c>
      <c r="B448" s="3">
        <v>4</v>
      </c>
      <c r="C448" s="4" t="str">
        <f t="shared" si="24"/>
        <v>Bad</v>
      </c>
      <c r="D448" s="3" t="s">
        <v>931</v>
      </c>
      <c r="E448" s="3" t="s">
        <v>932</v>
      </c>
      <c r="F448" s="5" t="s">
        <v>920</v>
      </c>
      <c r="G448" s="4" t="str">
        <f t="shared" si="25"/>
        <v>25th</v>
      </c>
      <c r="H448" s="4" t="str">
        <f t="shared" si="26"/>
        <v>February</v>
      </c>
      <c r="I448" s="4" t="str">
        <f t="shared" si="27"/>
        <v>2023</v>
      </c>
      <c r="J448" s="10" t="s">
        <v>12</v>
      </c>
    </row>
    <row r="449" spans="1:10" x14ac:dyDescent="0.35">
      <c r="A449" s="9" t="s">
        <v>257</v>
      </c>
      <c r="B449" s="3">
        <v>2</v>
      </c>
      <c r="C449" s="4" t="str">
        <f t="shared" si="24"/>
        <v>Bad</v>
      </c>
      <c r="D449" s="3" t="s">
        <v>933</v>
      </c>
      <c r="E449" s="3" t="s">
        <v>934</v>
      </c>
      <c r="F449" s="5" t="s">
        <v>920</v>
      </c>
      <c r="G449" s="4" t="str">
        <f t="shared" si="25"/>
        <v>25th</v>
      </c>
      <c r="H449" s="4" t="str">
        <f t="shared" si="26"/>
        <v>February</v>
      </c>
      <c r="I449" s="4" t="str">
        <f t="shared" si="27"/>
        <v>2023</v>
      </c>
      <c r="J449" s="10" t="s">
        <v>12</v>
      </c>
    </row>
    <row r="450" spans="1:10" x14ac:dyDescent="0.35">
      <c r="A450" s="9" t="s">
        <v>257</v>
      </c>
      <c r="B450" s="3">
        <v>1</v>
      </c>
      <c r="C450" s="4" t="str">
        <f t="shared" si="24"/>
        <v>Bad</v>
      </c>
      <c r="D450" s="3" t="s">
        <v>935</v>
      </c>
      <c r="E450" s="3" t="s">
        <v>936</v>
      </c>
      <c r="F450" s="5" t="s">
        <v>920</v>
      </c>
      <c r="G450" s="4" t="str">
        <f t="shared" si="25"/>
        <v>25th</v>
      </c>
      <c r="H450" s="4" t="str">
        <f t="shared" si="26"/>
        <v>February</v>
      </c>
      <c r="I450" s="4" t="str">
        <f t="shared" si="27"/>
        <v>2023</v>
      </c>
      <c r="J450" s="10" t="s">
        <v>12</v>
      </c>
    </row>
    <row r="451" spans="1:10" x14ac:dyDescent="0.35">
      <c r="A451" s="9" t="s">
        <v>257</v>
      </c>
      <c r="B451" s="3">
        <v>1</v>
      </c>
      <c r="C451" s="4" t="str">
        <f t="shared" ref="C451:C514" si="28">IF(B451&gt;=8,"Good",IF(B451&gt;=5,"Neutral","Bad"))</f>
        <v>Bad</v>
      </c>
      <c r="D451" s="3" t="s">
        <v>937</v>
      </c>
      <c r="E451" s="3" t="s">
        <v>938</v>
      </c>
      <c r="F451" s="5" t="s">
        <v>920</v>
      </c>
      <c r="G451" s="4" t="str">
        <f t="shared" ref="G451:G514" si="29">LEFT(F451, FIND(" ", F451)-1)</f>
        <v>25th</v>
      </c>
      <c r="H451" s="4" t="str">
        <f t="shared" ref="H451:H514" si="30">TRIM(MID(F451, FIND(" ", F451)+1, FIND(" ", F451, FIND(" ", F451)+1) - FIND(" ", F451)-1))</f>
        <v>February</v>
      </c>
      <c r="I451" s="4" t="str">
        <f t="shared" ref="I451:I514" si="31">RIGHT(F451, 4)</f>
        <v>2023</v>
      </c>
      <c r="J451" s="10" t="s">
        <v>12</v>
      </c>
    </row>
    <row r="452" spans="1:10" x14ac:dyDescent="0.35">
      <c r="A452" s="9" t="s">
        <v>257</v>
      </c>
      <c r="B452" s="3">
        <v>1</v>
      </c>
      <c r="C452" s="4" t="str">
        <f t="shared" si="28"/>
        <v>Bad</v>
      </c>
      <c r="D452" s="3" t="s">
        <v>939</v>
      </c>
      <c r="E452" s="3" t="s">
        <v>940</v>
      </c>
      <c r="F452" s="5" t="s">
        <v>941</v>
      </c>
      <c r="G452" s="4" t="str">
        <f t="shared" si="29"/>
        <v>18th</v>
      </c>
      <c r="H452" s="4" t="str">
        <f t="shared" si="30"/>
        <v>February</v>
      </c>
      <c r="I452" s="4" t="str">
        <f t="shared" si="31"/>
        <v>2023</v>
      </c>
      <c r="J452" s="10" t="s">
        <v>12</v>
      </c>
    </row>
    <row r="453" spans="1:10" x14ac:dyDescent="0.35">
      <c r="A453" s="9" t="s">
        <v>257</v>
      </c>
      <c r="B453" s="3">
        <v>4</v>
      </c>
      <c r="C453" s="4" t="str">
        <f t="shared" si="28"/>
        <v>Bad</v>
      </c>
      <c r="D453" s="3" t="s">
        <v>942</v>
      </c>
      <c r="E453" s="3" t="s">
        <v>943</v>
      </c>
      <c r="F453" s="5" t="s">
        <v>941</v>
      </c>
      <c r="G453" s="4" t="str">
        <f t="shared" si="29"/>
        <v>18th</v>
      </c>
      <c r="H453" s="4" t="str">
        <f t="shared" si="30"/>
        <v>February</v>
      </c>
      <c r="I453" s="4" t="str">
        <f t="shared" si="31"/>
        <v>2023</v>
      </c>
      <c r="J453" s="10" t="s">
        <v>12</v>
      </c>
    </row>
    <row r="454" spans="1:10" x14ac:dyDescent="0.35">
      <c r="A454" s="9" t="s">
        <v>257</v>
      </c>
      <c r="B454" s="3">
        <v>1</v>
      </c>
      <c r="C454" s="4" t="str">
        <f t="shared" si="28"/>
        <v>Bad</v>
      </c>
      <c r="D454" s="3" t="s">
        <v>944</v>
      </c>
      <c r="E454" s="3" t="s">
        <v>945</v>
      </c>
      <c r="F454" s="5" t="s">
        <v>941</v>
      </c>
      <c r="G454" s="4" t="str">
        <f t="shared" si="29"/>
        <v>18th</v>
      </c>
      <c r="H454" s="4" t="str">
        <f t="shared" si="30"/>
        <v>February</v>
      </c>
      <c r="I454" s="4" t="str">
        <f t="shared" si="31"/>
        <v>2023</v>
      </c>
      <c r="J454" s="10" t="s">
        <v>12</v>
      </c>
    </row>
    <row r="455" spans="1:10" x14ac:dyDescent="0.35">
      <c r="A455" s="9" t="s">
        <v>257</v>
      </c>
      <c r="B455" s="3">
        <v>2</v>
      </c>
      <c r="C455" s="4" t="str">
        <f t="shared" si="28"/>
        <v>Bad</v>
      </c>
      <c r="D455" s="3" t="s">
        <v>946</v>
      </c>
      <c r="E455" s="3" t="s">
        <v>947</v>
      </c>
      <c r="F455" s="5" t="s">
        <v>941</v>
      </c>
      <c r="G455" s="4" t="str">
        <f t="shared" si="29"/>
        <v>18th</v>
      </c>
      <c r="H455" s="4" t="str">
        <f t="shared" si="30"/>
        <v>February</v>
      </c>
      <c r="I455" s="4" t="str">
        <f t="shared" si="31"/>
        <v>2023</v>
      </c>
      <c r="J455" s="10" t="s">
        <v>12</v>
      </c>
    </row>
    <row r="456" spans="1:10" x14ac:dyDescent="0.35">
      <c r="A456" s="9" t="s">
        <v>257</v>
      </c>
      <c r="B456" s="3">
        <v>2</v>
      </c>
      <c r="C456" s="4" t="str">
        <f t="shared" si="28"/>
        <v>Bad</v>
      </c>
      <c r="D456" s="3" t="s">
        <v>948</v>
      </c>
      <c r="E456" s="3" t="s">
        <v>949</v>
      </c>
      <c r="F456" s="5" t="s">
        <v>941</v>
      </c>
      <c r="G456" s="4" t="str">
        <f t="shared" si="29"/>
        <v>18th</v>
      </c>
      <c r="H456" s="4" t="str">
        <f t="shared" si="30"/>
        <v>February</v>
      </c>
      <c r="I456" s="4" t="str">
        <f t="shared" si="31"/>
        <v>2023</v>
      </c>
      <c r="J456" s="10" t="s">
        <v>12</v>
      </c>
    </row>
    <row r="457" spans="1:10" x14ac:dyDescent="0.35">
      <c r="A457" s="9" t="s">
        <v>257</v>
      </c>
      <c r="B457" s="3">
        <v>1</v>
      </c>
      <c r="C457" s="4" t="str">
        <f t="shared" si="28"/>
        <v>Bad</v>
      </c>
      <c r="D457" s="3" t="s">
        <v>950</v>
      </c>
      <c r="E457" s="3" t="s">
        <v>951</v>
      </c>
      <c r="F457" s="5" t="s">
        <v>941</v>
      </c>
      <c r="G457" s="4" t="str">
        <f t="shared" si="29"/>
        <v>18th</v>
      </c>
      <c r="H457" s="4" t="str">
        <f t="shared" si="30"/>
        <v>February</v>
      </c>
      <c r="I457" s="4" t="str">
        <f t="shared" si="31"/>
        <v>2023</v>
      </c>
      <c r="J457" s="10" t="s">
        <v>12</v>
      </c>
    </row>
    <row r="458" spans="1:10" x14ac:dyDescent="0.35">
      <c r="A458" s="9" t="s">
        <v>257</v>
      </c>
      <c r="B458" s="3">
        <v>3</v>
      </c>
      <c r="C458" s="4" t="str">
        <f t="shared" si="28"/>
        <v>Bad</v>
      </c>
      <c r="D458" s="3" t="s">
        <v>952</v>
      </c>
      <c r="E458" s="3" t="s">
        <v>953</v>
      </c>
      <c r="F458" s="5" t="s">
        <v>941</v>
      </c>
      <c r="G458" s="4" t="str">
        <f t="shared" si="29"/>
        <v>18th</v>
      </c>
      <c r="H458" s="4" t="str">
        <f t="shared" si="30"/>
        <v>February</v>
      </c>
      <c r="I458" s="4" t="str">
        <f t="shared" si="31"/>
        <v>2023</v>
      </c>
      <c r="J458" s="10" t="s">
        <v>12</v>
      </c>
    </row>
    <row r="459" spans="1:10" x14ac:dyDescent="0.35">
      <c r="A459" s="9" t="s">
        <v>257</v>
      </c>
      <c r="B459" s="3">
        <v>2</v>
      </c>
      <c r="C459" s="4" t="str">
        <f t="shared" si="28"/>
        <v>Bad</v>
      </c>
      <c r="D459" s="3" t="s">
        <v>954</v>
      </c>
      <c r="E459" s="3" t="s">
        <v>955</v>
      </c>
      <c r="F459" s="5" t="s">
        <v>941</v>
      </c>
      <c r="G459" s="4" t="str">
        <f t="shared" si="29"/>
        <v>18th</v>
      </c>
      <c r="H459" s="4" t="str">
        <f t="shared" si="30"/>
        <v>February</v>
      </c>
      <c r="I459" s="4" t="str">
        <f t="shared" si="31"/>
        <v>2023</v>
      </c>
      <c r="J459" s="10" t="s">
        <v>12</v>
      </c>
    </row>
    <row r="460" spans="1:10" x14ac:dyDescent="0.35">
      <c r="A460" s="9" t="s">
        <v>257</v>
      </c>
      <c r="B460" s="3">
        <v>1</v>
      </c>
      <c r="C460" s="4" t="str">
        <f t="shared" si="28"/>
        <v>Bad</v>
      </c>
      <c r="D460" s="3" t="s">
        <v>956</v>
      </c>
      <c r="E460" s="3" t="s">
        <v>957</v>
      </c>
      <c r="F460" s="5" t="s">
        <v>941</v>
      </c>
      <c r="G460" s="4" t="str">
        <f t="shared" si="29"/>
        <v>18th</v>
      </c>
      <c r="H460" s="4" t="str">
        <f t="shared" si="30"/>
        <v>February</v>
      </c>
      <c r="I460" s="4" t="str">
        <f t="shared" si="31"/>
        <v>2023</v>
      </c>
      <c r="J460" s="10" t="s">
        <v>12</v>
      </c>
    </row>
    <row r="461" spans="1:10" x14ac:dyDescent="0.35">
      <c r="A461" s="9" t="s">
        <v>257</v>
      </c>
      <c r="B461" s="3">
        <v>8</v>
      </c>
      <c r="C461" s="4" t="str">
        <f t="shared" si="28"/>
        <v>Good</v>
      </c>
      <c r="D461" s="3" t="s">
        <v>958</v>
      </c>
      <c r="E461" s="3" t="s">
        <v>959</v>
      </c>
      <c r="F461" s="5" t="s">
        <v>941</v>
      </c>
      <c r="G461" s="4" t="str">
        <f t="shared" si="29"/>
        <v>18th</v>
      </c>
      <c r="H461" s="4" t="str">
        <f t="shared" si="30"/>
        <v>February</v>
      </c>
      <c r="I461" s="4" t="str">
        <f t="shared" si="31"/>
        <v>2023</v>
      </c>
      <c r="J461" s="10" t="s">
        <v>9</v>
      </c>
    </row>
    <row r="462" spans="1:10" x14ac:dyDescent="0.35">
      <c r="A462" s="9" t="s">
        <v>257</v>
      </c>
      <c r="B462" s="3">
        <v>1</v>
      </c>
      <c r="C462" s="4" t="str">
        <f t="shared" si="28"/>
        <v>Bad</v>
      </c>
      <c r="D462" s="3" t="s">
        <v>960</v>
      </c>
      <c r="E462" s="3" t="s">
        <v>961</v>
      </c>
      <c r="F462" s="5" t="s">
        <v>962</v>
      </c>
      <c r="G462" s="4" t="str">
        <f t="shared" si="29"/>
        <v>27th</v>
      </c>
      <c r="H462" s="4" t="str">
        <f t="shared" si="30"/>
        <v>January</v>
      </c>
      <c r="I462" s="4" t="str">
        <f t="shared" si="31"/>
        <v>2023</v>
      </c>
      <c r="J462" s="10" t="s">
        <v>12</v>
      </c>
    </row>
    <row r="463" spans="1:10" x14ac:dyDescent="0.35">
      <c r="A463" s="9" t="s">
        <v>257</v>
      </c>
      <c r="B463" s="3">
        <v>3</v>
      </c>
      <c r="C463" s="4" t="str">
        <f t="shared" si="28"/>
        <v>Bad</v>
      </c>
      <c r="D463" s="3" t="s">
        <v>963</v>
      </c>
      <c r="E463" s="3" t="s">
        <v>964</v>
      </c>
      <c r="F463" s="5" t="s">
        <v>962</v>
      </c>
      <c r="G463" s="4" t="str">
        <f t="shared" si="29"/>
        <v>27th</v>
      </c>
      <c r="H463" s="4" t="str">
        <f t="shared" si="30"/>
        <v>January</v>
      </c>
      <c r="I463" s="4" t="str">
        <f t="shared" si="31"/>
        <v>2023</v>
      </c>
      <c r="J463" s="10" t="s">
        <v>12</v>
      </c>
    </row>
    <row r="464" spans="1:10" x14ac:dyDescent="0.35">
      <c r="A464" s="9" t="s">
        <v>257</v>
      </c>
      <c r="B464" s="3">
        <v>1</v>
      </c>
      <c r="C464" s="4" t="str">
        <f t="shared" si="28"/>
        <v>Bad</v>
      </c>
      <c r="D464" s="3" t="s">
        <v>965</v>
      </c>
      <c r="E464" s="3" t="s">
        <v>966</v>
      </c>
      <c r="F464" s="5" t="s">
        <v>962</v>
      </c>
      <c r="G464" s="4" t="str">
        <f t="shared" si="29"/>
        <v>27th</v>
      </c>
      <c r="H464" s="4" t="str">
        <f t="shared" si="30"/>
        <v>January</v>
      </c>
      <c r="I464" s="4" t="str">
        <f t="shared" si="31"/>
        <v>2023</v>
      </c>
      <c r="J464" s="10" t="s">
        <v>12</v>
      </c>
    </row>
    <row r="465" spans="1:10" x14ac:dyDescent="0.35">
      <c r="A465" s="9" t="s">
        <v>257</v>
      </c>
      <c r="B465" s="3">
        <v>8</v>
      </c>
      <c r="C465" s="4" t="str">
        <f t="shared" si="28"/>
        <v>Good</v>
      </c>
      <c r="D465" s="3" t="s">
        <v>967</v>
      </c>
      <c r="E465" s="3" t="s">
        <v>35</v>
      </c>
      <c r="F465" s="5" t="s">
        <v>962</v>
      </c>
      <c r="G465" s="4" t="str">
        <f t="shared" si="29"/>
        <v>27th</v>
      </c>
      <c r="H465" s="4" t="str">
        <f t="shared" si="30"/>
        <v>January</v>
      </c>
      <c r="I465" s="4" t="str">
        <f t="shared" si="31"/>
        <v>2023</v>
      </c>
      <c r="J465" s="10" t="s">
        <v>9</v>
      </c>
    </row>
    <row r="466" spans="1:10" x14ac:dyDescent="0.35">
      <c r="A466" s="9" t="s">
        <v>257</v>
      </c>
      <c r="B466" s="3">
        <v>1</v>
      </c>
      <c r="C466" s="4" t="str">
        <f t="shared" si="28"/>
        <v>Bad</v>
      </c>
      <c r="D466" s="3" t="s">
        <v>968</v>
      </c>
      <c r="E466" s="3" t="s">
        <v>969</v>
      </c>
      <c r="F466" s="5" t="s">
        <v>962</v>
      </c>
      <c r="G466" s="4" t="str">
        <f t="shared" si="29"/>
        <v>27th</v>
      </c>
      <c r="H466" s="4" t="str">
        <f t="shared" si="30"/>
        <v>January</v>
      </c>
      <c r="I466" s="4" t="str">
        <f t="shared" si="31"/>
        <v>2023</v>
      </c>
      <c r="J466" s="10" t="s">
        <v>12</v>
      </c>
    </row>
    <row r="467" spans="1:10" x14ac:dyDescent="0.35">
      <c r="A467" s="9" t="s">
        <v>257</v>
      </c>
      <c r="B467" s="3">
        <v>4</v>
      </c>
      <c r="C467" s="4" t="str">
        <f t="shared" si="28"/>
        <v>Bad</v>
      </c>
      <c r="D467" s="3" t="s">
        <v>970</v>
      </c>
      <c r="E467" s="3" t="s">
        <v>971</v>
      </c>
      <c r="F467" s="5" t="s">
        <v>962</v>
      </c>
      <c r="G467" s="4" t="str">
        <f t="shared" si="29"/>
        <v>27th</v>
      </c>
      <c r="H467" s="4" t="str">
        <f t="shared" si="30"/>
        <v>January</v>
      </c>
      <c r="I467" s="4" t="str">
        <f t="shared" si="31"/>
        <v>2023</v>
      </c>
      <c r="J467" s="10" t="s">
        <v>12</v>
      </c>
    </row>
    <row r="468" spans="1:10" x14ac:dyDescent="0.35">
      <c r="A468" s="9" t="s">
        <v>257</v>
      </c>
      <c r="B468" s="3">
        <v>7</v>
      </c>
      <c r="C468" s="4" t="str">
        <f t="shared" si="28"/>
        <v>Neutral</v>
      </c>
      <c r="D468" s="3" t="s">
        <v>972</v>
      </c>
      <c r="E468" s="3" t="s">
        <v>35</v>
      </c>
      <c r="F468" s="5" t="s">
        <v>962</v>
      </c>
      <c r="G468" s="4" t="str">
        <f t="shared" si="29"/>
        <v>27th</v>
      </c>
      <c r="H468" s="4" t="str">
        <f t="shared" si="30"/>
        <v>January</v>
      </c>
      <c r="I468" s="4" t="str">
        <f t="shared" si="31"/>
        <v>2023</v>
      </c>
      <c r="J468" s="10" t="s">
        <v>9</v>
      </c>
    </row>
    <row r="469" spans="1:10" x14ac:dyDescent="0.35">
      <c r="A469" s="9" t="s">
        <v>257</v>
      </c>
      <c r="B469" s="3">
        <v>1</v>
      </c>
      <c r="C469" s="4" t="str">
        <f t="shared" si="28"/>
        <v>Bad</v>
      </c>
      <c r="D469" s="3" t="s">
        <v>973</v>
      </c>
      <c r="E469" s="3" t="s">
        <v>974</v>
      </c>
      <c r="F469" s="5" t="s">
        <v>962</v>
      </c>
      <c r="G469" s="4" t="str">
        <f t="shared" si="29"/>
        <v>27th</v>
      </c>
      <c r="H469" s="4" t="str">
        <f t="shared" si="30"/>
        <v>January</v>
      </c>
      <c r="I469" s="4" t="str">
        <f t="shared" si="31"/>
        <v>2023</v>
      </c>
      <c r="J469" s="10" t="s">
        <v>12</v>
      </c>
    </row>
    <row r="470" spans="1:10" x14ac:dyDescent="0.35">
      <c r="A470" s="9" t="s">
        <v>257</v>
      </c>
      <c r="B470" s="3">
        <v>1</v>
      </c>
      <c r="C470" s="4" t="str">
        <f t="shared" si="28"/>
        <v>Bad</v>
      </c>
      <c r="D470" s="3" t="s">
        <v>975</v>
      </c>
      <c r="E470" s="3" t="s">
        <v>976</v>
      </c>
      <c r="F470" s="5" t="s">
        <v>962</v>
      </c>
      <c r="G470" s="4" t="str">
        <f t="shared" si="29"/>
        <v>27th</v>
      </c>
      <c r="H470" s="4" t="str">
        <f t="shared" si="30"/>
        <v>January</v>
      </c>
      <c r="I470" s="4" t="str">
        <f t="shared" si="31"/>
        <v>2023</v>
      </c>
      <c r="J470" s="10" t="s">
        <v>12</v>
      </c>
    </row>
    <row r="471" spans="1:10" x14ac:dyDescent="0.35">
      <c r="A471" s="9" t="s">
        <v>257</v>
      </c>
      <c r="B471" s="3">
        <v>1</v>
      </c>
      <c r="C471" s="4" t="str">
        <f t="shared" si="28"/>
        <v>Bad</v>
      </c>
      <c r="D471" s="3" t="s">
        <v>977</v>
      </c>
      <c r="E471" s="3" t="s">
        <v>978</v>
      </c>
      <c r="F471" s="5" t="s">
        <v>962</v>
      </c>
      <c r="G471" s="4" t="str">
        <f t="shared" si="29"/>
        <v>27th</v>
      </c>
      <c r="H471" s="4" t="str">
        <f t="shared" si="30"/>
        <v>January</v>
      </c>
      <c r="I471" s="4" t="str">
        <f t="shared" si="31"/>
        <v>2023</v>
      </c>
      <c r="J471" s="10" t="s">
        <v>12</v>
      </c>
    </row>
    <row r="472" spans="1:10" x14ac:dyDescent="0.35">
      <c r="A472" s="9" t="s">
        <v>257</v>
      </c>
      <c r="B472" s="3">
        <v>2</v>
      </c>
      <c r="C472" s="4" t="str">
        <f t="shared" si="28"/>
        <v>Bad</v>
      </c>
      <c r="D472" s="3" t="s">
        <v>979</v>
      </c>
      <c r="E472" s="3" t="s">
        <v>980</v>
      </c>
      <c r="F472" s="5" t="s">
        <v>981</v>
      </c>
      <c r="G472" s="4" t="str">
        <f t="shared" si="29"/>
        <v>14th</v>
      </c>
      <c r="H472" s="4" t="str">
        <f t="shared" si="30"/>
        <v>January</v>
      </c>
      <c r="I472" s="4" t="str">
        <f t="shared" si="31"/>
        <v>2023</v>
      </c>
      <c r="J472" s="10" t="s">
        <v>12</v>
      </c>
    </row>
    <row r="473" spans="1:10" x14ac:dyDescent="0.35">
      <c r="A473" s="9" t="s">
        <v>257</v>
      </c>
      <c r="B473" s="3">
        <v>1</v>
      </c>
      <c r="C473" s="4" t="str">
        <f t="shared" si="28"/>
        <v>Bad</v>
      </c>
      <c r="D473" s="3" t="s">
        <v>982</v>
      </c>
      <c r="E473" s="3" t="s">
        <v>983</v>
      </c>
      <c r="F473" s="5" t="s">
        <v>981</v>
      </c>
      <c r="G473" s="4" t="str">
        <f t="shared" si="29"/>
        <v>14th</v>
      </c>
      <c r="H473" s="4" t="str">
        <f t="shared" si="30"/>
        <v>January</v>
      </c>
      <c r="I473" s="4" t="str">
        <f t="shared" si="31"/>
        <v>2023</v>
      </c>
      <c r="J473" s="10" t="s">
        <v>12</v>
      </c>
    </row>
    <row r="474" spans="1:10" x14ac:dyDescent="0.35">
      <c r="A474" s="9" t="s">
        <v>257</v>
      </c>
      <c r="B474" s="3">
        <v>1</v>
      </c>
      <c r="C474" s="4" t="str">
        <f t="shared" si="28"/>
        <v>Bad</v>
      </c>
      <c r="D474" s="3" t="s">
        <v>984</v>
      </c>
      <c r="E474" s="3" t="s">
        <v>985</v>
      </c>
      <c r="F474" s="5" t="s">
        <v>981</v>
      </c>
      <c r="G474" s="4" t="str">
        <f t="shared" si="29"/>
        <v>14th</v>
      </c>
      <c r="H474" s="4" t="str">
        <f t="shared" si="30"/>
        <v>January</v>
      </c>
      <c r="I474" s="4" t="str">
        <f t="shared" si="31"/>
        <v>2023</v>
      </c>
      <c r="J474" s="10" t="s">
        <v>12</v>
      </c>
    </row>
    <row r="475" spans="1:10" x14ac:dyDescent="0.35">
      <c r="A475" s="9" t="s">
        <v>257</v>
      </c>
      <c r="B475" s="3">
        <v>9</v>
      </c>
      <c r="C475" s="4" t="str">
        <f t="shared" si="28"/>
        <v>Good</v>
      </c>
      <c r="D475" s="3" t="s">
        <v>986</v>
      </c>
      <c r="E475" s="3" t="s">
        <v>987</v>
      </c>
      <c r="F475" s="5" t="s">
        <v>981</v>
      </c>
      <c r="G475" s="4" t="str">
        <f t="shared" si="29"/>
        <v>14th</v>
      </c>
      <c r="H475" s="4" t="str">
        <f t="shared" si="30"/>
        <v>January</v>
      </c>
      <c r="I475" s="4" t="str">
        <f t="shared" si="31"/>
        <v>2023</v>
      </c>
      <c r="J475" s="10" t="s">
        <v>9</v>
      </c>
    </row>
    <row r="476" spans="1:10" x14ac:dyDescent="0.35">
      <c r="A476" s="9" t="s">
        <v>257</v>
      </c>
      <c r="B476" s="3">
        <v>1</v>
      </c>
      <c r="C476" s="4" t="str">
        <f t="shared" si="28"/>
        <v>Bad</v>
      </c>
      <c r="D476" s="3" t="s">
        <v>988</v>
      </c>
      <c r="E476" s="3" t="s">
        <v>989</v>
      </c>
      <c r="F476" s="5" t="s">
        <v>981</v>
      </c>
      <c r="G476" s="4" t="str">
        <f t="shared" si="29"/>
        <v>14th</v>
      </c>
      <c r="H476" s="4" t="str">
        <f t="shared" si="30"/>
        <v>January</v>
      </c>
      <c r="I476" s="4" t="str">
        <f t="shared" si="31"/>
        <v>2023</v>
      </c>
      <c r="J476" s="10" t="s">
        <v>12</v>
      </c>
    </row>
    <row r="477" spans="1:10" x14ac:dyDescent="0.35">
      <c r="A477" s="9" t="s">
        <v>257</v>
      </c>
      <c r="B477" s="3">
        <v>1</v>
      </c>
      <c r="C477" s="4" t="str">
        <f t="shared" si="28"/>
        <v>Bad</v>
      </c>
      <c r="D477" s="3" t="s">
        <v>990</v>
      </c>
      <c r="E477" s="3" t="s">
        <v>991</v>
      </c>
      <c r="F477" s="5" t="s">
        <v>981</v>
      </c>
      <c r="G477" s="4" t="str">
        <f t="shared" si="29"/>
        <v>14th</v>
      </c>
      <c r="H477" s="4" t="str">
        <f t="shared" si="30"/>
        <v>January</v>
      </c>
      <c r="I477" s="4" t="str">
        <f t="shared" si="31"/>
        <v>2023</v>
      </c>
      <c r="J477" s="10" t="s">
        <v>12</v>
      </c>
    </row>
    <row r="478" spans="1:10" x14ac:dyDescent="0.35">
      <c r="A478" s="9" t="s">
        <v>257</v>
      </c>
      <c r="B478" s="3">
        <v>5</v>
      </c>
      <c r="C478" s="4" t="str">
        <f t="shared" si="28"/>
        <v>Neutral</v>
      </c>
      <c r="D478" s="3" t="s">
        <v>992</v>
      </c>
      <c r="E478" s="3" t="s">
        <v>544</v>
      </c>
      <c r="F478" s="5" t="s">
        <v>981</v>
      </c>
      <c r="G478" s="4" t="str">
        <f t="shared" si="29"/>
        <v>14th</v>
      </c>
      <c r="H478" s="4" t="str">
        <f t="shared" si="30"/>
        <v>January</v>
      </c>
      <c r="I478" s="4" t="str">
        <f t="shared" si="31"/>
        <v>2023</v>
      </c>
      <c r="J478" s="10" t="s">
        <v>12</v>
      </c>
    </row>
    <row r="479" spans="1:10" x14ac:dyDescent="0.35">
      <c r="A479" s="9" t="s">
        <v>257</v>
      </c>
      <c r="B479" s="3">
        <v>1</v>
      </c>
      <c r="C479" s="4" t="str">
        <f t="shared" si="28"/>
        <v>Bad</v>
      </c>
      <c r="D479" s="3" t="s">
        <v>993</v>
      </c>
      <c r="E479" s="3" t="s">
        <v>994</v>
      </c>
      <c r="F479" s="5" t="s">
        <v>981</v>
      </c>
      <c r="G479" s="4" t="str">
        <f t="shared" si="29"/>
        <v>14th</v>
      </c>
      <c r="H479" s="4" t="str">
        <f t="shared" si="30"/>
        <v>January</v>
      </c>
      <c r="I479" s="4" t="str">
        <f t="shared" si="31"/>
        <v>2023</v>
      </c>
      <c r="J479" s="10" t="s">
        <v>12</v>
      </c>
    </row>
    <row r="480" spans="1:10" x14ac:dyDescent="0.35">
      <c r="A480" s="9" t="s">
        <v>257</v>
      </c>
      <c r="B480" s="3">
        <v>7</v>
      </c>
      <c r="C480" s="4" t="str">
        <f t="shared" si="28"/>
        <v>Neutral</v>
      </c>
      <c r="D480" s="3" t="s">
        <v>995</v>
      </c>
      <c r="E480" s="3" t="s">
        <v>996</v>
      </c>
      <c r="F480" s="5" t="s">
        <v>981</v>
      </c>
      <c r="G480" s="4" t="str">
        <f t="shared" si="29"/>
        <v>14th</v>
      </c>
      <c r="H480" s="4" t="str">
        <f t="shared" si="30"/>
        <v>January</v>
      </c>
      <c r="I480" s="4" t="str">
        <f t="shared" si="31"/>
        <v>2023</v>
      </c>
      <c r="J480" s="10" t="s">
        <v>9</v>
      </c>
    </row>
    <row r="481" spans="1:10" x14ac:dyDescent="0.35">
      <c r="A481" s="9" t="s">
        <v>257</v>
      </c>
      <c r="B481" s="3">
        <v>5</v>
      </c>
      <c r="C481" s="4" t="str">
        <f t="shared" si="28"/>
        <v>Neutral</v>
      </c>
      <c r="D481" s="3" t="s">
        <v>997</v>
      </c>
      <c r="E481" s="3" t="s">
        <v>998</v>
      </c>
      <c r="F481" s="5" t="s">
        <v>981</v>
      </c>
      <c r="G481" s="4" t="str">
        <f t="shared" si="29"/>
        <v>14th</v>
      </c>
      <c r="H481" s="4" t="str">
        <f t="shared" si="30"/>
        <v>January</v>
      </c>
      <c r="I481" s="4" t="str">
        <f t="shared" si="31"/>
        <v>2023</v>
      </c>
      <c r="J481" s="10" t="s">
        <v>12</v>
      </c>
    </row>
    <row r="482" spans="1:10" x14ac:dyDescent="0.35">
      <c r="A482" s="9" t="s">
        <v>257</v>
      </c>
      <c r="B482" s="3">
        <v>1</v>
      </c>
      <c r="C482" s="4" t="str">
        <f t="shared" si="28"/>
        <v>Bad</v>
      </c>
      <c r="D482" s="3" t="s">
        <v>999</v>
      </c>
      <c r="E482" s="3" t="s">
        <v>957</v>
      </c>
      <c r="F482" s="5" t="s">
        <v>1000</v>
      </c>
      <c r="G482" s="4" t="str">
        <f t="shared" si="29"/>
        <v>2nd</v>
      </c>
      <c r="H482" s="4" t="str">
        <f t="shared" si="30"/>
        <v>January</v>
      </c>
      <c r="I482" s="4" t="str">
        <f t="shared" si="31"/>
        <v>2023</v>
      </c>
      <c r="J482" s="10" t="s">
        <v>12</v>
      </c>
    </row>
    <row r="483" spans="1:10" x14ac:dyDescent="0.35">
      <c r="A483" s="9" t="s">
        <v>257</v>
      </c>
      <c r="B483" s="3">
        <v>9</v>
      </c>
      <c r="C483" s="4" t="str">
        <f t="shared" si="28"/>
        <v>Good</v>
      </c>
      <c r="D483" s="3" t="s">
        <v>1001</v>
      </c>
      <c r="E483" s="3" t="s">
        <v>1002</v>
      </c>
      <c r="F483" s="5" t="s">
        <v>1000</v>
      </c>
      <c r="G483" s="4" t="str">
        <f t="shared" si="29"/>
        <v>2nd</v>
      </c>
      <c r="H483" s="4" t="str">
        <f t="shared" si="30"/>
        <v>January</v>
      </c>
      <c r="I483" s="4" t="str">
        <f t="shared" si="31"/>
        <v>2023</v>
      </c>
      <c r="J483" s="10" t="s">
        <v>9</v>
      </c>
    </row>
    <row r="484" spans="1:10" x14ac:dyDescent="0.35">
      <c r="A484" s="9" t="s">
        <v>257</v>
      </c>
      <c r="B484" s="3">
        <v>1</v>
      </c>
      <c r="C484" s="4" t="str">
        <f t="shared" si="28"/>
        <v>Bad</v>
      </c>
      <c r="D484" s="3" t="s">
        <v>1003</v>
      </c>
      <c r="E484" s="3" t="s">
        <v>1004</v>
      </c>
      <c r="F484" s="5" t="s">
        <v>1000</v>
      </c>
      <c r="G484" s="4" t="str">
        <f t="shared" si="29"/>
        <v>2nd</v>
      </c>
      <c r="H484" s="4" t="str">
        <f t="shared" si="30"/>
        <v>January</v>
      </c>
      <c r="I484" s="4" t="str">
        <f t="shared" si="31"/>
        <v>2023</v>
      </c>
      <c r="J484" s="10" t="s">
        <v>12</v>
      </c>
    </row>
    <row r="485" spans="1:10" x14ac:dyDescent="0.35">
      <c r="A485" s="9" t="s">
        <v>257</v>
      </c>
      <c r="B485" s="3">
        <v>1</v>
      </c>
      <c r="C485" s="4" t="str">
        <f t="shared" si="28"/>
        <v>Bad</v>
      </c>
      <c r="D485" s="3" t="s">
        <v>1005</v>
      </c>
      <c r="E485" s="3" t="s">
        <v>1006</v>
      </c>
      <c r="F485" s="5" t="s">
        <v>1000</v>
      </c>
      <c r="G485" s="4" t="str">
        <f t="shared" si="29"/>
        <v>2nd</v>
      </c>
      <c r="H485" s="4" t="str">
        <f t="shared" si="30"/>
        <v>January</v>
      </c>
      <c r="I485" s="4" t="str">
        <f t="shared" si="31"/>
        <v>2023</v>
      </c>
      <c r="J485" s="10" t="s">
        <v>12</v>
      </c>
    </row>
    <row r="486" spans="1:10" x14ac:dyDescent="0.35">
      <c r="A486" s="9" t="s">
        <v>257</v>
      </c>
      <c r="B486" s="3">
        <v>1</v>
      </c>
      <c r="C486" s="4" t="str">
        <f t="shared" si="28"/>
        <v>Bad</v>
      </c>
      <c r="D486" s="3" t="s">
        <v>1007</v>
      </c>
      <c r="E486" s="3" t="s">
        <v>1008</v>
      </c>
      <c r="F486" s="5" t="s">
        <v>1000</v>
      </c>
      <c r="G486" s="4" t="str">
        <f t="shared" si="29"/>
        <v>2nd</v>
      </c>
      <c r="H486" s="4" t="str">
        <f t="shared" si="30"/>
        <v>January</v>
      </c>
      <c r="I486" s="4" t="str">
        <f t="shared" si="31"/>
        <v>2023</v>
      </c>
      <c r="J486" s="10" t="s">
        <v>12</v>
      </c>
    </row>
    <row r="487" spans="1:10" x14ac:dyDescent="0.35">
      <c r="A487" s="9" t="s">
        <v>257</v>
      </c>
      <c r="B487" s="3">
        <v>1</v>
      </c>
      <c r="C487" s="4" t="str">
        <f t="shared" si="28"/>
        <v>Bad</v>
      </c>
      <c r="D487" s="3" t="s">
        <v>638</v>
      </c>
      <c r="E487" s="3" t="s">
        <v>1009</v>
      </c>
      <c r="F487" s="5" t="s">
        <v>1000</v>
      </c>
      <c r="G487" s="4" t="str">
        <f t="shared" si="29"/>
        <v>2nd</v>
      </c>
      <c r="H487" s="4" t="str">
        <f t="shared" si="30"/>
        <v>January</v>
      </c>
      <c r="I487" s="4" t="str">
        <f t="shared" si="31"/>
        <v>2023</v>
      </c>
      <c r="J487" s="10" t="s">
        <v>12</v>
      </c>
    </row>
    <row r="488" spans="1:10" x14ac:dyDescent="0.35">
      <c r="A488" s="9" t="s">
        <v>257</v>
      </c>
      <c r="B488" s="3">
        <v>1</v>
      </c>
      <c r="C488" s="4" t="str">
        <f t="shared" si="28"/>
        <v>Bad</v>
      </c>
      <c r="D488" s="3" t="s">
        <v>1010</v>
      </c>
      <c r="E488" s="3" t="s">
        <v>476</v>
      </c>
      <c r="F488" s="5" t="s">
        <v>1000</v>
      </c>
      <c r="G488" s="4" t="str">
        <f t="shared" si="29"/>
        <v>2nd</v>
      </c>
      <c r="H488" s="4" t="str">
        <f t="shared" si="30"/>
        <v>January</v>
      </c>
      <c r="I488" s="4" t="str">
        <f t="shared" si="31"/>
        <v>2023</v>
      </c>
      <c r="J488" s="10" t="s">
        <v>12</v>
      </c>
    </row>
    <row r="489" spans="1:10" x14ac:dyDescent="0.35">
      <c r="A489" s="9" t="s">
        <v>257</v>
      </c>
      <c r="B489" s="3">
        <v>10</v>
      </c>
      <c r="C489" s="4" t="str">
        <f t="shared" si="28"/>
        <v>Good</v>
      </c>
      <c r="D489" s="3" t="s">
        <v>1011</v>
      </c>
      <c r="E489" s="3" t="s">
        <v>1012</v>
      </c>
      <c r="F489" s="5" t="s">
        <v>1000</v>
      </c>
      <c r="G489" s="4" t="str">
        <f t="shared" si="29"/>
        <v>2nd</v>
      </c>
      <c r="H489" s="4" t="str">
        <f t="shared" si="30"/>
        <v>January</v>
      </c>
      <c r="I489" s="4" t="str">
        <f t="shared" si="31"/>
        <v>2023</v>
      </c>
      <c r="J489" s="10" t="s">
        <v>9</v>
      </c>
    </row>
    <row r="490" spans="1:10" x14ac:dyDescent="0.35">
      <c r="A490" s="9" t="s">
        <v>257</v>
      </c>
      <c r="B490" s="3">
        <v>3</v>
      </c>
      <c r="C490" s="4" t="str">
        <f t="shared" si="28"/>
        <v>Bad</v>
      </c>
      <c r="D490" s="3" t="s">
        <v>1013</v>
      </c>
      <c r="E490" s="3" t="s">
        <v>1014</v>
      </c>
      <c r="F490" s="5" t="s">
        <v>1000</v>
      </c>
      <c r="G490" s="4" t="str">
        <f t="shared" si="29"/>
        <v>2nd</v>
      </c>
      <c r="H490" s="4" t="str">
        <f t="shared" si="30"/>
        <v>January</v>
      </c>
      <c r="I490" s="4" t="str">
        <f t="shared" si="31"/>
        <v>2023</v>
      </c>
      <c r="J490" s="10" t="s">
        <v>12</v>
      </c>
    </row>
    <row r="491" spans="1:10" x14ac:dyDescent="0.35">
      <c r="A491" s="9" t="s">
        <v>257</v>
      </c>
      <c r="B491" s="3">
        <v>10</v>
      </c>
      <c r="C491" s="4" t="str">
        <f t="shared" si="28"/>
        <v>Good</v>
      </c>
      <c r="D491" s="3" t="s">
        <v>1015</v>
      </c>
      <c r="E491" s="3" t="s">
        <v>1016</v>
      </c>
      <c r="F491" s="5" t="s">
        <v>1000</v>
      </c>
      <c r="G491" s="4" t="str">
        <f t="shared" si="29"/>
        <v>2nd</v>
      </c>
      <c r="H491" s="4" t="str">
        <f t="shared" si="30"/>
        <v>January</v>
      </c>
      <c r="I491" s="4" t="str">
        <f t="shared" si="31"/>
        <v>2023</v>
      </c>
      <c r="J491" s="10" t="s">
        <v>9</v>
      </c>
    </row>
    <row r="492" spans="1:10" x14ac:dyDescent="0.35">
      <c r="A492" s="9" t="s">
        <v>257</v>
      </c>
      <c r="B492" s="3">
        <v>7</v>
      </c>
      <c r="C492" s="4" t="str">
        <f t="shared" si="28"/>
        <v>Neutral</v>
      </c>
      <c r="D492" s="3" t="s">
        <v>1017</v>
      </c>
      <c r="E492" s="3" t="s">
        <v>1018</v>
      </c>
      <c r="F492" s="5" t="s">
        <v>1019</v>
      </c>
      <c r="G492" s="4" t="str">
        <f t="shared" si="29"/>
        <v>11th</v>
      </c>
      <c r="H492" s="4" t="str">
        <f t="shared" si="30"/>
        <v>December</v>
      </c>
      <c r="I492" s="4" t="str">
        <f t="shared" si="31"/>
        <v>2022</v>
      </c>
      <c r="J492" s="10" t="s">
        <v>9</v>
      </c>
    </row>
    <row r="493" spans="1:10" x14ac:dyDescent="0.35">
      <c r="A493" s="9" t="s">
        <v>257</v>
      </c>
      <c r="B493" s="3">
        <v>1</v>
      </c>
      <c r="C493" s="4" t="str">
        <f t="shared" si="28"/>
        <v>Bad</v>
      </c>
      <c r="D493" s="3" t="s">
        <v>1020</v>
      </c>
      <c r="E493" s="3" t="s">
        <v>1021</v>
      </c>
      <c r="F493" s="5" t="s">
        <v>1019</v>
      </c>
      <c r="G493" s="4" t="str">
        <f t="shared" si="29"/>
        <v>11th</v>
      </c>
      <c r="H493" s="4" t="str">
        <f t="shared" si="30"/>
        <v>December</v>
      </c>
      <c r="I493" s="4" t="str">
        <f t="shared" si="31"/>
        <v>2022</v>
      </c>
      <c r="J493" s="10" t="s">
        <v>12</v>
      </c>
    </row>
    <row r="494" spans="1:10" x14ac:dyDescent="0.35">
      <c r="A494" s="9" t="s">
        <v>257</v>
      </c>
      <c r="B494" s="3">
        <v>1</v>
      </c>
      <c r="C494" s="4" t="str">
        <f t="shared" si="28"/>
        <v>Bad</v>
      </c>
      <c r="D494" s="3" t="s">
        <v>1022</v>
      </c>
      <c r="E494" s="3" t="s">
        <v>1023</v>
      </c>
      <c r="F494" s="5" t="s">
        <v>1019</v>
      </c>
      <c r="G494" s="4" t="str">
        <f t="shared" si="29"/>
        <v>11th</v>
      </c>
      <c r="H494" s="4" t="str">
        <f t="shared" si="30"/>
        <v>December</v>
      </c>
      <c r="I494" s="4" t="str">
        <f t="shared" si="31"/>
        <v>2022</v>
      </c>
      <c r="J494" s="10" t="s">
        <v>12</v>
      </c>
    </row>
    <row r="495" spans="1:10" x14ac:dyDescent="0.35">
      <c r="A495" s="9" t="s">
        <v>257</v>
      </c>
      <c r="B495" s="3">
        <v>2</v>
      </c>
      <c r="C495" s="4" t="str">
        <f t="shared" si="28"/>
        <v>Bad</v>
      </c>
      <c r="D495" s="3" t="s">
        <v>1024</v>
      </c>
      <c r="E495" s="3" t="s">
        <v>1025</v>
      </c>
      <c r="F495" s="5" t="s">
        <v>1019</v>
      </c>
      <c r="G495" s="4" t="str">
        <f t="shared" si="29"/>
        <v>11th</v>
      </c>
      <c r="H495" s="4" t="str">
        <f t="shared" si="30"/>
        <v>December</v>
      </c>
      <c r="I495" s="4" t="str">
        <f t="shared" si="31"/>
        <v>2022</v>
      </c>
      <c r="J495" s="10" t="s">
        <v>12</v>
      </c>
    </row>
    <row r="496" spans="1:10" x14ac:dyDescent="0.35">
      <c r="A496" s="9" t="s">
        <v>257</v>
      </c>
      <c r="B496" s="3">
        <v>6</v>
      </c>
      <c r="C496" s="4" t="str">
        <f t="shared" si="28"/>
        <v>Neutral</v>
      </c>
      <c r="D496" s="3" t="s">
        <v>1026</v>
      </c>
      <c r="E496" s="3" t="s">
        <v>1027</v>
      </c>
      <c r="F496" s="5" t="s">
        <v>1019</v>
      </c>
      <c r="G496" s="4" t="str">
        <f t="shared" si="29"/>
        <v>11th</v>
      </c>
      <c r="H496" s="4" t="str">
        <f t="shared" si="30"/>
        <v>December</v>
      </c>
      <c r="I496" s="4" t="str">
        <f t="shared" si="31"/>
        <v>2022</v>
      </c>
      <c r="J496" s="10" t="s">
        <v>12</v>
      </c>
    </row>
    <row r="497" spans="1:10" x14ac:dyDescent="0.35">
      <c r="A497" s="9" t="s">
        <v>257</v>
      </c>
      <c r="B497" s="3">
        <v>9</v>
      </c>
      <c r="C497" s="4" t="str">
        <f t="shared" si="28"/>
        <v>Good</v>
      </c>
      <c r="D497" s="3" t="s">
        <v>1028</v>
      </c>
      <c r="E497" s="3" t="s">
        <v>1029</v>
      </c>
      <c r="F497" s="5" t="s">
        <v>1019</v>
      </c>
      <c r="G497" s="4" t="str">
        <f t="shared" si="29"/>
        <v>11th</v>
      </c>
      <c r="H497" s="4" t="str">
        <f t="shared" si="30"/>
        <v>December</v>
      </c>
      <c r="I497" s="4" t="str">
        <f t="shared" si="31"/>
        <v>2022</v>
      </c>
      <c r="J497" s="10" t="s">
        <v>9</v>
      </c>
    </row>
    <row r="498" spans="1:10" x14ac:dyDescent="0.35">
      <c r="A498" s="9" t="s">
        <v>257</v>
      </c>
      <c r="B498" s="3">
        <v>6</v>
      </c>
      <c r="C498" s="4" t="str">
        <f t="shared" si="28"/>
        <v>Neutral</v>
      </c>
      <c r="D498" s="3" t="s">
        <v>1030</v>
      </c>
      <c r="E498" s="3" t="s">
        <v>1031</v>
      </c>
      <c r="F498" s="5" t="s">
        <v>1019</v>
      </c>
      <c r="G498" s="4" t="str">
        <f t="shared" si="29"/>
        <v>11th</v>
      </c>
      <c r="H498" s="4" t="str">
        <f t="shared" si="30"/>
        <v>December</v>
      </c>
      <c r="I498" s="4" t="str">
        <f t="shared" si="31"/>
        <v>2022</v>
      </c>
      <c r="J498" s="10" t="s">
        <v>9</v>
      </c>
    </row>
    <row r="499" spans="1:10" x14ac:dyDescent="0.35">
      <c r="A499" s="9" t="s">
        <v>257</v>
      </c>
      <c r="B499" s="3">
        <v>9</v>
      </c>
      <c r="C499" s="4" t="str">
        <f t="shared" si="28"/>
        <v>Good</v>
      </c>
      <c r="D499" s="3" t="s">
        <v>1032</v>
      </c>
      <c r="E499" s="3" t="s">
        <v>1033</v>
      </c>
      <c r="F499" s="5" t="s">
        <v>1019</v>
      </c>
      <c r="G499" s="4" t="str">
        <f t="shared" si="29"/>
        <v>11th</v>
      </c>
      <c r="H499" s="4" t="str">
        <f t="shared" si="30"/>
        <v>December</v>
      </c>
      <c r="I499" s="4" t="str">
        <f t="shared" si="31"/>
        <v>2022</v>
      </c>
      <c r="J499" s="10" t="s">
        <v>9</v>
      </c>
    </row>
    <row r="500" spans="1:10" x14ac:dyDescent="0.35">
      <c r="A500" s="9" t="s">
        <v>257</v>
      </c>
      <c r="B500" s="3">
        <v>2</v>
      </c>
      <c r="C500" s="4" t="str">
        <f t="shared" si="28"/>
        <v>Bad</v>
      </c>
      <c r="D500" s="3" t="s">
        <v>1034</v>
      </c>
      <c r="E500" s="3" t="s">
        <v>1035</v>
      </c>
      <c r="F500" s="5" t="s">
        <v>1019</v>
      </c>
      <c r="G500" s="4" t="str">
        <f t="shared" si="29"/>
        <v>11th</v>
      </c>
      <c r="H500" s="4" t="str">
        <f t="shared" si="30"/>
        <v>December</v>
      </c>
      <c r="I500" s="4" t="str">
        <f t="shared" si="31"/>
        <v>2022</v>
      </c>
      <c r="J500" s="10" t="s">
        <v>12</v>
      </c>
    </row>
    <row r="501" spans="1:10" x14ac:dyDescent="0.35">
      <c r="A501" s="9" t="s">
        <v>257</v>
      </c>
      <c r="B501" s="3">
        <v>5</v>
      </c>
      <c r="C501" s="4" t="str">
        <f t="shared" si="28"/>
        <v>Neutral</v>
      </c>
      <c r="D501" s="3" t="s">
        <v>1036</v>
      </c>
      <c r="E501" s="3" t="s">
        <v>1037</v>
      </c>
      <c r="F501" s="5" t="s">
        <v>1019</v>
      </c>
      <c r="G501" s="4" t="str">
        <f t="shared" si="29"/>
        <v>11th</v>
      </c>
      <c r="H501" s="4" t="str">
        <f t="shared" si="30"/>
        <v>December</v>
      </c>
      <c r="I501" s="4" t="str">
        <f t="shared" si="31"/>
        <v>2022</v>
      </c>
      <c r="J501" s="10" t="s">
        <v>12</v>
      </c>
    </row>
    <row r="502" spans="1:10" x14ac:dyDescent="0.35">
      <c r="A502" s="9" t="s">
        <v>257</v>
      </c>
      <c r="B502" s="3">
        <v>1</v>
      </c>
      <c r="C502" s="4" t="str">
        <f t="shared" si="28"/>
        <v>Bad</v>
      </c>
      <c r="D502" s="3" t="s">
        <v>1038</v>
      </c>
      <c r="E502" s="3" t="s">
        <v>1039</v>
      </c>
      <c r="F502" s="5" t="s">
        <v>1040</v>
      </c>
      <c r="G502" s="4" t="str">
        <f t="shared" si="29"/>
        <v>19th</v>
      </c>
      <c r="H502" s="4" t="str">
        <f t="shared" si="30"/>
        <v>November</v>
      </c>
      <c r="I502" s="4" t="str">
        <f t="shared" si="31"/>
        <v>2022</v>
      </c>
      <c r="J502" s="10" t="s">
        <v>12</v>
      </c>
    </row>
    <row r="503" spans="1:10" x14ac:dyDescent="0.35">
      <c r="A503" s="9" t="s">
        <v>257</v>
      </c>
      <c r="B503" s="3">
        <v>2</v>
      </c>
      <c r="C503" s="4" t="str">
        <f t="shared" si="28"/>
        <v>Bad</v>
      </c>
      <c r="D503" s="3" t="s">
        <v>1041</v>
      </c>
      <c r="E503" s="3" t="s">
        <v>1042</v>
      </c>
      <c r="F503" s="5" t="s">
        <v>1040</v>
      </c>
      <c r="G503" s="4" t="str">
        <f t="shared" si="29"/>
        <v>19th</v>
      </c>
      <c r="H503" s="4" t="str">
        <f t="shared" si="30"/>
        <v>November</v>
      </c>
      <c r="I503" s="4" t="str">
        <f t="shared" si="31"/>
        <v>2022</v>
      </c>
      <c r="J503" s="10" t="s">
        <v>9</v>
      </c>
    </row>
    <row r="504" spans="1:10" x14ac:dyDescent="0.35">
      <c r="A504" s="9" t="s">
        <v>257</v>
      </c>
      <c r="B504" s="3">
        <v>1</v>
      </c>
      <c r="C504" s="4" t="str">
        <f t="shared" si="28"/>
        <v>Bad</v>
      </c>
      <c r="D504" s="3" t="s">
        <v>1043</v>
      </c>
      <c r="E504" s="3" t="s">
        <v>1044</v>
      </c>
      <c r="F504" s="5" t="s">
        <v>1040</v>
      </c>
      <c r="G504" s="4" t="str">
        <f t="shared" si="29"/>
        <v>19th</v>
      </c>
      <c r="H504" s="4" t="str">
        <f t="shared" si="30"/>
        <v>November</v>
      </c>
      <c r="I504" s="4" t="str">
        <f t="shared" si="31"/>
        <v>2022</v>
      </c>
      <c r="J504" s="10" t="s">
        <v>12</v>
      </c>
    </row>
    <row r="505" spans="1:10" x14ac:dyDescent="0.35">
      <c r="A505" s="9" t="s">
        <v>257</v>
      </c>
      <c r="B505" s="3">
        <v>1</v>
      </c>
      <c r="C505" s="4" t="str">
        <f t="shared" si="28"/>
        <v>Bad</v>
      </c>
      <c r="D505" s="3" t="s">
        <v>1045</v>
      </c>
      <c r="E505" s="3" t="s">
        <v>1046</v>
      </c>
      <c r="F505" s="5" t="s">
        <v>1040</v>
      </c>
      <c r="G505" s="4" t="str">
        <f t="shared" si="29"/>
        <v>19th</v>
      </c>
      <c r="H505" s="4" t="str">
        <f t="shared" si="30"/>
        <v>November</v>
      </c>
      <c r="I505" s="4" t="str">
        <f t="shared" si="31"/>
        <v>2022</v>
      </c>
      <c r="J505" s="10" t="s">
        <v>12</v>
      </c>
    </row>
    <row r="506" spans="1:10" x14ac:dyDescent="0.35">
      <c r="A506" s="9" t="s">
        <v>257</v>
      </c>
      <c r="B506" s="3">
        <v>2</v>
      </c>
      <c r="C506" s="4" t="str">
        <f t="shared" si="28"/>
        <v>Bad</v>
      </c>
      <c r="D506" s="3" t="s">
        <v>1047</v>
      </c>
      <c r="E506" s="3" t="s">
        <v>1048</v>
      </c>
      <c r="F506" s="5" t="s">
        <v>1040</v>
      </c>
      <c r="G506" s="4" t="str">
        <f t="shared" si="29"/>
        <v>19th</v>
      </c>
      <c r="H506" s="4" t="str">
        <f t="shared" si="30"/>
        <v>November</v>
      </c>
      <c r="I506" s="4" t="str">
        <f t="shared" si="31"/>
        <v>2022</v>
      </c>
      <c r="J506" s="10" t="s">
        <v>12</v>
      </c>
    </row>
    <row r="507" spans="1:10" x14ac:dyDescent="0.35">
      <c r="A507" s="9" t="s">
        <v>257</v>
      </c>
      <c r="B507" s="3">
        <v>7</v>
      </c>
      <c r="C507" s="4" t="str">
        <f t="shared" si="28"/>
        <v>Neutral</v>
      </c>
      <c r="D507" s="3" t="s">
        <v>1049</v>
      </c>
      <c r="E507" s="3" t="s">
        <v>1050</v>
      </c>
      <c r="F507" s="5" t="s">
        <v>1040</v>
      </c>
      <c r="G507" s="4" t="str">
        <f t="shared" si="29"/>
        <v>19th</v>
      </c>
      <c r="H507" s="4" t="str">
        <f t="shared" si="30"/>
        <v>November</v>
      </c>
      <c r="I507" s="4" t="str">
        <f t="shared" si="31"/>
        <v>2022</v>
      </c>
      <c r="J507" s="10" t="s">
        <v>9</v>
      </c>
    </row>
    <row r="508" spans="1:10" x14ac:dyDescent="0.35">
      <c r="A508" s="9" t="s">
        <v>257</v>
      </c>
      <c r="B508" s="3">
        <v>7</v>
      </c>
      <c r="C508" s="4" t="str">
        <f t="shared" si="28"/>
        <v>Neutral</v>
      </c>
      <c r="D508" s="3" t="s">
        <v>1051</v>
      </c>
      <c r="E508" s="3" t="s">
        <v>35</v>
      </c>
      <c r="F508" s="5" t="s">
        <v>1040</v>
      </c>
      <c r="G508" s="4" t="str">
        <f t="shared" si="29"/>
        <v>19th</v>
      </c>
      <c r="H508" s="4" t="str">
        <f t="shared" si="30"/>
        <v>November</v>
      </c>
      <c r="I508" s="4" t="str">
        <f t="shared" si="31"/>
        <v>2022</v>
      </c>
      <c r="J508" s="10" t="s">
        <v>9</v>
      </c>
    </row>
    <row r="509" spans="1:10" x14ac:dyDescent="0.35">
      <c r="A509" s="9" t="s">
        <v>257</v>
      </c>
      <c r="B509" s="3">
        <v>7</v>
      </c>
      <c r="C509" s="4" t="str">
        <f t="shared" si="28"/>
        <v>Neutral</v>
      </c>
      <c r="D509" s="3" t="s">
        <v>1052</v>
      </c>
      <c r="E509" s="3" t="s">
        <v>1053</v>
      </c>
      <c r="F509" s="5" t="s">
        <v>1040</v>
      </c>
      <c r="G509" s="4" t="str">
        <f t="shared" si="29"/>
        <v>19th</v>
      </c>
      <c r="H509" s="4" t="str">
        <f t="shared" si="30"/>
        <v>November</v>
      </c>
      <c r="I509" s="4" t="str">
        <f t="shared" si="31"/>
        <v>2022</v>
      </c>
      <c r="J509" s="10" t="s">
        <v>9</v>
      </c>
    </row>
    <row r="510" spans="1:10" x14ac:dyDescent="0.35">
      <c r="A510" s="9" t="s">
        <v>257</v>
      </c>
      <c r="B510" s="3">
        <v>8</v>
      </c>
      <c r="C510" s="4" t="str">
        <f t="shared" si="28"/>
        <v>Good</v>
      </c>
      <c r="D510" s="3" t="s">
        <v>1054</v>
      </c>
      <c r="E510" s="3" t="s">
        <v>1055</v>
      </c>
      <c r="F510" s="5" t="s">
        <v>1040</v>
      </c>
      <c r="G510" s="4" t="str">
        <f t="shared" si="29"/>
        <v>19th</v>
      </c>
      <c r="H510" s="4" t="str">
        <f t="shared" si="30"/>
        <v>November</v>
      </c>
      <c r="I510" s="4" t="str">
        <f t="shared" si="31"/>
        <v>2022</v>
      </c>
      <c r="J510" s="10" t="s">
        <v>9</v>
      </c>
    </row>
    <row r="511" spans="1:10" x14ac:dyDescent="0.35">
      <c r="A511" s="9" t="s">
        <v>257</v>
      </c>
      <c r="B511" s="3">
        <v>1</v>
      </c>
      <c r="C511" s="4" t="str">
        <f t="shared" si="28"/>
        <v>Bad</v>
      </c>
      <c r="D511" s="3" t="s">
        <v>1056</v>
      </c>
      <c r="E511" s="3" t="s">
        <v>1057</v>
      </c>
      <c r="F511" s="5" t="s">
        <v>1040</v>
      </c>
      <c r="G511" s="4" t="str">
        <f t="shared" si="29"/>
        <v>19th</v>
      </c>
      <c r="H511" s="4" t="str">
        <f t="shared" si="30"/>
        <v>November</v>
      </c>
      <c r="I511" s="4" t="str">
        <f t="shared" si="31"/>
        <v>2022</v>
      </c>
      <c r="J511" s="10" t="s">
        <v>12</v>
      </c>
    </row>
    <row r="512" spans="1:10" x14ac:dyDescent="0.35">
      <c r="A512" s="9" t="s">
        <v>257</v>
      </c>
      <c r="B512" s="3">
        <v>1</v>
      </c>
      <c r="C512" s="4" t="str">
        <f t="shared" si="28"/>
        <v>Bad</v>
      </c>
      <c r="D512" s="3" t="s">
        <v>1058</v>
      </c>
      <c r="E512" s="3" t="s">
        <v>1059</v>
      </c>
      <c r="F512" s="5" t="s">
        <v>1060</v>
      </c>
      <c r="G512" s="4" t="str">
        <f t="shared" si="29"/>
        <v>25th</v>
      </c>
      <c r="H512" s="4" t="str">
        <f t="shared" si="30"/>
        <v>October</v>
      </c>
      <c r="I512" s="4" t="str">
        <f t="shared" si="31"/>
        <v>2022</v>
      </c>
      <c r="J512" s="10" t="s">
        <v>12</v>
      </c>
    </row>
    <row r="513" spans="1:10" x14ac:dyDescent="0.35">
      <c r="A513" s="9" t="s">
        <v>257</v>
      </c>
      <c r="B513" s="3">
        <v>1</v>
      </c>
      <c r="C513" s="4" t="str">
        <f t="shared" si="28"/>
        <v>Bad</v>
      </c>
      <c r="D513" s="3" t="s">
        <v>1061</v>
      </c>
      <c r="E513" s="3" t="s">
        <v>1062</v>
      </c>
      <c r="F513" s="5" t="s">
        <v>1060</v>
      </c>
      <c r="G513" s="4" t="str">
        <f t="shared" si="29"/>
        <v>25th</v>
      </c>
      <c r="H513" s="4" t="str">
        <f t="shared" si="30"/>
        <v>October</v>
      </c>
      <c r="I513" s="4" t="str">
        <f t="shared" si="31"/>
        <v>2022</v>
      </c>
      <c r="J513" s="10" t="s">
        <v>12</v>
      </c>
    </row>
    <row r="514" spans="1:10" x14ac:dyDescent="0.35">
      <c r="A514" s="9" t="s">
        <v>257</v>
      </c>
      <c r="B514" s="3">
        <v>3</v>
      </c>
      <c r="C514" s="4" t="str">
        <f t="shared" si="28"/>
        <v>Bad</v>
      </c>
      <c r="D514" s="3" t="s">
        <v>1063</v>
      </c>
      <c r="E514" s="3" t="s">
        <v>1064</v>
      </c>
      <c r="F514" s="5" t="s">
        <v>1060</v>
      </c>
      <c r="G514" s="4" t="str">
        <f t="shared" si="29"/>
        <v>25th</v>
      </c>
      <c r="H514" s="4" t="str">
        <f t="shared" si="30"/>
        <v>October</v>
      </c>
      <c r="I514" s="4" t="str">
        <f t="shared" si="31"/>
        <v>2022</v>
      </c>
      <c r="J514" s="10" t="s">
        <v>12</v>
      </c>
    </row>
    <row r="515" spans="1:10" x14ac:dyDescent="0.35">
      <c r="A515" s="9" t="s">
        <v>257</v>
      </c>
      <c r="B515" s="3">
        <v>2</v>
      </c>
      <c r="C515" s="4" t="str">
        <f t="shared" ref="C515:C578" si="32">IF(B515&gt;=8,"Good",IF(B515&gt;=5,"Neutral","Bad"))</f>
        <v>Bad</v>
      </c>
      <c r="D515" s="3" t="s">
        <v>1065</v>
      </c>
      <c r="E515" s="3" t="s">
        <v>1066</v>
      </c>
      <c r="F515" s="5" t="s">
        <v>1060</v>
      </c>
      <c r="G515" s="4" t="str">
        <f t="shared" ref="G515:G578" si="33">LEFT(F515, FIND(" ", F515)-1)</f>
        <v>25th</v>
      </c>
      <c r="H515" s="4" t="str">
        <f t="shared" ref="H515:H578" si="34">TRIM(MID(F515, FIND(" ", F515)+1, FIND(" ", F515, FIND(" ", F515)+1) - FIND(" ", F515)-1))</f>
        <v>October</v>
      </c>
      <c r="I515" s="4" t="str">
        <f t="shared" ref="I515:I578" si="35">RIGHT(F515, 4)</f>
        <v>2022</v>
      </c>
      <c r="J515" s="10" t="s">
        <v>12</v>
      </c>
    </row>
    <row r="516" spans="1:10" x14ac:dyDescent="0.35">
      <c r="A516" s="9" t="s">
        <v>257</v>
      </c>
      <c r="B516" s="3">
        <v>2</v>
      </c>
      <c r="C516" s="4" t="str">
        <f t="shared" si="32"/>
        <v>Bad</v>
      </c>
      <c r="D516" s="3" t="s">
        <v>1067</v>
      </c>
      <c r="E516" s="3" t="s">
        <v>1068</v>
      </c>
      <c r="F516" s="5" t="s">
        <v>1060</v>
      </c>
      <c r="G516" s="4" t="str">
        <f t="shared" si="33"/>
        <v>25th</v>
      </c>
      <c r="H516" s="4" t="str">
        <f t="shared" si="34"/>
        <v>October</v>
      </c>
      <c r="I516" s="4" t="str">
        <f t="shared" si="35"/>
        <v>2022</v>
      </c>
      <c r="J516" s="10" t="s">
        <v>12</v>
      </c>
    </row>
    <row r="517" spans="1:10" x14ac:dyDescent="0.35">
      <c r="A517" s="9" t="s">
        <v>257</v>
      </c>
      <c r="B517" s="3">
        <v>9</v>
      </c>
      <c r="C517" s="4" t="str">
        <f t="shared" si="32"/>
        <v>Good</v>
      </c>
      <c r="D517" s="3" t="s">
        <v>1069</v>
      </c>
      <c r="E517" s="3" t="s">
        <v>1070</v>
      </c>
      <c r="F517" s="5" t="s">
        <v>1060</v>
      </c>
      <c r="G517" s="4" t="str">
        <f t="shared" si="33"/>
        <v>25th</v>
      </c>
      <c r="H517" s="4" t="str">
        <f t="shared" si="34"/>
        <v>October</v>
      </c>
      <c r="I517" s="4" t="str">
        <f t="shared" si="35"/>
        <v>2022</v>
      </c>
      <c r="J517" s="10" t="s">
        <v>9</v>
      </c>
    </row>
    <row r="518" spans="1:10" x14ac:dyDescent="0.35">
      <c r="A518" s="9" t="s">
        <v>257</v>
      </c>
      <c r="B518" s="3">
        <v>10</v>
      </c>
      <c r="C518" s="4" t="str">
        <f t="shared" si="32"/>
        <v>Good</v>
      </c>
      <c r="D518" s="3" t="s">
        <v>1071</v>
      </c>
      <c r="E518" s="3" t="s">
        <v>1072</v>
      </c>
      <c r="F518" s="5" t="s">
        <v>1060</v>
      </c>
      <c r="G518" s="4" t="str">
        <f t="shared" si="33"/>
        <v>25th</v>
      </c>
      <c r="H518" s="4" t="str">
        <f t="shared" si="34"/>
        <v>October</v>
      </c>
      <c r="I518" s="4" t="str">
        <f t="shared" si="35"/>
        <v>2022</v>
      </c>
      <c r="J518" s="10" t="s">
        <v>9</v>
      </c>
    </row>
    <row r="519" spans="1:10" x14ac:dyDescent="0.35">
      <c r="A519" s="9" t="s">
        <v>257</v>
      </c>
      <c r="B519" s="3">
        <v>1</v>
      </c>
      <c r="C519" s="4" t="str">
        <f t="shared" si="32"/>
        <v>Bad</v>
      </c>
      <c r="D519" s="3" t="s">
        <v>1073</v>
      </c>
      <c r="E519" s="3" t="s">
        <v>1074</v>
      </c>
      <c r="F519" s="5" t="s">
        <v>1060</v>
      </c>
      <c r="G519" s="4" t="str">
        <f t="shared" si="33"/>
        <v>25th</v>
      </c>
      <c r="H519" s="4" t="str">
        <f t="shared" si="34"/>
        <v>October</v>
      </c>
      <c r="I519" s="4" t="str">
        <f t="shared" si="35"/>
        <v>2022</v>
      </c>
      <c r="J519" s="10" t="s">
        <v>12</v>
      </c>
    </row>
    <row r="520" spans="1:10" x14ac:dyDescent="0.35">
      <c r="A520" s="9" t="s">
        <v>257</v>
      </c>
      <c r="B520" s="3">
        <v>3</v>
      </c>
      <c r="C520" s="4" t="str">
        <f t="shared" si="32"/>
        <v>Bad</v>
      </c>
      <c r="D520" s="3" t="s">
        <v>1075</v>
      </c>
      <c r="E520" s="3" t="s">
        <v>1076</v>
      </c>
      <c r="F520" s="5" t="s">
        <v>1060</v>
      </c>
      <c r="G520" s="4" t="str">
        <f t="shared" si="33"/>
        <v>25th</v>
      </c>
      <c r="H520" s="4" t="str">
        <f t="shared" si="34"/>
        <v>October</v>
      </c>
      <c r="I520" s="4" t="str">
        <f t="shared" si="35"/>
        <v>2022</v>
      </c>
      <c r="J520" s="10" t="s">
        <v>12</v>
      </c>
    </row>
    <row r="521" spans="1:10" x14ac:dyDescent="0.35">
      <c r="A521" s="9" t="s">
        <v>257</v>
      </c>
      <c r="B521" s="3">
        <v>9</v>
      </c>
      <c r="C521" s="4" t="str">
        <f t="shared" si="32"/>
        <v>Good</v>
      </c>
      <c r="D521" s="3" t="s">
        <v>1077</v>
      </c>
      <c r="E521" s="3" t="s">
        <v>1078</v>
      </c>
      <c r="F521" s="5" t="s">
        <v>1060</v>
      </c>
      <c r="G521" s="4" t="str">
        <f t="shared" si="33"/>
        <v>25th</v>
      </c>
      <c r="H521" s="4" t="str">
        <f t="shared" si="34"/>
        <v>October</v>
      </c>
      <c r="I521" s="4" t="str">
        <f t="shared" si="35"/>
        <v>2022</v>
      </c>
      <c r="J521" s="10" t="s">
        <v>9</v>
      </c>
    </row>
    <row r="522" spans="1:10" x14ac:dyDescent="0.35">
      <c r="A522" s="9" t="s">
        <v>257</v>
      </c>
      <c r="B522" s="3">
        <v>9</v>
      </c>
      <c r="C522" s="4" t="str">
        <f t="shared" si="32"/>
        <v>Good</v>
      </c>
      <c r="D522" s="3" t="s">
        <v>1079</v>
      </c>
      <c r="E522" s="3" t="s">
        <v>1080</v>
      </c>
      <c r="F522" s="5" t="s">
        <v>1081</v>
      </c>
      <c r="G522" s="4" t="str">
        <f t="shared" si="33"/>
        <v>30th</v>
      </c>
      <c r="H522" s="4" t="str">
        <f t="shared" si="34"/>
        <v>September</v>
      </c>
      <c r="I522" s="4" t="str">
        <f t="shared" si="35"/>
        <v>2022</v>
      </c>
      <c r="J522" s="10" t="s">
        <v>9</v>
      </c>
    </row>
    <row r="523" spans="1:10" x14ac:dyDescent="0.35">
      <c r="A523" s="9" t="s">
        <v>257</v>
      </c>
      <c r="B523" s="3">
        <v>8</v>
      </c>
      <c r="C523" s="4" t="str">
        <f t="shared" si="32"/>
        <v>Good</v>
      </c>
      <c r="D523" s="3" t="s">
        <v>1082</v>
      </c>
      <c r="E523" s="3" t="s">
        <v>1083</v>
      </c>
      <c r="F523" s="5" t="s">
        <v>1081</v>
      </c>
      <c r="G523" s="4" t="str">
        <f t="shared" si="33"/>
        <v>30th</v>
      </c>
      <c r="H523" s="4" t="str">
        <f t="shared" si="34"/>
        <v>September</v>
      </c>
      <c r="I523" s="4" t="str">
        <f t="shared" si="35"/>
        <v>2022</v>
      </c>
      <c r="J523" s="10" t="s">
        <v>9</v>
      </c>
    </row>
    <row r="524" spans="1:10" x14ac:dyDescent="0.35">
      <c r="A524" s="9" t="s">
        <v>257</v>
      </c>
      <c r="B524" s="3">
        <v>4</v>
      </c>
      <c r="C524" s="4" t="str">
        <f t="shared" si="32"/>
        <v>Bad</v>
      </c>
      <c r="D524" s="3" t="s">
        <v>1084</v>
      </c>
      <c r="E524" s="3" t="s">
        <v>1085</v>
      </c>
      <c r="F524" s="5" t="s">
        <v>1081</v>
      </c>
      <c r="G524" s="4" t="str">
        <f t="shared" si="33"/>
        <v>30th</v>
      </c>
      <c r="H524" s="4" t="str">
        <f t="shared" si="34"/>
        <v>September</v>
      </c>
      <c r="I524" s="4" t="str">
        <f t="shared" si="35"/>
        <v>2022</v>
      </c>
      <c r="J524" s="10" t="s">
        <v>12</v>
      </c>
    </row>
    <row r="525" spans="1:10" x14ac:dyDescent="0.35">
      <c r="A525" s="9" t="s">
        <v>257</v>
      </c>
      <c r="B525" s="3">
        <v>7</v>
      </c>
      <c r="C525" s="4" t="str">
        <f t="shared" si="32"/>
        <v>Neutral</v>
      </c>
      <c r="D525" s="3" t="s">
        <v>1086</v>
      </c>
      <c r="E525" s="3" t="s">
        <v>1087</v>
      </c>
      <c r="F525" s="5" t="s">
        <v>1081</v>
      </c>
      <c r="G525" s="4" t="str">
        <f t="shared" si="33"/>
        <v>30th</v>
      </c>
      <c r="H525" s="4" t="str">
        <f t="shared" si="34"/>
        <v>September</v>
      </c>
      <c r="I525" s="4" t="str">
        <f t="shared" si="35"/>
        <v>2022</v>
      </c>
      <c r="J525" s="10" t="s">
        <v>9</v>
      </c>
    </row>
    <row r="526" spans="1:10" x14ac:dyDescent="0.35">
      <c r="A526" s="9" t="s">
        <v>257</v>
      </c>
      <c r="B526" s="3">
        <v>8</v>
      </c>
      <c r="C526" s="4" t="str">
        <f t="shared" si="32"/>
        <v>Good</v>
      </c>
      <c r="D526" s="3" t="s">
        <v>1088</v>
      </c>
      <c r="E526" s="3" t="s">
        <v>35</v>
      </c>
      <c r="F526" s="5" t="s">
        <v>1081</v>
      </c>
      <c r="G526" s="4" t="str">
        <f t="shared" si="33"/>
        <v>30th</v>
      </c>
      <c r="H526" s="4" t="str">
        <f t="shared" si="34"/>
        <v>September</v>
      </c>
      <c r="I526" s="4" t="str">
        <f t="shared" si="35"/>
        <v>2022</v>
      </c>
      <c r="J526" s="10" t="s">
        <v>9</v>
      </c>
    </row>
    <row r="527" spans="1:10" x14ac:dyDescent="0.35">
      <c r="A527" s="9" t="s">
        <v>257</v>
      </c>
      <c r="B527" s="3">
        <v>7</v>
      </c>
      <c r="C527" s="4" t="str">
        <f t="shared" si="32"/>
        <v>Neutral</v>
      </c>
      <c r="D527" s="3" t="s">
        <v>1089</v>
      </c>
      <c r="E527" s="3" t="s">
        <v>35</v>
      </c>
      <c r="F527" s="5" t="s">
        <v>1081</v>
      </c>
      <c r="G527" s="4" t="str">
        <f t="shared" si="33"/>
        <v>30th</v>
      </c>
      <c r="H527" s="4" t="str">
        <f t="shared" si="34"/>
        <v>September</v>
      </c>
      <c r="I527" s="4" t="str">
        <f t="shared" si="35"/>
        <v>2022</v>
      </c>
      <c r="J527" s="10" t="s">
        <v>9</v>
      </c>
    </row>
    <row r="528" spans="1:10" x14ac:dyDescent="0.35">
      <c r="A528" s="9" t="s">
        <v>257</v>
      </c>
      <c r="B528" s="3">
        <v>1</v>
      </c>
      <c r="C528" s="4" t="str">
        <f t="shared" si="32"/>
        <v>Bad</v>
      </c>
      <c r="D528" s="3" t="s">
        <v>1090</v>
      </c>
      <c r="E528" s="3" t="s">
        <v>1091</v>
      </c>
      <c r="F528" s="5" t="s">
        <v>1081</v>
      </c>
      <c r="G528" s="4" t="str">
        <f t="shared" si="33"/>
        <v>30th</v>
      </c>
      <c r="H528" s="4" t="str">
        <f t="shared" si="34"/>
        <v>September</v>
      </c>
      <c r="I528" s="4" t="str">
        <f t="shared" si="35"/>
        <v>2022</v>
      </c>
      <c r="J528" s="10" t="s">
        <v>12</v>
      </c>
    </row>
    <row r="529" spans="1:10" x14ac:dyDescent="0.35">
      <c r="A529" s="9" t="s">
        <v>257</v>
      </c>
      <c r="B529" s="3">
        <v>8</v>
      </c>
      <c r="C529" s="4" t="str">
        <f t="shared" si="32"/>
        <v>Good</v>
      </c>
      <c r="D529" s="3" t="s">
        <v>1092</v>
      </c>
      <c r="E529" s="3" t="s">
        <v>1093</v>
      </c>
      <c r="F529" s="5" t="s">
        <v>1081</v>
      </c>
      <c r="G529" s="4" t="str">
        <f t="shared" si="33"/>
        <v>30th</v>
      </c>
      <c r="H529" s="4" t="str">
        <f t="shared" si="34"/>
        <v>September</v>
      </c>
      <c r="I529" s="4" t="str">
        <f t="shared" si="35"/>
        <v>2022</v>
      </c>
      <c r="J529" s="10" t="s">
        <v>9</v>
      </c>
    </row>
    <row r="530" spans="1:10" x14ac:dyDescent="0.35">
      <c r="A530" s="9" t="s">
        <v>257</v>
      </c>
      <c r="B530" s="3">
        <v>3</v>
      </c>
      <c r="C530" s="4" t="str">
        <f t="shared" si="32"/>
        <v>Bad</v>
      </c>
      <c r="D530" s="3" t="s">
        <v>1094</v>
      </c>
      <c r="E530" s="3" t="s">
        <v>1095</v>
      </c>
      <c r="F530" s="5" t="s">
        <v>1081</v>
      </c>
      <c r="G530" s="4" t="str">
        <f t="shared" si="33"/>
        <v>30th</v>
      </c>
      <c r="H530" s="4" t="str">
        <f t="shared" si="34"/>
        <v>September</v>
      </c>
      <c r="I530" s="4" t="str">
        <f t="shared" si="35"/>
        <v>2022</v>
      </c>
      <c r="J530" s="10" t="s">
        <v>12</v>
      </c>
    </row>
    <row r="531" spans="1:10" x14ac:dyDescent="0.35">
      <c r="A531" s="9" t="s">
        <v>257</v>
      </c>
      <c r="B531" s="3">
        <v>1</v>
      </c>
      <c r="C531" s="4" t="str">
        <f t="shared" si="32"/>
        <v>Bad</v>
      </c>
      <c r="D531" s="3" t="s">
        <v>1096</v>
      </c>
      <c r="E531" s="3" t="s">
        <v>1097</v>
      </c>
      <c r="F531" s="5" t="s">
        <v>1081</v>
      </c>
      <c r="G531" s="4" t="str">
        <f t="shared" si="33"/>
        <v>30th</v>
      </c>
      <c r="H531" s="4" t="str">
        <f t="shared" si="34"/>
        <v>September</v>
      </c>
      <c r="I531" s="4" t="str">
        <f t="shared" si="35"/>
        <v>2022</v>
      </c>
      <c r="J531" s="10" t="s">
        <v>12</v>
      </c>
    </row>
    <row r="532" spans="1:10" x14ac:dyDescent="0.35">
      <c r="A532" s="9" t="s">
        <v>257</v>
      </c>
      <c r="B532" s="3">
        <v>1</v>
      </c>
      <c r="C532" s="4" t="str">
        <f t="shared" si="32"/>
        <v>Bad</v>
      </c>
      <c r="D532" s="3" t="s">
        <v>1098</v>
      </c>
      <c r="E532" s="3" t="s">
        <v>1099</v>
      </c>
      <c r="F532" s="5" t="s">
        <v>1100</v>
      </c>
      <c r="G532" s="4" t="str">
        <f t="shared" si="33"/>
        <v>15th</v>
      </c>
      <c r="H532" s="4" t="str">
        <f t="shared" si="34"/>
        <v>September</v>
      </c>
      <c r="I532" s="4" t="str">
        <f t="shared" si="35"/>
        <v>2022</v>
      </c>
      <c r="J532" s="10" t="s">
        <v>12</v>
      </c>
    </row>
    <row r="533" spans="1:10" x14ac:dyDescent="0.35">
      <c r="A533" s="9" t="s">
        <v>257</v>
      </c>
      <c r="B533" s="3">
        <v>6</v>
      </c>
      <c r="C533" s="4" t="str">
        <f t="shared" si="32"/>
        <v>Neutral</v>
      </c>
      <c r="D533" s="3" t="s">
        <v>1101</v>
      </c>
      <c r="E533" s="3" t="s">
        <v>1102</v>
      </c>
      <c r="F533" s="5" t="s">
        <v>1100</v>
      </c>
      <c r="G533" s="4" t="str">
        <f t="shared" si="33"/>
        <v>15th</v>
      </c>
      <c r="H533" s="4" t="str">
        <f t="shared" si="34"/>
        <v>September</v>
      </c>
      <c r="I533" s="4" t="str">
        <f t="shared" si="35"/>
        <v>2022</v>
      </c>
      <c r="J533" s="10" t="s">
        <v>9</v>
      </c>
    </row>
    <row r="534" spans="1:10" x14ac:dyDescent="0.35">
      <c r="A534" s="9" t="s">
        <v>257</v>
      </c>
      <c r="B534" s="3">
        <v>1</v>
      </c>
      <c r="C534" s="4" t="str">
        <f t="shared" si="32"/>
        <v>Bad</v>
      </c>
      <c r="D534" s="3" t="s">
        <v>1103</v>
      </c>
      <c r="E534" s="3" t="s">
        <v>1104</v>
      </c>
      <c r="F534" s="5" t="s">
        <v>1100</v>
      </c>
      <c r="G534" s="4" t="str">
        <f t="shared" si="33"/>
        <v>15th</v>
      </c>
      <c r="H534" s="4" t="str">
        <f t="shared" si="34"/>
        <v>September</v>
      </c>
      <c r="I534" s="4" t="str">
        <f t="shared" si="35"/>
        <v>2022</v>
      </c>
      <c r="J534" s="10" t="s">
        <v>12</v>
      </c>
    </row>
    <row r="535" spans="1:10" x14ac:dyDescent="0.35">
      <c r="A535" s="9" t="s">
        <v>257</v>
      </c>
      <c r="B535" s="3">
        <v>3</v>
      </c>
      <c r="C535" s="4" t="str">
        <f t="shared" si="32"/>
        <v>Bad</v>
      </c>
      <c r="D535" s="3" t="s">
        <v>1105</v>
      </c>
      <c r="E535" s="3" t="s">
        <v>1106</v>
      </c>
      <c r="F535" s="5" t="s">
        <v>1100</v>
      </c>
      <c r="G535" s="4" t="str">
        <f t="shared" si="33"/>
        <v>15th</v>
      </c>
      <c r="H535" s="4" t="str">
        <f t="shared" si="34"/>
        <v>September</v>
      </c>
      <c r="I535" s="4" t="str">
        <f t="shared" si="35"/>
        <v>2022</v>
      </c>
      <c r="J535" s="10" t="s">
        <v>12</v>
      </c>
    </row>
    <row r="536" spans="1:10" x14ac:dyDescent="0.35">
      <c r="A536" s="9" t="s">
        <v>257</v>
      </c>
      <c r="B536" s="3">
        <v>1</v>
      </c>
      <c r="C536" s="4" t="str">
        <f t="shared" si="32"/>
        <v>Bad</v>
      </c>
      <c r="D536" s="3" t="s">
        <v>1107</v>
      </c>
      <c r="E536" s="3" t="s">
        <v>1108</v>
      </c>
      <c r="F536" s="5" t="s">
        <v>1100</v>
      </c>
      <c r="G536" s="4" t="str">
        <f t="shared" si="33"/>
        <v>15th</v>
      </c>
      <c r="H536" s="4" t="str">
        <f t="shared" si="34"/>
        <v>September</v>
      </c>
      <c r="I536" s="4" t="str">
        <f t="shared" si="35"/>
        <v>2022</v>
      </c>
      <c r="J536" s="10" t="s">
        <v>12</v>
      </c>
    </row>
    <row r="537" spans="1:10" x14ac:dyDescent="0.35">
      <c r="A537" s="9" t="s">
        <v>257</v>
      </c>
      <c r="B537" s="3">
        <v>1</v>
      </c>
      <c r="C537" s="4" t="str">
        <f t="shared" si="32"/>
        <v>Bad</v>
      </c>
      <c r="D537" s="3" t="s">
        <v>1109</v>
      </c>
      <c r="E537" s="3" t="s">
        <v>1110</v>
      </c>
      <c r="F537" s="5" t="s">
        <v>1100</v>
      </c>
      <c r="G537" s="4" t="str">
        <f t="shared" si="33"/>
        <v>15th</v>
      </c>
      <c r="H537" s="4" t="str">
        <f t="shared" si="34"/>
        <v>September</v>
      </c>
      <c r="I537" s="4" t="str">
        <f t="shared" si="35"/>
        <v>2022</v>
      </c>
      <c r="J537" s="10" t="s">
        <v>12</v>
      </c>
    </row>
    <row r="538" spans="1:10" x14ac:dyDescent="0.35">
      <c r="A538" s="9" t="s">
        <v>257</v>
      </c>
      <c r="B538" s="3">
        <v>4</v>
      </c>
      <c r="C538" s="4" t="str">
        <f t="shared" si="32"/>
        <v>Bad</v>
      </c>
      <c r="D538" s="3" t="s">
        <v>1111</v>
      </c>
      <c r="E538" s="3" t="s">
        <v>1112</v>
      </c>
      <c r="F538" s="5" t="s">
        <v>1100</v>
      </c>
      <c r="G538" s="4" t="str">
        <f t="shared" si="33"/>
        <v>15th</v>
      </c>
      <c r="H538" s="4" t="str">
        <f t="shared" si="34"/>
        <v>September</v>
      </c>
      <c r="I538" s="4" t="str">
        <f t="shared" si="35"/>
        <v>2022</v>
      </c>
      <c r="J538" s="10" t="s">
        <v>12</v>
      </c>
    </row>
    <row r="539" spans="1:10" x14ac:dyDescent="0.35">
      <c r="A539" s="9" t="s">
        <v>257</v>
      </c>
      <c r="B539" s="3">
        <v>3</v>
      </c>
      <c r="C539" s="4" t="str">
        <f t="shared" si="32"/>
        <v>Bad</v>
      </c>
      <c r="D539" s="3" t="s">
        <v>1113</v>
      </c>
      <c r="E539" s="3" t="s">
        <v>1114</v>
      </c>
      <c r="F539" s="5" t="s">
        <v>1100</v>
      </c>
      <c r="G539" s="4" t="str">
        <f t="shared" si="33"/>
        <v>15th</v>
      </c>
      <c r="H539" s="4" t="str">
        <f t="shared" si="34"/>
        <v>September</v>
      </c>
      <c r="I539" s="4" t="str">
        <f t="shared" si="35"/>
        <v>2022</v>
      </c>
      <c r="J539" s="10" t="s">
        <v>12</v>
      </c>
    </row>
    <row r="540" spans="1:10" x14ac:dyDescent="0.35">
      <c r="A540" s="9" t="s">
        <v>257</v>
      </c>
      <c r="B540" s="3">
        <v>1</v>
      </c>
      <c r="C540" s="4" t="str">
        <f t="shared" si="32"/>
        <v>Bad</v>
      </c>
      <c r="D540" s="3" t="s">
        <v>1115</v>
      </c>
      <c r="E540" s="3" t="s">
        <v>1116</v>
      </c>
      <c r="F540" s="5" t="s">
        <v>1100</v>
      </c>
      <c r="G540" s="4" t="str">
        <f t="shared" si="33"/>
        <v>15th</v>
      </c>
      <c r="H540" s="4" t="str">
        <f t="shared" si="34"/>
        <v>September</v>
      </c>
      <c r="I540" s="4" t="str">
        <f t="shared" si="35"/>
        <v>2022</v>
      </c>
      <c r="J540" s="10" t="s">
        <v>12</v>
      </c>
    </row>
    <row r="541" spans="1:10" x14ac:dyDescent="0.35">
      <c r="A541" s="9" t="s">
        <v>257</v>
      </c>
      <c r="B541" s="3">
        <v>8</v>
      </c>
      <c r="C541" s="4" t="str">
        <f t="shared" si="32"/>
        <v>Good</v>
      </c>
      <c r="D541" s="3" t="s">
        <v>1117</v>
      </c>
      <c r="E541" s="3" t="s">
        <v>1118</v>
      </c>
      <c r="F541" s="5" t="s">
        <v>1100</v>
      </c>
      <c r="G541" s="4" t="str">
        <f t="shared" si="33"/>
        <v>15th</v>
      </c>
      <c r="H541" s="4" t="str">
        <f t="shared" si="34"/>
        <v>September</v>
      </c>
      <c r="I541" s="4" t="str">
        <f t="shared" si="35"/>
        <v>2022</v>
      </c>
      <c r="J541" s="10" t="s">
        <v>9</v>
      </c>
    </row>
    <row r="542" spans="1:10" x14ac:dyDescent="0.35">
      <c r="A542" s="9" t="s">
        <v>257</v>
      </c>
      <c r="B542" s="3">
        <v>8</v>
      </c>
      <c r="C542" s="4" t="str">
        <f t="shared" si="32"/>
        <v>Good</v>
      </c>
      <c r="D542" s="3" t="s">
        <v>1119</v>
      </c>
      <c r="E542" s="3" t="s">
        <v>35</v>
      </c>
      <c r="F542" s="5" t="s">
        <v>1120</v>
      </c>
      <c r="G542" s="4" t="str">
        <f t="shared" si="33"/>
        <v>20th</v>
      </c>
      <c r="H542" s="4" t="str">
        <f t="shared" si="34"/>
        <v>August</v>
      </c>
      <c r="I542" s="4" t="str">
        <f t="shared" si="35"/>
        <v>2022</v>
      </c>
      <c r="J542" s="10" t="s">
        <v>9</v>
      </c>
    </row>
    <row r="543" spans="1:10" x14ac:dyDescent="0.35">
      <c r="A543" s="9" t="s">
        <v>257</v>
      </c>
      <c r="B543" s="3">
        <v>4</v>
      </c>
      <c r="C543" s="4" t="str">
        <f t="shared" si="32"/>
        <v>Bad</v>
      </c>
      <c r="D543" s="3" t="s">
        <v>1121</v>
      </c>
      <c r="E543" s="3" t="s">
        <v>1122</v>
      </c>
      <c r="F543" s="5" t="s">
        <v>1120</v>
      </c>
      <c r="G543" s="4" t="str">
        <f t="shared" si="33"/>
        <v>20th</v>
      </c>
      <c r="H543" s="4" t="str">
        <f t="shared" si="34"/>
        <v>August</v>
      </c>
      <c r="I543" s="4" t="str">
        <f t="shared" si="35"/>
        <v>2022</v>
      </c>
      <c r="J543" s="10" t="s">
        <v>12</v>
      </c>
    </row>
    <row r="544" spans="1:10" x14ac:dyDescent="0.35">
      <c r="A544" s="9" t="s">
        <v>257</v>
      </c>
      <c r="B544" s="3">
        <v>8</v>
      </c>
      <c r="C544" s="4" t="str">
        <f t="shared" si="32"/>
        <v>Good</v>
      </c>
      <c r="D544" s="3" t="s">
        <v>1123</v>
      </c>
      <c r="E544" s="3" t="s">
        <v>1124</v>
      </c>
      <c r="F544" s="5" t="s">
        <v>1120</v>
      </c>
      <c r="G544" s="4" t="str">
        <f t="shared" si="33"/>
        <v>20th</v>
      </c>
      <c r="H544" s="4" t="str">
        <f t="shared" si="34"/>
        <v>August</v>
      </c>
      <c r="I544" s="4" t="str">
        <f t="shared" si="35"/>
        <v>2022</v>
      </c>
      <c r="J544" s="10" t="s">
        <v>9</v>
      </c>
    </row>
    <row r="545" spans="1:10" x14ac:dyDescent="0.35">
      <c r="A545" s="9" t="s">
        <v>257</v>
      </c>
      <c r="B545" s="3">
        <v>1</v>
      </c>
      <c r="C545" s="4" t="str">
        <f t="shared" si="32"/>
        <v>Bad</v>
      </c>
      <c r="D545" s="3" t="s">
        <v>1125</v>
      </c>
      <c r="E545" s="3" t="s">
        <v>1126</v>
      </c>
      <c r="F545" s="5" t="s">
        <v>1120</v>
      </c>
      <c r="G545" s="4" t="str">
        <f t="shared" si="33"/>
        <v>20th</v>
      </c>
      <c r="H545" s="4" t="str">
        <f t="shared" si="34"/>
        <v>August</v>
      </c>
      <c r="I545" s="4" t="str">
        <f t="shared" si="35"/>
        <v>2022</v>
      </c>
      <c r="J545" s="10" t="s">
        <v>12</v>
      </c>
    </row>
    <row r="546" spans="1:10" x14ac:dyDescent="0.35">
      <c r="A546" s="9" t="s">
        <v>257</v>
      </c>
      <c r="B546" s="3">
        <v>8</v>
      </c>
      <c r="C546" s="4" t="str">
        <f t="shared" si="32"/>
        <v>Good</v>
      </c>
      <c r="D546" s="3" t="s">
        <v>1127</v>
      </c>
      <c r="E546" s="3" t="s">
        <v>1128</v>
      </c>
      <c r="F546" s="5" t="s">
        <v>1120</v>
      </c>
      <c r="G546" s="4" t="str">
        <f t="shared" si="33"/>
        <v>20th</v>
      </c>
      <c r="H546" s="4" t="str">
        <f t="shared" si="34"/>
        <v>August</v>
      </c>
      <c r="I546" s="4" t="str">
        <f t="shared" si="35"/>
        <v>2022</v>
      </c>
      <c r="J546" s="10" t="s">
        <v>9</v>
      </c>
    </row>
    <row r="547" spans="1:10" x14ac:dyDescent="0.35">
      <c r="A547" s="9" t="s">
        <v>257</v>
      </c>
      <c r="B547" s="3">
        <v>1</v>
      </c>
      <c r="C547" s="4" t="str">
        <f t="shared" si="32"/>
        <v>Bad</v>
      </c>
      <c r="D547" s="3" t="s">
        <v>1129</v>
      </c>
      <c r="E547" s="3" t="s">
        <v>1130</v>
      </c>
      <c r="F547" s="5" t="s">
        <v>1120</v>
      </c>
      <c r="G547" s="4" t="str">
        <f t="shared" si="33"/>
        <v>20th</v>
      </c>
      <c r="H547" s="4" t="str">
        <f t="shared" si="34"/>
        <v>August</v>
      </c>
      <c r="I547" s="4" t="str">
        <f t="shared" si="35"/>
        <v>2022</v>
      </c>
      <c r="J547" s="10" t="s">
        <v>12</v>
      </c>
    </row>
    <row r="548" spans="1:10" x14ac:dyDescent="0.35">
      <c r="A548" s="9" t="s">
        <v>257</v>
      </c>
      <c r="B548" s="3">
        <v>10</v>
      </c>
      <c r="C548" s="4" t="str">
        <f t="shared" si="32"/>
        <v>Good</v>
      </c>
      <c r="D548" s="3" t="s">
        <v>1131</v>
      </c>
      <c r="E548" s="3" t="s">
        <v>1118</v>
      </c>
      <c r="F548" s="5" t="s">
        <v>1120</v>
      </c>
      <c r="G548" s="4" t="str">
        <f t="shared" si="33"/>
        <v>20th</v>
      </c>
      <c r="H548" s="4" t="str">
        <f t="shared" si="34"/>
        <v>August</v>
      </c>
      <c r="I548" s="4" t="str">
        <f t="shared" si="35"/>
        <v>2022</v>
      </c>
      <c r="J548" s="10" t="s">
        <v>9</v>
      </c>
    </row>
    <row r="549" spans="1:10" x14ac:dyDescent="0.35">
      <c r="A549" s="9" t="s">
        <v>257</v>
      </c>
      <c r="B549" s="3">
        <v>1</v>
      </c>
      <c r="C549" s="4" t="str">
        <f t="shared" si="32"/>
        <v>Bad</v>
      </c>
      <c r="D549" s="3" t="s">
        <v>1132</v>
      </c>
      <c r="E549" s="3" t="s">
        <v>1133</v>
      </c>
      <c r="F549" s="5" t="s">
        <v>1120</v>
      </c>
      <c r="G549" s="4" t="str">
        <f t="shared" si="33"/>
        <v>20th</v>
      </c>
      <c r="H549" s="4" t="str">
        <f t="shared" si="34"/>
        <v>August</v>
      </c>
      <c r="I549" s="4" t="str">
        <f t="shared" si="35"/>
        <v>2022</v>
      </c>
      <c r="J549" s="10" t="s">
        <v>12</v>
      </c>
    </row>
    <row r="550" spans="1:10" x14ac:dyDescent="0.35">
      <c r="A550" s="9" t="s">
        <v>257</v>
      </c>
      <c r="B550" s="3">
        <v>2</v>
      </c>
      <c r="C550" s="4" t="str">
        <f t="shared" si="32"/>
        <v>Bad</v>
      </c>
      <c r="D550" s="3" t="s">
        <v>1134</v>
      </c>
      <c r="E550" s="3" t="s">
        <v>1118</v>
      </c>
      <c r="F550" s="5" t="s">
        <v>1120</v>
      </c>
      <c r="G550" s="4" t="str">
        <f t="shared" si="33"/>
        <v>20th</v>
      </c>
      <c r="H550" s="4" t="str">
        <f t="shared" si="34"/>
        <v>August</v>
      </c>
      <c r="I550" s="4" t="str">
        <f t="shared" si="35"/>
        <v>2022</v>
      </c>
      <c r="J550" s="10" t="s">
        <v>12</v>
      </c>
    </row>
    <row r="551" spans="1:10" x14ac:dyDescent="0.35">
      <c r="A551" s="9" t="s">
        <v>257</v>
      </c>
      <c r="B551" s="3">
        <v>1</v>
      </c>
      <c r="C551" s="4" t="str">
        <f t="shared" si="32"/>
        <v>Bad</v>
      </c>
      <c r="D551" s="3" t="s">
        <v>1135</v>
      </c>
      <c r="E551" s="3" t="s">
        <v>1136</v>
      </c>
      <c r="F551" s="5" t="s">
        <v>1120</v>
      </c>
      <c r="G551" s="4" t="str">
        <f t="shared" si="33"/>
        <v>20th</v>
      </c>
      <c r="H551" s="4" t="str">
        <f t="shared" si="34"/>
        <v>August</v>
      </c>
      <c r="I551" s="4" t="str">
        <f t="shared" si="35"/>
        <v>2022</v>
      </c>
      <c r="J551" s="10" t="s">
        <v>12</v>
      </c>
    </row>
    <row r="552" spans="1:10" x14ac:dyDescent="0.35">
      <c r="A552" s="9" t="s">
        <v>257</v>
      </c>
      <c r="B552" s="3">
        <v>1</v>
      </c>
      <c r="C552" s="4" t="str">
        <f t="shared" si="32"/>
        <v>Bad</v>
      </c>
      <c r="D552" s="3" t="s">
        <v>1137</v>
      </c>
      <c r="E552" s="3" t="s">
        <v>1138</v>
      </c>
      <c r="F552" s="5" t="s">
        <v>1139</v>
      </c>
      <c r="G552" s="4" t="str">
        <f t="shared" si="33"/>
        <v>7th</v>
      </c>
      <c r="H552" s="4" t="str">
        <f t="shared" si="34"/>
        <v>August</v>
      </c>
      <c r="I552" s="4" t="str">
        <f t="shared" si="35"/>
        <v>2022</v>
      </c>
      <c r="J552" s="10" t="s">
        <v>12</v>
      </c>
    </row>
    <row r="553" spans="1:10" x14ac:dyDescent="0.35">
      <c r="A553" s="9" t="s">
        <v>257</v>
      </c>
      <c r="B553" s="3">
        <v>1</v>
      </c>
      <c r="C553" s="4" t="str">
        <f t="shared" si="32"/>
        <v>Bad</v>
      </c>
      <c r="D553" s="3" t="s">
        <v>1140</v>
      </c>
      <c r="E553" s="3" t="s">
        <v>1141</v>
      </c>
      <c r="F553" s="5" t="s">
        <v>1139</v>
      </c>
      <c r="G553" s="4" t="str">
        <f t="shared" si="33"/>
        <v>7th</v>
      </c>
      <c r="H553" s="4" t="str">
        <f t="shared" si="34"/>
        <v>August</v>
      </c>
      <c r="I553" s="4" t="str">
        <f t="shared" si="35"/>
        <v>2022</v>
      </c>
      <c r="J553" s="10" t="s">
        <v>12</v>
      </c>
    </row>
    <row r="554" spans="1:10" x14ac:dyDescent="0.35">
      <c r="A554" s="9" t="s">
        <v>257</v>
      </c>
      <c r="B554" s="3">
        <v>1</v>
      </c>
      <c r="C554" s="4" t="str">
        <f t="shared" si="32"/>
        <v>Bad</v>
      </c>
      <c r="D554" s="3" t="s">
        <v>1142</v>
      </c>
      <c r="E554" s="3" t="s">
        <v>1143</v>
      </c>
      <c r="F554" s="5" t="s">
        <v>1139</v>
      </c>
      <c r="G554" s="4" t="str">
        <f t="shared" si="33"/>
        <v>7th</v>
      </c>
      <c r="H554" s="4" t="str">
        <f t="shared" si="34"/>
        <v>August</v>
      </c>
      <c r="I554" s="4" t="str">
        <f t="shared" si="35"/>
        <v>2022</v>
      </c>
      <c r="J554" s="10" t="s">
        <v>12</v>
      </c>
    </row>
    <row r="555" spans="1:10" x14ac:dyDescent="0.35">
      <c r="A555" s="9" t="s">
        <v>257</v>
      </c>
      <c r="B555" s="3">
        <v>2</v>
      </c>
      <c r="C555" s="4" t="str">
        <f t="shared" si="32"/>
        <v>Bad</v>
      </c>
      <c r="D555" s="3" t="s">
        <v>1020</v>
      </c>
      <c r="E555" s="3" t="s">
        <v>1144</v>
      </c>
      <c r="F555" s="5" t="s">
        <v>1139</v>
      </c>
      <c r="G555" s="4" t="str">
        <f t="shared" si="33"/>
        <v>7th</v>
      </c>
      <c r="H555" s="4" t="str">
        <f t="shared" si="34"/>
        <v>August</v>
      </c>
      <c r="I555" s="4" t="str">
        <f t="shared" si="35"/>
        <v>2022</v>
      </c>
      <c r="J555" s="10" t="s">
        <v>12</v>
      </c>
    </row>
    <row r="556" spans="1:10" x14ac:dyDescent="0.35">
      <c r="A556" s="9" t="s">
        <v>257</v>
      </c>
      <c r="B556" s="3">
        <v>2</v>
      </c>
      <c r="C556" s="4" t="str">
        <f t="shared" si="32"/>
        <v>Bad</v>
      </c>
      <c r="D556" s="3" t="s">
        <v>1145</v>
      </c>
      <c r="E556" s="3" t="s">
        <v>1146</v>
      </c>
      <c r="F556" s="5" t="s">
        <v>1139</v>
      </c>
      <c r="G556" s="4" t="str">
        <f t="shared" si="33"/>
        <v>7th</v>
      </c>
      <c r="H556" s="4" t="str">
        <f t="shared" si="34"/>
        <v>August</v>
      </c>
      <c r="I556" s="4" t="str">
        <f t="shared" si="35"/>
        <v>2022</v>
      </c>
      <c r="J556" s="10" t="s">
        <v>12</v>
      </c>
    </row>
    <row r="557" spans="1:10" x14ac:dyDescent="0.35">
      <c r="A557" s="9" t="s">
        <v>257</v>
      </c>
      <c r="B557" s="3">
        <v>1</v>
      </c>
      <c r="C557" s="4" t="str">
        <f t="shared" si="32"/>
        <v>Bad</v>
      </c>
      <c r="D557" s="3" t="s">
        <v>1147</v>
      </c>
      <c r="E557" s="3" t="s">
        <v>1148</v>
      </c>
      <c r="F557" s="5" t="s">
        <v>1139</v>
      </c>
      <c r="G557" s="4" t="str">
        <f t="shared" si="33"/>
        <v>7th</v>
      </c>
      <c r="H557" s="4" t="str">
        <f t="shared" si="34"/>
        <v>August</v>
      </c>
      <c r="I557" s="4" t="str">
        <f t="shared" si="35"/>
        <v>2022</v>
      </c>
      <c r="J557" s="10" t="s">
        <v>12</v>
      </c>
    </row>
    <row r="558" spans="1:10" x14ac:dyDescent="0.35">
      <c r="A558" s="9" t="s">
        <v>257</v>
      </c>
      <c r="B558" s="3">
        <v>2</v>
      </c>
      <c r="C558" s="4" t="str">
        <f t="shared" si="32"/>
        <v>Bad</v>
      </c>
      <c r="D558" s="3" t="s">
        <v>1149</v>
      </c>
      <c r="E558" s="3" t="s">
        <v>1150</v>
      </c>
      <c r="F558" s="5" t="s">
        <v>1139</v>
      </c>
      <c r="G558" s="4" t="str">
        <f t="shared" si="33"/>
        <v>7th</v>
      </c>
      <c r="H558" s="4" t="str">
        <f t="shared" si="34"/>
        <v>August</v>
      </c>
      <c r="I558" s="4" t="str">
        <f t="shared" si="35"/>
        <v>2022</v>
      </c>
      <c r="J558" s="10" t="s">
        <v>12</v>
      </c>
    </row>
    <row r="559" spans="1:10" x14ac:dyDescent="0.35">
      <c r="A559" s="9" t="s">
        <v>257</v>
      </c>
      <c r="B559" s="3">
        <v>1</v>
      </c>
      <c r="C559" s="4" t="str">
        <f t="shared" si="32"/>
        <v>Bad</v>
      </c>
      <c r="D559" s="3" t="s">
        <v>1151</v>
      </c>
      <c r="E559" s="3" t="s">
        <v>1152</v>
      </c>
      <c r="F559" s="5" t="s">
        <v>1139</v>
      </c>
      <c r="G559" s="4" t="str">
        <f t="shared" si="33"/>
        <v>7th</v>
      </c>
      <c r="H559" s="4" t="str">
        <f t="shared" si="34"/>
        <v>August</v>
      </c>
      <c r="I559" s="4" t="str">
        <f t="shared" si="35"/>
        <v>2022</v>
      </c>
      <c r="J559" s="10" t="s">
        <v>12</v>
      </c>
    </row>
    <row r="560" spans="1:10" x14ac:dyDescent="0.35">
      <c r="A560" s="9" t="s">
        <v>257</v>
      </c>
      <c r="B560" s="3">
        <v>1</v>
      </c>
      <c r="C560" s="4" t="str">
        <f t="shared" si="32"/>
        <v>Bad</v>
      </c>
      <c r="D560" s="3" t="s">
        <v>1153</v>
      </c>
      <c r="E560" s="3" t="s">
        <v>1154</v>
      </c>
      <c r="F560" s="5" t="s">
        <v>1139</v>
      </c>
      <c r="G560" s="4" t="str">
        <f t="shared" si="33"/>
        <v>7th</v>
      </c>
      <c r="H560" s="4" t="str">
        <f t="shared" si="34"/>
        <v>August</v>
      </c>
      <c r="I560" s="4" t="str">
        <f t="shared" si="35"/>
        <v>2022</v>
      </c>
      <c r="J560" s="10" t="s">
        <v>12</v>
      </c>
    </row>
    <row r="561" spans="1:10" x14ac:dyDescent="0.35">
      <c r="A561" s="9" t="s">
        <v>257</v>
      </c>
      <c r="B561" s="3">
        <v>2</v>
      </c>
      <c r="C561" s="4" t="str">
        <f t="shared" si="32"/>
        <v>Bad</v>
      </c>
      <c r="D561" s="3" t="s">
        <v>1155</v>
      </c>
      <c r="E561" s="3" t="s">
        <v>1156</v>
      </c>
      <c r="F561" s="5" t="s">
        <v>1139</v>
      </c>
      <c r="G561" s="4" t="str">
        <f t="shared" si="33"/>
        <v>7th</v>
      </c>
      <c r="H561" s="4" t="str">
        <f t="shared" si="34"/>
        <v>August</v>
      </c>
      <c r="I561" s="4" t="str">
        <f t="shared" si="35"/>
        <v>2022</v>
      </c>
      <c r="J561" s="10" t="s">
        <v>12</v>
      </c>
    </row>
    <row r="562" spans="1:10" x14ac:dyDescent="0.35">
      <c r="A562" s="9" t="s">
        <v>257</v>
      </c>
      <c r="B562" s="3">
        <v>7</v>
      </c>
      <c r="C562" s="4" t="str">
        <f t="shared" si="32"/>
        <v>Neutral</v>
      </c>
      <c r="D562" s="3" t="s">
        <v>1157</v>
      </c>
      <c r="E562" s="3" t="s">
        <v>1158</v>
      </c>
      <c r="F562" s="5" t="s">
        <v>1159</v>
      </c>
      <c r="G562" s="4" t="str">
        <f t="shared" si="33"/>
        <v>9th</v>
      </c>
      <c r="H562" s="4" t="str">
        <f t="shared" si="34"/>
        <v>July</v>
      </c>
      <c r="I562" s="4" t="str">
        <f t="shared" si="35"/>
        <v>2022</v>
      </c>
      <c r="J562" s="10" t="s">
        <v>9</v>
      </c>
    </row>
    <row r="563" spans="1:10" x14ac:dyDescent="0.35">
      <c r="A563" s="9" t="s">
        <v>257</v>
      </c>
      <c r="B563" s="3">
        <v>8</v>
      </c>
      <c r="C563" s="4" t="str">
        <f t="shared" si="32"/>
        <v>Good</v>
      </c>
      <c r="D563" s="3" t="s">
        <v>1160</v>
      </c>
      <c r="E563" s="3" t="s">
        <v>1161</v>
      </c>
      <c r="F563" s="5" t="s">
        <v>1159</v>
      </c>
      <c r="G563" s="4" t="str">
        <f t="shared" si="33"/>
        <v>9th</v>
      </c>
      <c r="H563" s="4" t="str">
        <f t="shared" si="34"/>
        <v>July</v>
      </c>
      <c r="I563" s="4" t="str">
        <f t="shared" si="35"/>
        <v>2022</v>
      </c>
      <c r="J563" s="10" t="s">
        <v>9</v>
      </c>
    </row>
    <row r="564" spans="1:10" x14ac:dyDescent="0.35">
      <c r="A564" s="9" t="s">
        <v>257</v>
      </c>
      <c r="B564" s="3">
        <v>2</v>
      </c>
      <c r="C564" s="4" t="str">
        <f t="shared" si="32"/>
        <v>Bad</v>
      </c>
      <c r="D564" s="3" t="s">
        <v>1162</v>
      </c>
      <c r="E564" s="3" t="s">
        <v>1163</v>
      </c>
      <c r="F564" s="5" t="s">
        <v>1159</v>
      </c>
      <c r="G564" s="4" t="str">
        <f t="shared" si="33"/>
        <v>9th</v>
      </c>
      <c r="H564" s="4" t="str">
        <f t="shared" si="34"/>
        <v>July</v>
      </c>
      <c r="I564" s="4" t="str">
        <f t="shared" si="35"/>
        <v>2022</v>
      </c>
      <c r="J564" s="10" t="s">
        <v>12</v>
      </c>
    </row>
    <row r="565" spans="1:10" x14ac:dyDescent="0.35">
      <c r="A565" s="9" t="s">
        <v>257</v>
      </c>
      <c r="B565" s="3">
        <v>1</v>
      </c>
      <c r="C565" s="4" t="str">
        <f t="shared" si="32"/>
        <v>Bad</v>
      </c>
      <c r="D565" s="3" t="s">
        <v>1164</v>
      </c>
      <c r="E565" s="3" t="s">
        <v>1165</v>
      </c>
      <c r="F565" s="5" t="s">
        <v>1159</v>
      </c>
      <c r="G565" s="4" t="str">
        <f t="shared" si="33"/>
        <v>9th</v>
      </c>
      <c r="H565" s="4" t="str">
        <f t="shared" si="34"/>
        <v>July</v>
      </c>
      <c r="I565" s="4" t="str">
        <f t="shared" si="35"/>
        <v>2022</v>
      </c>
      <c r="J565" s="10" t="s">
        <v>12</v>
      </c>
    </row>
    <row r="566" spans="1:10" x14ac:dyDescent="0.35">
      <c r="A566" s="9" t="s">
        <v>257</v>
      </c>
      <c r="B566" s="3">
        <v>1</v>
      </c>
      <c r="C566" s="4" t="str">
        <f t="shared" si="32"/>
        <v>Bad</v>
      </c>
      <c r="D566" s="3" t="s">
        <v>1166</v>
      </c>
      <c r="E566" s="3" t="s">
        <v>1167</v>
      </c>
      <c r="F566" s="5" t="s">
        <v>1159</v>
      </c>
      <c r="G566" s="4" t="str">
        <f t="shared" si="33"/>
        <v>9th</v>
      </c>
      <c r="H566" s="4" t="str">
        <f t="shared" si="34"/>
        <v>July</v>
      </c>
      <c r="I566" s="4" t="str">
        <f t="shared" si="35"/>
        <v>2022</v>
      </c>
      <c r="J566" s="10" t="s">
        <v>12</v>
      </c>
    </row>
    <row r="567" spans="1:10" x14ac:dyDescent="0.35">
      <c r="A567" s="9" t="s">
        <v>257</v>
      </c>
      <c r="B567" s="3">
        <v>1</v>
      </c>
      <c r="C567" s="4" t="str">
        <f t="shared" si="32"/>
        <v>Bad</v>
      </c>
      <c r="D567" s="3" t="s">
        <v>1168</v>
      </c>
      <c r="E567" s="3" t="s">
        <v>1169</v>
      </c>
      <c r="F567" s="5" t="s">
        <v>1159</v>
      </c>
      <c r="G567" s="4" t="str">
        <f t="shared" si="33"/>
        <v>9th</v>
      </c>
      <c r="H567" s="4" t="str">
        <f t="shared" si="34"/>
        <v>July</v>
      </c>
      <c r="I567" s="4" t="str">
        <f t="shared" si="35"/>
        <v>2022</v>
      </c>
      <c r="J567" s="10" t="s">
        <v>12</v>
      </c>
    </row>
    <row r="568" spans="1:10" x14ac:dyDescent="0.35">
      <c r="A568" s="9" t="s">
        <v>257</v>
      </c>
      <c r="B568" s="3">
        <v>2</v>
      </c>
      <c r="C568" s="4" t="str">
        <f t="shared" si="32"/>
        <v>Bad</v>
      </c>
      <c r="D568" s="3" t="s">
        <v>1170</v>
      </c>
      <c r="E568" s="3" t="s">
        <v>1171</v>
      </c>
      <c r="F568" s="5" t="s">
        <v>1159</v>
      </c>
      <c r="G568" s="4" t="str">
        <f t="shared" si="33"/>
        <v>9th</v>
      </c>
      <c r="H568" s="4" t="str">
        <f t="shared" si="34"/>
        <v>July</v>
      </c>
      <c r="I568" s="4" t="str">
        <f t="shared" si="35"/>
        <v>2022</v>
      </c>
      <c r="J568" s="10" t="s">
        <v>12</v>
      </c>
    </row>
    <row r="569" spans="1:10" x14ac:dyDescent="0.35">
      <c r="A569" s="9" t="s">
        <v>257</v>
      </c>
      <c r="B569" s="3">
        <v>1</v>
      </c>
      <c r="C569" s="4" t="str">
        <f t="shared" si="32"/>
        <v>Bad</v>
      </c>
      <c r="D569" s="3" t="s">
        <v>1172</v>
      </c>
      <c r="E569" s="3" t="s">
        <v>1173</v>
      </c>
      <c r="F569" s="5" t="s">
        <v>1159</v>
      </c>
      <c r="G569" s="4" t="str">
        <f t="shared" si="33"/>
        <v>9th</v>
      </c>
      <c r="H569" s="4" t="str">
        <f t="shared" si="34"/>
        <v>July</v>
      </c>
      <c r="I569" s="4" t="str">
        <f t="shared" si="35"/>
        <v>2022</v>
      </c>
      <c r="J569" s="10" t="s">
        <v>12</v>
      </c>
    </row>
    <row r="570" spans="1:10" x14ac:dyDescent="0.35">
      <c r="A570" s="9" t="s">
        <v>257</v>
      </c>
      <c r="B570" s="3">
        <v>1</v>
      </c>
      <c r="C570" s="4" t="str">
        <f t="shared" si="32"/>
        <v>Bad</v>
      </c>
      <c r="D570" s="3" t="s">
        <v>1174</v>
      </c>
      <c r="E570" s="3" t="s">
        <v>1175</v>
      </c>
      <c r="F570" s="5" t="s">
        <v>1159</v>
      </c>
      <c r="G570" s="4" t="str">
        <f t="shared" si="33"/>
        <v>9th</v>
      </c>
      <c r="H570" s="4" t="str">
        <f t="shared" si="34"/>
        <v>July</v>
      </c>
      <c r="I570" s="4" t="str">
        <f t="shared" si="35"/>
        <v>2022</v>
      </c>
      <c r="J570" s="10" t="s">
        <v>12</v>
      </c>
    </row>
    <row r="571" spans="1:10" x14ac:dyDescent="0.35">
      <c r="A571" s="9" t="s">
        <v>257</v>
      </c>
      <c r="B571" s="3">
        <v>1</v>
      </c>
      <c r="C571" s="4" t="str">
        <f t="shared" si="32"/>
        <v>Bad</v>
      </c>
      <c r="D571" s="3" t="s">
        <v>1176</v>
      </c>
      <c r="E571" s="3" t="s">
        <v>1177</v>
      </c>
      <c r="F571" s="5" t="s">
        <v>1159</v>
      </c>
      <c r="G571" s="4" t="str">
        <f t="shared" si="33"/>
        <v>9th</v>
      </c>
      <c r="H571" s="4" t="str">
        <f t="shared" si="34"/>
        <v>July</v>
      </c>
      <c r="I571" s="4" t="str">
        <f t="shared" si="35"/>
        <v>2022</v>
      </c>
      <c r="J571" s="10" t="s">
        <v>12</v>
      </c>
    </row>
    <row r="572" spans="1:10" x14ac:dyDescent="0.35">
      <c r="A572" s="9" t="s">
        <v>257</v>
      </c>
      <c r="B572" s="3">
        <v>1</v>
      </c>
      <c r="C572" s="4" t="str">
        <f t="shared" si="32"/>
        <v>Bad</v>
      </c>
      <c r="D572" s="3" t="s">
        <v>1178</v>
      </c>
      <c r="E572" s="3" t="s">
        <v>1179</v>
      </c>
      <c r="F572" s="5" t="s">
        <v>1180</v>
      </c>
      <c r="G572" s="4" t="str">
        <f t="shared" si="33"/>
        <v>21st</v>
      </c>
      <c r="H572" s="4" t="str">
        <f t="shared" si="34"/>
        <v>May</v>
      </c>
      <c r="I572" s="4" t="str">
        <f t="shared" si="35"/>
        <v>2022</v>
      </c>
      <c r="J572" s="10" t="s">
        <v>12</v>
      </c>
    </row>
    <row r="573" spans="1:10" x14ac:dyDescent="0.35">
      <c r="A573" s="9" t="s">
        <v>257</v>
      </c>
      <c r="B573" s="3">
        <v>1</v>
      </c>
      <c r="C573" s="4" t="str">
        <f t="shared" si="32"/>
        <v>Bad</v>
      </c>
      <c r="D573" s="3" t="s">
        <v>1181</v>
      </c>
      <c r="E573" s="3" t="s">
        <v>1182</v>
      </c>
      <c r="F573" s="5" t="s">
        <v>1180</v>
      </c>
      <c r="G573" s="4" t="str">
        <f t="shared" si="33"/>
        <v>21st</v>
      </c>
      <c r="H573" s="4" t="str">
        <f t="shared" si="34"/>
        <v>May</v>
      </c>
      <c r="I573" s="4" t="str">
        <f t="shared" si="35"/>
        <v>2022</v>
      </c>
      <c r="J573" s="10" t="s">
        <v>12</v>
      </c>
    </row>
    <row r="574" spans="1:10" x14ac:dyDescent="0.35">
      <c r="A574" s="9" t="s">
        <v>257</v>
      </c>
      <c r="B574" s="3">
        <v>1</v>
      </c>
      <c r="C574" s="4" t="str">
        <f t="shared" si="32"/>
        <v>Bad</v>
      </c>
      <c r="D574" s="3" t="s">
        <v>1183</v>
      </c>
      <c r="E574" s="3" t="s">
        <v>1118</v>
      </c>
      <c r="F574" s="5" t="s">
        <v>1180</v>
      </c>
      <c r="G574" s="4" t="str">
        <f t="shared" si="33"/>
        <v>21st</v>
      </c>
      <c r="H574" s="4" t="str">
        <f t="shared" si="34"/>
        <v>May</v>
      </c>
      <c r="I574" s="4" t="str">
        <f t="shared" si="35"/>
        <v>2022</v>
      </c>
      <c r="J574" s="10" t="s">
        <v>12</v>
      </c>
    </row>
    <row r="575" spans="1:10" x14ac:dyDescent="0.35">
      <c r="A575" s="9" t="s">
        <v>257</v>
      </c>
      <c r="B575" s="3">
        <v>1</v>
      </c>
      <c r="C575" s="4" t="str">
        <f t="shared" si="32"/>
        <v>Bad</v>
      </c>
      <c r="D575" s="3" t="s">
        <v>1184</v>
      </c>
      <c r="E575" s="3" t="s">
        <v>1185</v>
      </c>
      <c r="F575" s="5" t="s">
        <v>1180</v>
      </c>
      <c r="G575" s="4" t="str">
        <f t="shared" si="33"/>
        <v>21st</v>
      </c>
      <c r="H575" s="4" t="str">
        <f t="shared" si="34"/>
        <v>May</v>
      </c>
      <c r="I575" s="4" t="str">
        <f t="shared" si="35"/>
        <v>2022</v>
      </c>
      <c r="J575" s="10" t="s">
        <v>12</v>
      </c>
    </row>
    <row r="576" spans="1:10" x14ac:dyDescent="0.35">
      <c r="A576" s="9" t="s">
        <v>257</v>
      </c>
      <c r="B576" s="3">
        <v>8</v>
      </c>
      <c r="C576" s="4" t="str">
        <f t="shared" si="32"/>
        <v>Good</v>
      </c>
      <c r="D576" s="3" t="s">
        <v>1186</v>
      </c>
      <c r="E576" s="3" t="s">
        <v>1187</v>
      </c>
      <c r="F576" s="5" t="s">
        <v>1180</v>
      </c>
      <c r="G576" s="4" t="str">
        <f t="shared" si="33"/>
        <v>21st</v>
      </c>
      <c r="H576" s="4" t="str">
        <f t="shared" si="34"/>
        <v>May</v>
      </c>
      <c r="I576" s="4" t="str">
        <f t="shared" si="35"/>
        <v>2022</v>
      </c>
      <c r="J576" s="10" t="s">
        <v>9</v>
      </c>
    </row>
    <row r="577" spans="1:10" x14ac:dyDescent="0.35">
      <c r="A577" s="9" t="s">
        <v>257</v>
      </c>
      <c r="B577" s="3">
        <v>1</v>
      </c>
      <c r="C577" s="4" t="str">
        <f t="shared" si="32"/>
        <v>Bad</v>
      </c>
      <c r="D577" s="3" t="s">
        <v>1188</v>
      </c>
      <c r="E577" s="3" t="s">
        <v>1189</v>
      </c>
      <c r="F577" s="5" t="s">
        <v>1180</v>
      </c>
      <c r="G577" s="4" t="str">
        <f t="shared" si="33"/>
        <v>21st</v>
      </c>
      <c r="H577" s="4" t="str">
        <f t="shared" si="34"/>
        <v>May</v>
      </c>
      <c r="I577" s="4" t="str">
        <f t="shared" si="35"/>
        <v>2022</v>
      </c>
      <c r="J577" s="10" t="s">
        <v>12</v>
      </c>
    </row>
    <row r="578" spans="1:10" x14ac:dyDescent="0.35">
      <c r="A578" s="9" t="s">
        <v>257</v>
      </c>
      <c r="B578" s="3">
        <v>1</v>
      </c>
      <c r="C578" s="4" t="str">
        <f t="shared" si="32"/>
        <v>Bad</v>
      </c>
      <c r="D578" s="3" t="s">
        <v>1190</v>
      </c>
      <c r="E578" s="3" t="s">
        <v>1191</v>
      </c>
      <c r="F578" s="5" t="s">
        <v>1180</v>
      </c>
      <c r="G578" s="4" t="str">
        <f t="shared" si="33"/>
        <v>21st</v>
      </c>
      <c r="H578" s="4" t="str">
        <f t="shared" si="34"/>
        <v>May</v>
      </c>
      <c r="I578" s="4" t="str">
        <f t="shared" si="35"/>
        <v>2022</v>
      </c>
      <c r="J578" s="10" t="s">
        <v>12</v>
      </c>
    </row>
    <row r="579" spans="1:10" x14ac:dyDescent="0.35">
      <c r="A579" s="9" t="s">
        <v>257</v>
      </c>
      <c r="B579" s="3">
        <v>2</v>
      </c>
      <c r="C579" s="4" t="str">
        <f t="shared" ref="C579:C642" si="36">IF(B579&gt;=8,"Good",IF(B579&gt;=5,"Neutral","Bad"))</f>
        <v>Bad</v>
      </c>
      <c r="D579" s="3" t="s">
        <v>1192</v>
      </c>
      <c r="E579" s="3" t="s">
        <v>1193</v>
      </c>
      <c r="F579" s="5" t="s">
        <v>1180</v>
      </c>
      <c r="G579" s="4" t="str">
        <f t="shared" ref="G579:G642" si="37">LEFT(F579, FIND(" ", F579)-1)</f>
        <v>21st</v>
      </c>
      <c r="H579" s="4" t="str">
        <f t="shared" ref="H579:H642" si="38">TRIM(MID(F579, FIND(" ", F579)+1, FIND(" ", F579, FIND(" ", F579)+1) - FIND(" ", F579)-1))</f>
        <v>May</v>
      </c>
      <c r="I579" s="4" t="str">
        <f t="shared" ref="I579:I642" si="39">RIGHT(F579, 4)</f>
        <v>2022</v>
      </c>
      <c r="J579" s="10" t="s">
        <v>12</v>
      </c>
    </row>
    <row r="580" spans="1:10" x14ac:dyDescent="0.35">
      <c r="A580" s="9" t="s">
        <v>257</v>
      </c>
      <c r="B580" s="3">
        <v>3</v>
      </c>
      <c r="C580" s="4" t="str">
        <f t="shared" si="36"/>
        <v>Bad</v>
      </c>
      <c r="D580" s="3" t="s">
        <v>1194</v>
      </c>
      <c r="E580" s="3" t="s">
        <v>1195</v>
      </c>
      <c r="F580" s="5" t="s">
        <v>1180</v>
      </c>
      <c r="G580" s="4" t="str">
        <f t="shared" si="37"/>
        <v>21st</v>
      </c>
      <c r="H580" s="4" t="str">
        <f t="shared" si="38"/>
        <v>May</v>
      </c>
      <c r="I580" s="4" t="str">
        <f t="shared" si="39"/>
        <v>2022</v>
      </c>
      <c r="J580" s="10" t="s">
        <v>12</v>
      </c>
    </row>
    <row r="581" spans="1:10" x14ac:dyDescent="0.35">
      <c r="A581" s="9" t="s">
        <v>257</v>
      </c>
      <c r="B581" s="3">
        <v>1</v>
      </c>
      <c r="C581" s="4" t="str">
        <f t="shared" si="36"/>
        <v>Bad</v>
      </c>
      <c r="D581" s="3" t="s">
        <v>1196</v>
      </c>
      <c r="E581" s="3" t="s">
        <v>1197</v>
      </c>
      <c r="F581" s="5" t="s">
        <v>1180</v>
      </c>
      <c r="G581" s="4" t="str">
        <f t="shared" si="37"/>
        <v>21st</v>
      </c>
      <c r="H581" s="4" t="str">
        <f t="shared" si="38"/>
        <v>May</v>
      </c>
      <c r="I581" s="4" t="str">
        <f t="shared" si="39"/>
        <v>2022</v>
      </c>
      <c r="J581" s="10" t="s">
        <v>12</v>
      </c>
    </row>
    <row r="582" spans="1:10" x14ac:dyDescent="0.35">
      <c r="A582" s="9" t="s">
        <v>257</v>
      </c>
      <c r="B582" s="3">
        <v>1</v>
      </c>
      <c r="C582" s="4" t="str">
        <f t="shared" si="36"/>
        <v>Bad</v>
      </c>
      <c r="D582" s="3" t="s">
        <v>1198</v>
      </c>
      <c r="E582" s="3" t="s">
        <v>1199</v>
      </c>
      <c r="F582" s="5" t="s">
        <v>1200</v>
      </c>
      <c r="G582" s="4" t="str">
        <f t="shared" si="37"/>
        <v>30th</v>
      </c>
      <c r="H582" s="4" t="str">
        <f t="shared" si="38"/>
        <v>April</v>
      </c>
      <c r="I582" s="4" t="str">
        <f t="shared" si="39"/>
        <v>2022</v>
      </c>
      <c r="J582" s="10" t="s">
        <v>12</v>
      </c>
    </row>
    <row r="583" spans="1:10" x14ac:dyDescent="0.35">
      <c r="A583" s="9" t="s">
        <v>257</v>
      </c>
      <c r="B583" s="3">
        <v>1</v>
      </c>
      <c r="C583" s="4" t="str">
        <f t="shared" si="36"/>
        <v>Bad</v>
      </c>
      <c r="D583" s="3" t="s">
        <v>1201</v>
      </c>
      <c r="E583" s="3" t="s">
        <v>1202</v>
      </c>
      <c r="F583" s="5" t="s">
        <v>1200</v>
      </c>
      <c r="G583" s="4" t="str">
        <f t="shared" si="37"/>
        <v>30th</v>
      </c>
      <c r="H583" s="4" t="str">
        <f t="shared" si="38"/>
        <v>April</v>
      </c>
      <c r="I583" s="4" t="str">
        <f t="shared" si="39"/>
        <v>2022</v>
      </c>
      <c r="J583" s="10" t="s">
        <v>12</v>
      </c>
    </row>
    <row r="584" spans="1:10" x14ac:dyDescent="0.35">
      <c r="A584" s="9" t="s">
        <v>257</v>
      </c>
      <c r="B584" s="3">
        <v>1</v>
      </c>
      <c r="C584" s="4" t="str">
        <f t="shared" si="36"/>
        <v>Bad</v>
      </c>
      <c r="D584" s="3" t="s">
        <v>1203</v>
      </c>
      <c r="E584" s="3" t="s">
        <v>1204</v>
      </c>
      <c r="F584" s="5" t="s">
        <v>1200</v>
      </c>
      <c r="G584" s="4" t="str">
        <f t="shared" si="37"/>
        <v>30th</v>
      </c>
      <c r="H584" s="4" t="str">
        <f t="shared" si="38"/>
        <v>April</v>
      </c>
      <c r="I584" s="4" t="str">
        <f t="shared" si="39"/>
        <v>2022</v>
      </c>
      <c r="J584" s="10" t="s">
        <v>12</v>
      </c>
    </row>
    <row r="585" spans="1:10" x14ac:dyDescent="0.35">
      <c r="A585" s="9" t="s">
        <v>257</v>
      </c>
      <c r="B585" s="3">
        <v>1</v>
      </c>
      <c r="C585" s="4" t="str">
        <f t="shared" si="36"/>
        <v>Bad</v>
      </c>
      <c r="D585" s="3" t="s">
        <v>1205</v>
      </c>
      <c r="E585" s="3" t="s">
        <v>1206</v>
      </c>
      <c r="F585" s="5" t="s">
        <v>1200</v>
      </c>
      <c r="G585" s="4" t="str">
        <f t="shared" si="37"/>
        <v>30th</v>
      </c>
      <c r="H585" s="4" t="str">
        <f t="shared" si="38"/>
        <v>April</v>
      </c>
      <c r="I585" s="4" t="str">
        <f t="shared" si="39"/>
        <v>2022</v>
      </c>
      <c r="J585" s="10" t="s">
        <v>12</v>
      </c>
    </row>
    <row r="586" spans="1:10" x14ac:dyDescent="0.35">
      <c r="A586" s="9" t="s">
        <v>257</v>
      </c>
      <c r="B586" s="3">
        <v>1</v>
      </c>
      <c r="C586" s="4" t="str">
        <f t="shared" si="36"/>
        <v>Bad</v>
      </c>
      <c r="D586" s="3" t="s">
        <v>1207</v>
      </c>
      <c r="E586" s="3" t="s">
        <v>1208</v>
      </c>
      <c r="F586" s="5" t="s">
        <v>1200</v>
      </c>
      <c r="G586" s="4" t="str">
        <f t="shared" si="37"/>
        <v>30th</v>
      </c>
      <c r="H586" s="4" t="str">
        <f t="shared" si="38"/>
        <v>April</v>
      </c>
      <c r="I586" s="4" t="str">
        <f t="shared" si="39"/>
        <v>2022</v>
      </c>
      <c r="J586" s="10" t="s">
        <v>12</v>
      </c>
    </row>
    <row r="587" spans="1:10" x14ac:dyDescent="0.35">
      <c r="A587" s="9" t="s">
        <v>257</v>
      </c>
      <c r="B587" s="3">
        <v>1</v>
      </c>
      <c r="C587" s="4" t="str">
        <f t="shared" si="36"/>
        <v>Bad</v>
      </c>
      <c r="D587" s="3" t="s">
        <v>1209</v>
      </c>
      <c r="E587" s="3" t="s">
        <v>1210</v>
      </c>
      <c r="F587" s="5" t="s">
        <v>1200</v>
      </c>
      <c r="G587" s="4" t="str">
        <f t="shared" si="37"/>
        <v>30th</v>
      </c>
      <c r="H587" s="4" t="str">
        <f t="shared" si="38"/>
        <v>April</v>
      </c>
      <c r="I587" s="4" t="str">
        <f t="shared" si="39"/>
        <v>2022</v>
      </c>
      <c r="J587" s="10" t="s">
        <v>12</v>
      </c>
    </row>
    <row r="588" spans="1:10" x14ac:dyDescent="0.35">
      <c r="A588" s="9" t="s">
        <v>257</v>
      </c>
      <c r="B588" s="3">
        <v>3</v>
      </c>
      <c r="C588" s="4" t="str">
        <f t="shared" si="36"/>
        <v>Bad</v>
      </c>
      <c r="D588" s="3" t="s">
        <v>1211</v>
      </c>
      <c r="E588" s="3" t="s">
        <v>1212</v>
      </c>
      <c r="F588" s="5" t="s">
        <v>1200</v>
      </c>
      <c r="G588" s="4" t="str">
        <f t="shared" si="37"/>
        <v>30th</v>
      </c>
      <c r="H588" s="4" t="str">
        <f t="shared" si="38"/>
        <v>April</v>
      </c>
      <c r="I588" s="4" t="str">
        <f t="shared" si="39"/>
        <v>2022</v>
      </c>
      <c r="J588" s="10" t="s">
        <v>12</v>
      </c>
    </row>
    <row r="589" spans="1:10" x14ac:dyDescent="0.35">
      <c r="A589" s="9" t="s">
        <v>257</v>
      </c>
      <c r="B589" s="3">
        <v>10</v>
      </c>
      <c r="C589" s="4" t="str">
        <f t="shared" si="36"/>
        <v>Good</v>
      </c>
      <c r="D589" s="3" t="s">
        <v>1213</v>
      </c>
      <c r="E589" s="3" t="s">
        <v>1214</v>
      </c>
      <c r="F589" s="5" t="s">
        <v>1200</v>
      </c>
      <c r="G589" s="4" t="str">
        <f t="shared" si="37"/>
        <v>30th</v>
      </c>
      <c r="H589" s="4" t="str">
        <f t="shared" si="38"/>
        <v>April</v>
      </c>
      <c r="I589" s="4" t="str">
        <f t="shared" si="39"/>
        <v>2022</v>
      </c>
      <c r="J589" s="10" t="s">
        <v>9</v>
      </c>
    </row>
    <row r="590" spans="1:10" x14ac:dyDescent="0.35">
      <c r="A590" s="9" t="s">
        <v>257</v>
      </c>
      <c r="B590" s="3">
        <v>2</v>
      </c>
      <c r="C590" s="4" t="str">
        <f t="shared" si="36"/>
        <v>Bad</v>
      </c>
      <c r="D590" s="3" t="s">
        <v>1215</v>
      </c>
      <c r="E590" s="3" t="s">
        <v>1216</v>
      </c>
      <c r="F590" s="5" t="s">
        <v>1200</v>
      </c>
      <c r="G590" s="4" t="str">
        <f t="shared" si="37"/>
        <v>30th</v>
      </c>
      <c r="H590" s="4" t="str">
        <f t="shared" si="38"/>
        <v>April</v>
      </c>
      <c r="I590" s="4" t="str">
        <f t="shared" si="39"/>
        <v>2022</v>
      </c>
      <c r="J590" s="10" t="s">
        <v>12</v>
      </c>
    </row>
    <row r="591" spans="1:10" x14ac:dyDescent="0.35">
      <c r="A591" s="9" t="s">
        <v>257</v>
      </c>
      <c r="B591" s="3">
        <v>1</v>
      </c>
      <c r="C591" s="4" t="str">
        <f t="shared" si="36"/>
        <v>Bad</v>
      </c>
      <c r="D591" s="3" t="s">
        <v>1217</v>
      </c>
      <c r="E591" s="3" t="s">
        <v>1218</v>
      </c>
      <c r="F591" s="5" t="s">
        <v>1200</v>
      </c>
      <c r="G591" s="4" t="str">
        <f t="shared" si="37"/>
        <v>30th</v>
      </c>
      <c r="H591" s="4" t="str">
        <f t="shared" si="38"/>
        <v>April</v>
      </c>
      <c r="I591" s="4" t="str">
        <f t="shared" si="39"/>
        <v>2022</v>
      </c>
      <c r="J591" s="10" t="s">
        <v>12</v>
      </c>
    </row>
    <row r="592" spans="1:10" x14ac:dyDescent="0.35">
      <c r="A592" s="9" t="s">
        <v>257</v>
      </c>
      <c r="B592" s="3">
        <v>1</v>
      </c>
      <c r="C592" s="4" t="str">
        <f t="shared" si="36"/>
        <v>Bad</v>
      </c>
      <c r="D592" s="3" t="s">
        <v>1219</v>
      </c>
      <c r="E592" s="3" t="s">
        <v>1220</v>
      </c>
      <c r="F592" s="5" t="s">
        <v>1221</v>
      </c>
      <c r="G592" s="4" t="str">
        <f t="shared" si="37"/>
        <v>4th</v>
      </c>
      <c r="H592" s="4" t="str">
        <f t="shared" si="38"/>
        <v>April</v>
      </c>
      <c r="I592" s="4" t="str">
        <f t="shared" si="39"/>
        <v>2022</v>
      </c>
      <c r="J592" s="10" t="s">
        <v>12</v>
      </c>
    </row>
    <row r="593" spans="1:10" x14ac:dyDescent="0.35">
      <c r="A593" s="9" t="s">
        <v>257</v>
      </c>
      <c r="B593" s="3">
        <v>2</v>
      </c>
      <c r="C593" s="4" t="str">
        <f t="shared" si="36"/>
        <v>Bad</v>
      </c>
      <c r="D593" s="3" t="s">
        <v>1222</v>
      </c>
      <c r="E593" s="3" t="s">
        <v>1223</v>
      </c>
      <c r="F593" s="5" t="s">
        <v>1221</v>
      </c>
      <c r="G593" s="4" t="str">
        <f t="shared" si="37"/>
        <v>4th</v>
      </c>
      <c r="H593" s="4" t="str">
        <f t="shared" si="38"/>
        <v>April</v>
      </c>
      <c r="I593" s="4" t="str">
        <f t="shared" si="39"/>
        <v>2022</v>
      </c>
      <c r="J593" s="10" t="s">
        <v>12</v>
      </c>
    </row>
    <row r="594" spans="1:10" x14ac:dyDescent="0.35">
      <c r="A594" s="9" t="s">
        <v>257</v>
      </c>
      <c r="B594" s="3">
        <v>3</v>
      </c>
      <c r="C594" s="4" t="str">
        <f t="shared" si="36"/>
        <v>Bad</v>
      </c>
      <c r="D594" s="3" t="s">
        <v>1224</v>
      </c>
      <c r="E594" s="3" t="s">
        <v>1225</v>
      </c>
      <c r="F594" s="5" t="s">
        <v>1221</v>
      </c>
      <c r="G594" s="4" t="str">
        <f t="shared" si="37"/>
        <v>4th</v>
      </c>
      <c r="H594" s="4" t="str">
        <f t="shared" si="38"/>
        <v>April</v>
      </c>
      <c r="I594" s="4" t="str">
        <f t="shared" si="39"/>
        <v>2022</v>
      </c>
      <c r="J594" s="10" t="s">
        <v>12</v>
      </c>
    </row>
    <row r="595" spans="1:10" x14ac:dyDescent="0.35">
      <c r="A595" s="9" t="s">
        <v>257</v>
      </c>
      <c r="B595" s="3">
        <v>1</v>
      </c>
      <c r="C595" s="4" t="str">
        <f t="shared" si="36"/>
        <v>Bad</v>
      </c>
      <c r="D595" s="3" t="s">
        <v>1226</v>
      </c>
      <c r="E595" s="3" t="s">
        <v>1227</v>
      </c>
      <c r="F595" s="5" t="s">
        <v>1221</v>
      </c>
      <c r="G595" s="4" t="str">
        <f t="shared" si="37"/>
        <v>4th</v>
      </c>
      <c r="H595" s="4" t="str">
        <f t="shared" si="38"/>
        <v>April</v>
      </c>
      <c r="I595" s="4" t="str">
        <f t="shared" si="39"/>
        <v>2022</v>
      </c>
      <c r="J595" s="10" t="s">
        <v>12</v>
      </c>
    </row>
    <row r="596" spans="1:10" x14ac:dyDescent="0.35">
      <c r="A596" s="9" t="s">
        <v>257</v>
      </c>
      <c r="B596" s="3">
        <v>1</v>
      </c>
      <c r="C596" s="4" t="str">
        <f t="shared" si="36"/>
        <v>Bad</v>
      </c>
      <c r="D596" s="3" t="s">
        <v>1228</v>
      </c>
      <c r="E596" s="3" t="s">
        <v>1229</v>
      </c>
      <c r="F596" s="5" t="s">
        <v>1221</v>
      </c>
      <c r="G596" s="4" t="str">
        <f t="shared" si="37"/>
        <v>4th</v>
      </c>
      <c r="H596" s="4" t="str">
        <f t="shared" si="38"/>
        <v>April</v>
      </c>
      <c r="I596" s="4" t="str">
        <f t="shared" si="39"/>
        <v>2022</v>
      </c>
      <c r="J596" s="10" t="s">
        <v>12</v>
      </c>
    </row>
    <row r="597" spans="1:10" x14ac:dyDescent="0.35">
      <c r="A597" s="9" t="s">
        <v>257</v>
      </c>
      <c r="B597" s="3">
        <v>5</v>
      </c>
      <c r="C597" s="4" t="str">
        <f t="shared" si="36"/>
        <v>Neutral</v>
      </c>
      <c r="D597" s="3" t="s">
        <v>1230</v>
      </c>
      <c r="E597" s="3" t="s">
        <v>1231</v>
      </c>
      <c r="F597" s="5" t="s">
        <v>1221</v>
      </c>
      <c r="G597" s="4" t="str">
        <f t="shared" si="37"/>
        <v>4th</v>
      </c>
      <c r="H597" s="4" t="str">
        <f t="shared" si="38"/>
        <v>April</v>
      </c>
      <c r="I597" s="4" t="str">
        <f t="shared" si="39"/>
        <v>2022</v>
      </c>
      <c r="J597" s="10" t="s">
        <v>9</v>
      </c>
    </row>
    <row r="598" spans="1:10" x14ac:dyDescent="0.35">
      <c r="A598" s="9" t="s">
        <v>257</v>
      </c>
      <c r="B598" s="3">
        <v>1</v>
      </c>
      <c r="C598" s="4" t="str">
        <f t="shared" si="36"/>
        <v>Bad</v>
      </c>
      <c r="D598" s="3" t="s">
        <v>1232</v>
      </c>
      <c r="E598" s="3" t="s">
        <v>1233</v>
      </c>
      <c r="F598" s="5" t="s">
        <v>1221</v>
      </c>
      <c r="G598" s="4" t="str">
        <f t="shared" si="37"/>
        <v>4th</v>
      </c>
      <c r="H598" s="4" t="str">
        <f t="shared" si="38"/>
        <v>April</v>
      </c>
      <c r="I598" s="4" t="str">
        <f t="shared" si="39"/>
        <v>2022</v>
      </c>
      <c r="J598" s="10" t="s">
        <v>12</v>
      </c>
    </row>
    <row r="599" spans="1:10" x14ac:dyDescent="0.35">
      <c r="A599" s="9" t="s">
        <v>257</v>
      </c>
      <c r="B599" s="3">
        <v>1</v>
      </c>
      <c r="C599" s="4" t="str">
        <f t="shared" si="36"/>
        <v>Bad</v>
      </c>
      <c r="D599" s="3" t="s">
        <v>1234</v>
      </c>
      <c r="E599" s="3" t="s">
        <v>1235</v>
      </c>
      <c r="F599" s="5" t="s">
        <v>1221</v>
      </c>
      <c r="G599" s="4" t="str">
        <f t="shared" si="37"/>
        <v>4th</v>
      </c>
      <c r="H599" s="4" t="str">
        <f t="shared" si="38"/>
        <v>April</v>
      </c>
      <c r="I599" s="4" t="str">
        <f t="shared" si="39"/>
        <v>2022</v>
      </c>
      <c r="J599" s="10" t="s">
        <v>12</v>
      </c>
    </row>
    <row r="600" spans="1:10" x14ac:dyDescent="0.35">
      <c r="A600" s="9" t="s">
        <v>257</v>
      </c>
      <c r="B600" s="3">
        <v>3</v>
      </c>
      <c r="C600" s="4" t="str">
        <f t="shared" si="36"/>
        <v>Bad</v>
      </c>
      <c r="D600" s="3" t="s">
        <v>1236</v>
      </c>
      <c r="E600" s="3" t="s">
        <v>1237</v>
      </c>
      <c r="F600" s="5" t="s">
        <v>1221</v>
      </c>
      <c r="G600" s="4" t="str">
        <f t="shared" si="37"/>
        <v>4th</v>
      </c>
      <c r="H600" s="4" t="str">
        <f t="shared" si="38"/>
        <v>April</v>
      </c>
      <c r="I600" s="4" t="str">
        <f t="shared" si="39"/>
        <v>2022</v>
      </c>
      <c r="J600" s="10" t="s">
        <v>12</v>
      </c>
    </row>
    <row r="601" spans="1:10" x14ac:dyDescent="0.35">
      <c r="A601" s="9" t="s">
        <v>257</v>
      </c>
      <c r="B601" s="3">
        <v>1</v>
      </c>
      <c r="C601" s="4" t="str">
        <f t="shared" si="36"/>
        <v>Bad</v>
      </c>
      <c r="D601" s="3" t="s">
        <v>1238</v>
      </c>
      <c r="E601" s="3" t="s">
        <v>1239</v>
      </c>
      <c r="F601" s="5" t="s">
        <v>1221</v>
      </c>
      <c r="G601" s="4" t="str">
        <f t="shared" si="37"/>
        <v>4th</v>
      </c>
      <c r="H601" s="4" t="str">
        <f t="shared" si="38"/>
        <v>April</v>
      </c>
      <c r="I601" s="4" t="str">
        <f t="shared" si="39"/>
        <v>2022</v>
      </c>
      <c r="J601" s="10" t="s">
        <v>12</v>
      </c>
    </row>
    <row r="602" spans="1:10" x14ac:dyDescent="0.35">
      <c r="A602" s="9" t="s">
        <v>257</v>
      </c>
      <c r="B602" s="3">
        <v>7</v>
      </c>
      <c r="C602" s="4" t="str">
        <f t="shared" si="36"/>
        <v>Neutral</v>
      </c>
      <c r="D602" s="3" t="s">
        <v>1240</v>
      </c>
      <c r="E602" s="3" t="s">
        <v>35</v>
      </c>
      <c r="F602" s="5" t="s">
        <v>1241</v>
      </c>
      <c r="G602" s="4" t="str">
        <f t="shared" si="37"/>
        <v>13th</v>
      </c>
      <c r="H602" s="4" t="str">
        <f t="shared" si="38"/>
        <v>March</v>
      </c>
      <c r="I602" s="4" t="str">
        <f t="shared" si="39"/>
        <v>2022</v>
      </c>
      <c r="J602" s="10" t="s">
        <v>9</v>
      </c>
    </row>
    <row r="603" spans="1:10" x14ac:dyDescent="0.35">
      <c r="A603" s="9" t="s">
        <v>257</v>
      </c>
      <c r="B603" s="3">
        <v>1</v>
      </c>
      <c r="C603" s="4" t="str">
        <f t="shared" si="36"/>
        <v>Bad</v>
      </c>
      <c r="D603" s="3" t="s">
        <v>1242</v>
      </c>
      <c r="E603" s="3" t="s">
        <v>1243</v>
      </c>
      <c r="F603" s="5" t="s">
        <v>1241</v>
      </c>
      <c r="G603" s="4" t="str">
        <f t="shared" si="37"/>
        <v>13th</v>
      </c>
      <c r="H603" s="4" t="str">
        <f t="shared" si="38"/>
        <v>March</v>
      </c>
      <c r="I603" s="4" t="str">
        <f t="shared" si="39"/>
        <v>2022</v>
      </c>
      <c r="J603" s="10" t="s">
        <v>12</v>
      </c>
    </row>
    <row r="604" spans="1:10" x14ac:dyDescent="0.35">
      <c r="A604" s="9" t="s">
        <v>257</v>
      </c>
      <c r="B604" s="3">
        <v>1</v>
      </c>
      <c r="C604" s="4" t="str">
        <f t="shared" si="36"/>
        <v>Bad</v>
      </c>
      <c r="D604" s="3" t="s">
        <v>1244</v>
      </c>
      <c r="E604" s="3" t="s">
        <v>1245</v>
      </c>
      <c r="F604" s="5" t="s">
        <v>1241</v>
      </c>
      <c r="G604" s="4" t="str">
        <f t="shared" si="37"/>
        <v>13th</v>
      </c>
      <c r="H604" s="4" t="str">
        <f t="shared" si="38"/>
        <v>March</v>
      </c>
      <c r="I604" s="4" t="str">
        <f t="shared" si="39"/>
        <v>2022</v>
      </c>
      <c r="J604" s="10" t="s">
        <v>12</v>
      </c>
    </row>
    <row r="605" spans="1:10" x14ac:dyDescent="0.35">
      <c r="A605" s="9" t="s">
        <v>257</v>
      </c>
      <c r="B605" s="3">
        <v>1</v>
      </c>
      <c r="C605" s="4" t="str">
        <f t="shared" si="36"/>
        <v>Bad</v>
      </c>
      <c r="D605" s="3" t="s">
        <v>1246</v>
      </c>
      <c r="E605" s="3" t="s">
        <v>1247</v>
      </c>
      <c r="F605" s="5" t="s">
        <v>1241</v>
      </c>
      <c r="G605" s="4" t="str">
        <f t="shared" si="37"/>
        <v>13th</v>
      </c>
      <c r="H605" s="4" t="str">
        <f t="shared" si="38"/>
        <v>March</v>
      </c>
      <c r="I605" s="4" t="str">
        <f t="shared" si="39"/>
        <v>2022</v>
      </c>
      <c r="J605" s="10" t="s">
        <v>12</v>
      </c>
    </row>
    <row r="606" spans="1:10" x14ac:dyDescent="0.35">
      <c r="A606" s="9" t="s">
        <v>257</v>
      </c>
      <c r="B606" s="3">
        <v>1</v>
      </c>
      <c r="C606" s="4" t="str">
        <f t="shared" si="36"/>
        <v>Bad</v>
      </c>
      <c r="D606" s="3" t="s">
        <v>1248</v>
      </c>
      <c r="E606" s="3" t="s">
        <v>1249</v>
      </c>
      <c r="F606" s="5" t="s">
        <v>1241</v>
      </c>
      <c r="G606" s="4" t="str">
        <f t="shared" si="37"/>
        <v>13th</v>
      </c>
      <c r="H606" s="4" t="str">
        <f t="shared" si="38"/>
        <v>March</v>
      </c>
      <c r="I606" s="4" t="str">
        <f t="shared" si="39"/>
        <v>2022</v>
      </c>
      <c r="J606" s="10" t="s">
        <v>12</v>
      </c>
    </row>
    <row r="607" spans="1:10" x14ac:dyDescent="0.35">
      <c r="A607" s="9" t="s">
        <v>257</v>
      </c>
      <c r="B607" s="3">
        <v>1</v>
      </c>
      <c r="C607" s="4" t="str">
        <f t="shared" si="36"/>
        <v>Bad</v>
      </c>
      <c r="D607" s="3" t="s">
        <v>1250</v>
      </c>
      <c r="E607" s="3" t="s">
        <v>1251</v>
      </c>
      <c r="F607" s="5" t="s">
        <v>1241</v>
      </c>
      <c r="G607" s="4" t="str">
        <f t="shared" si="37"/>
        <v>13th</v>
      </c>
      <c r="H607" s="4" t="str">
        <f t="shared" si="38"/>
        <v>March</v>
      </c>
      <c r="I607" s="4" t="str">
        <f t="shared" si="39"/>
        <v>2022</v>
      </c>
      <c r="J607" s="10" t="s">
        <v>12</v>
      </c>
    </row>
    <row r="608" spans="1:10" x14ac:dyDescent="0.35">
      <c r="A608" s="9" t="s">
        <v>257</v>
      </c>
      <c r="B608" s="3">
        <v>1</v>
      </c>
      <c r="C608" s="4" t="str">
        <f t="shared" si="36"/>
        <v>Bad</v>
      </c>
      <c r="D608" s="3" t="s">
        <v>1252</v>
      </c>
      <c r="E608" s="3" t="s">
        <v>1253</v>
      </c>
      <c r="F608" s="5" t="s">
        <v>1241</v>
      </c>
      <c r="G608" s="4" t="str">
        <f t="shared" si="37"/>
        <v>13th</v>
      </c>
      <c r="H608" s="4" t="str">
        <f t="shared" si="38"/>
        <v>March</v>
      </c>
      <c r="I608" s="4" t="str">
        <f t="shared" si="39"/>
        <v>2022</v>
      </c>
      <c r="J608" s="10" t="s">
        <v>12</v>
      </c>
    </row>
    <row r="609" spans="1:10" x14ac:dyDescent="0.35">
      <c r="A609" s="9" t="s">
        <v>257</v>
      </c>
      <c r="B609" s="3">
        <v>1</v>
      </c>
      <c r="C609" s="4" t="str">
        <f t="shared" si="36"/>
        <v>Bad</v>
      </c>
      <c r="D609" s="3" t="s">
        <v>1254</v>
      </c>
      <c r="E609" s="3" t="s">
        <v>1255</v>
      </c>
      <c r="F609" s="5" t="s">
        <v>1241</v>
      </c>
      <c r="G609" s="4" t="str">
        <f t="shared" si="37"/>
        <v>13th</v>
      </c>
      <c r="H609" s="4" t="str">
        <f t="shared" si="38"/>
        <v>March</v>
      </c>
      <c r="I609" s="4" t="str">
        <f t="shared" si="39"/>
        <v>2022</v>
      </c>
      <c r="J609" s="10" t="s">
        <v>12</v>
      </c>
    </row>
    <row r="610" spans="1:10" x14ac:dyDescent="0.35">
      <c r="A610" s="9" t="s">
        <v>257</v>
      </c>
      <c r="B610" s="3">
        <v>10</v>
      </c>
      <c r="C610" s="4" t="str">
        <f t="shared" si="36"/>
        <v>Good</v>
      </c>
      <c r="D610" s="3" t="s">
        <v>1256</v>
      </c>
      <c r="E610" s="3" t="s">
        <v>1257</v>
      </c>
      <c r="F610" s="5" t="s">
        <v>1241</v>
      </c>
      <c r="G610" s="4" t="str">
        <f t="shared" si="37"/>
        <v>13th</v>
      </c>
      <c r="H610" s="4" t="str">
        <f t="shared" si="38"/>
        <v>March</v>
      </c>
      <c r="I610" s="4" t="str">
        <f t="shared" si="39"/>
        <v>2022</v>
      </c>
      <c r="J610" s="10" t="s">
        <v>9</v>
      </c>
    </row>
    <row r="611" spans="1:10" x14ac:dyDescent="0.35">
      <c r="A611" s="9" t="s">
        <v>257</v>
      </c>
      <c r="B611" s="3">
        <v>1</v>
      </c>
      <c r="C611" s="4" t="str">
        <f t="shared" si="36"/>
        <v>Bad</v>
      </c>
      <c r="D611" s="3" t="s">
        <v>1258</v>
      </c>
      <c r="E611" s="3" t="s">
        <v>1259</v>
      </c>
      <c r="F611" s="5" t="s">
        <v>1241</v>
      </c>
      <c r="G611" s="4" t="str">
        <f t="shared" si="37"/>
        <v>13th</v>
      </c>
      <c r="H611" s="4" t="str">
        <f t="shared" si="38"/>
        <v>March</v>
      </c>
      <c r="I611" s="4" t="str">
        <f t="shared" si="39"/>
        <v>2022</v>
      </c>
      <c r="J611" s="10" t="s">
        <v>12</v>
      </c>
    </row>
    <row r="612" spans="1:10" x14ac:dyDescent="0.35">
      <c r="A612" s="9" t="s">
        <v>257</v>
      </c>
      <c r="B612" s="3">
        <v>1</v>
      </c>
      <c r="C612" s="4" t="str">
        <f t="shared" si="36"/>
        <v>Bad</v>
      </c>
      <c r="D612" s="3" t="s">
        <v>1260</v>
      </c>
      <c r="E612" s="3" t="s">
        <v>1261</v>
      </c>
      <c r="F612" s="5" t="s">
        <v>1262</v>
      </c>
      <c r="G612" s="4" t="str">
        <f t="shared" si="37"/>
        <v>16th</v>
      </c>
      <c r="H612" s="4" t="str">
        <f t="shared" si="38"/>
        <v>January</v>
      </c>
      <c r="I612" s="4" t="str">
        <f t="shared" si="39"/>
        <v>2022</v>
      </c>
      <c r="J612" s="10" t="s">
        <v>12</v>
      </c>
    </row>
    <row r="613" spans="1:10" x14ac:dyDescent="0.35">
      <c r="A613" s="9" t="s">
        <v>257</v>
      </c>
      <c r="B613" s="3">
        <v>1</v>
      </c>
      <c r="C613" s="4" t="str">
        <f t="shared" si="36"/>
        <v>Bad</v>
      </c>
      <c r="D613" s="3" t="s">
        <v>1263</v>
      </c>
      <c r="E613" s="3" t="s">
        <v>1264</v>
      </c>
      <c r="F613" s="5" t="s">
        <v>1262</v>
      </c>
      <c r="G613" s="4" t="str">
        <f t="shared" si="37"/>
        <v>16th</v>
      </c>
      <c r="H613" s="4" t="str">
        <f t="shared" si="38"/>
        <v>January</v>
      </c>
      <c r="I613" s="4" t="str">
        <f t="shared" si="39"/>
        <v>2022</v>
      </c>
      <c r="J613" s="10" t="s">
        <v>12</v>
      </c>
    </row>
    <row r="614" spans="1:10" x14ac:dyDescent="0.35">
      <c r="A614" s="9" t="s">
        <v>257</v>
      </c>
      <c r="B614" s="3">
        <v>1</v>
      </c>
      <c r="C614" s="4" t="str">
        <f t="shared" si="36"/>
        <v>Bad</v>
      </c>
      <c r="D614" s="3" t="s">
        <v>1265</v>
      </c>
      <c r="E614" s="3" t="s">
        <v>1266</v>
      </c>
      <c r="F614" s="5" t="s">
        <v>1262</v>
      </c>
      <c r="G614" s="4" t="str">
        <f t="shared" si="37"/>
        <v>16th</v>
      </c>
      <c r="H614" s="4" t="str">
        <f t="shared" si="38"/>
        <v>January</v>
      </c>
      <c r="I614" s="4" t="str">
        <f t="shared" si="39"/>
        <v>2022</v>
      </c>
      <c r="J614" s="10" t="s">
        <v>12</v>
      </c>
    </row>
    <row r="615" spans="1:10" x14ac:dyDescent="0.35">
      <c r="A615" s="9" t="s">
        <v>257</v>
      </c>
      <c r="B615" s="3">
        <v>1</v>
      </c>
      <c r="C615" s="4" t="str">
        <f t="shared" si="36"/>
        <v>Bad</v>
      </c>
      <c r="D615" s="3" t="s">
        <v>1267</v>
      </c>
      <c r="E615" s="3" t="s">
        <v>1268</v>
      </c>
      <c r="F615" s="5" t="s">
        <v>1262</v>
      </c>
      <c r="G615" s="4" t="str">
        <f t="shared" si="37"/>
        <v>16th</v>
      </c>
      <c r="H615" s="4" t="str">
        <f t="shared" si="38"/>
        <v>January</v>
      </c>
      <c r="I615" s="4" t="str">
        <f t="shared" si="39"/>
        <v>2022</v>
      </c>
      <c r="J615" s="10" t="s">
        <v>12</v>
      </c>
    </row>
    <row r="616" spans="1:10" x14ac:dyDescent="0.35">
      <c r="A616" s="9" t="s">
        <v>257</v>
      </c>
      <c r="B616" s="3">
        <v>5</v>
      </c>
      <c r="C616" s="4" t="str">
        <f t="shared" si="36"/>
        <v>Neutral</v>
      </c>
      <c r="D616" s="3" t="s">
        <v>1269</v>
      </c>
      <c r="E616" s="3" t="s">
        <v>1270</v>
      </c>
      <c r="F616" s="5" t="s">
        <v>1262</v>
      </c>
      <c r="G616" s="4" t="str">
        <f t="shared" si="37"/>
        <v>16th</v>
      </c>
      <c r="H616" s="4" t="str">
        <f t="shared" si="38"/>
        <v>January</v>
      </c>
      <c r="I616" s="4" t="str">
        <f t="shared" si="39"/>
        <v>2022</v>
      </c>
      <c r="J616" s="10" t="s">
        <v>12</v>
      </c>
    </row>
    <row r="617" spans="1:10" x14ac:dyDescent="0.35">
      <c r="A617" s="9" t="s">
        <v>257</v>
      </c>
      <c r="B617" s="3">
        <v>6</v>
      </c>
      <c r="C617" s="4" t="str">
        <f t="shared" si="36"/>
        <v>Neutral</v>
      </c>
      <c r="D617" s="3" t="s">
        <v>1271</v>
      </c>
      <c r="E617" s="3" t="s">
        <v>1272</v>
      </c>
      <c r="F617" s="5" t="s">
        <v>1262</v>
      </c>
      <c r="G617" s="4" t="str">
        <f t="shared" si="37"/>
        <v>16th</v>
      </c>
      <c r="H617" s="4" t="str">
        <f t="shared" si="38"/>
        <v>January</v>
      </c>
      <c r="I617" s="4" t="str">
        <f t="shared" si="39"/>
        <v>2022</v>
      </c>
      <c r="J617" s="10" t="s">
        <v>12</v>
      </c>
    </row>
    <row r="618" spans="1:10" x14ac:dyDescent="0.35">
      <c r="A618" s="9" t="s">
        <v>257</v>
      </c>
      <c r="B618" s="3">
        <v>1</v>
      </c>
      <c r="C618" s="4" t="str">
        <f t="shared" si="36"/>
        <v>Bad</v>
      </c>
      <c r="D618" s="3" t="s">
        <v>1273</v>
      </c>
      <c r="E618" s="3" t="s">
        <v>1274</v>
      </c>
      <c r="F618" s="5" t="s">
        <v>1262</v>
      </c>
      <c r="G618" s="4" t="str">
        <f t="shared" si="37"/>
        <v>16th</v>
      </c>
      <c r="H618" s="4" t="str">
        <f t="shared" si="38"/>
        <v>January</v>
      </c>
      <c r="I618" s="4" t="str">
        <f t="shared" si="39"/>
        <v>2022</v>
      </c>
      <c r="J618" s="10" t="s">
        <v>12</v>
      </c>
    </row>
    <row r="619" spans="1:10" x14ac:dyDescent="0.35">
      <c r="A619" s="9" t="s">
        <v>257</v>
      </c>
      <c r="B619" s="3">
        <v>6</v>
      </c>
      <c r="C619" s="4" t="str">
        <f t="shared" si="36"/>
        <v>Neutral</v>
      </c>
      <c r="D619" s="3" t="s">
        <v>1275</v>
      </c>
      <c r="E619" s="3" t="s">
        <v>1276</v>
      </c>
      <c r="F619" s="5" t="s">
        <v>1262</v>
      </c>
      <c r="G619" s="4" t="str">
        <f t="shared" si="37"/>
        <v>16th</v>
      </c>
      <c r="H619" s="4" t="str">
        <f t="shared" si="38"/>
        <v>January</v>
      </c>
      <c r="I619" s="4" t="str">
        <f t="shared" si="39"/>
        <v>2022</v>
      </c>
      <c r="J619" s="10" t="s">
        <v>9</v>
      </c>
    </row>
    <row r="620" spans="1:10" x14ac:dyDescent="0.35">
      <c r="A620" s="9" t="s">
        <v>257</v>
      </c>
      <c r="B620" s="3">
        <v>1</v>
      </c>
      <c r="C620" s="4" t="str">
        <f t="shared" si="36"/>
        <v>Bad</v>
      </c>
      <c r="D620" s="3" t="s">
        <v>1277</v>
      </c>
      <c r="E620" s="3" t="s">
        <v>1278</v>
      </c>
      <c r="F620" s="5" t="s">
        <v>1262</v>
      </c>
      <c r="G620" s="4" t="str">
        <f t="shared" si="37"/>
        <v>16th</v>
      </c>
      <c r="H620" s="4" t="str">
        <f t="shared" si="38"/>
        <v>January</v>
      </c>
      <c r="I620" s="4" t="str">
        <f t="shared" si="39"/>
        <v>2022</v>
      </c>
      <c r="J620" s="10" t="s">
        <v>12</v>
      </c>
    </row>
    <row r="621" spans="1:10" x14ac:dyDescent="0.35">
      <c r="A621" s="9" t="s">
        <v>257</v>
      </c>
      <c r="B621" s="3">
        <v>1</v>
      </c>
      <c r="C621" s="4" t="str">
        <f t="shared" si="36"/>
        <v>Bad</v>
      </c>
      <c r="D621" s="3" t="s">
        <v>1279</v>
      </c>
      <c r="E621" s="3" t="s">
        <v>1280</v>
      </c>
      <c r="F621" s="5" t="s">
        <v>1262</v>
      </c>
      <c r="G621" s="4" t="str">
        <f t="shared" si="37"/>
        <v>16th</v>
      </c>
      <c r="H621" s="4" t="str">
        <f t="shared" si="38"/>
        <v>January</v>
      </c>
      <c r="I621" s="4" t="str">
        <f t="shared" si="39"/>
        <v>2022</v>
      </c>
      <c r="J621" s="10" t="s">
        <v>12</v>
      </c>
    </row>
    <row r="622" spans="1:10" x14ac:dyDescent="0.35">
      <c r="A622" s="9" t="s">
        <v>257</v>
      </c>
      <c r="B622" s="3">
        <v>1</v>
      </c>
      <c r="C622" s="4" t="str">
        <f t="shared" si="36"/>
        <v>Bad</v>
      </c>
      <c r="D622" s="3" t="s">
        <v>1281</v>
      </c>
      <c r="E622" s="3" t="s">
        <v>1282</v>
      </c>
      <c r="F622" s="5" t="s">
        <v>1283</v>
      </c>
      <c r="G622" s="4" t="str">
        <f t="shared" si="37"/>
        <v>2nd</v>
      </c>
      <c r="H622" s="4" t="str">
        <f t="shared" si="38"/>
        <v>December</v>
      </c>
      <c r="I622" s="4" t="str">
        <f t="shared" si="39"/>
        <v>2021</v>
      </c>
      <c r="J622" s="10" t="s">
        <v>12</v>
      </c>
    </row>
    <row r="623" spans="1:10" x14ac:dyDescent="0.35">
      <c r="A623" s="9" t="s">
        <v>257</v>
      </c>
      <c r="B623" s="3">
        <v>10</v>
      </c>
      <c r="C623" s="4" t="str">
        <f t="shared" si="36"/>
        <v>Good</v>
      </c>
      <c r="D623" s="3" t="s">
        <v>1284</v>
      </c>
      <c r="E623" s="3" t="s">
        <v>1285</v>
      </c>
      <c r="F623" s="5" t="s">
        <v>1283</v>
      </c>
      <c r="G623" s="4" t="str">
        <f t="shared" si="37"/>
        <v>2nd</v>
      </c>
      <c r="H623" s="4" t="str">
        <f t="shared" si="38"/>
        <v>December</v>
      </c>
      <c r="I623" s="4" t="str">
        <f t="shared" si="39"/>
        <v>2021</v>
      </c>
      <c r="J623" s="10" t="s">
        <v>9</v>
      </c>
    </row>
    <row r="624" spans="1:10" x14ac:dyDescent="0.35">
      <c r="A624" s="9" t="s">
        <v>257</v>
      </c>
      <c r="B624" s="3">
        <v>1</v>
      </c>
      <c r="C624" s="4" t="str">
        <f t="shared" si="36"/>
        <v>Bad</v>
      </c>
      <c r="D624" s="3" t="s">
        <v>1286</v>
      </c>
      <c r="E624" s="3" t="s">
        <v>1287</v>
      </c>
      <c r="F624" s="5" t="s">
        <v>1283</v>
      </c>
      <c r="G624" s="4" t="str">
        <f t="shared" si="37"/>
        <v>2nd</v>
      </c>
      <c r="H624" s="4" t="str">
        <f t="shared" si="38"/>
        <v>December</v>
      </c>
      <c r="I624" s="4" t="str">
        <f t="shared" si="39"/>
        <v>2021</v>
      </c>
      <c r="J624" s="10" t="s">
        <v>12</v>
      </c>
    </row>
    <row r="625" spans="1:10" x14ac:dyDescent="0.35">
      <c r="A625" s="9" t="s">
        <v>257</v>
      </c>
      <c r="B625" s="3">
        <v>1</v>
      </c>
      <c r="C625" s="4" t="str">
        <f t="shared" si="36"/>
        <v>Bad</v>
      </c>
      <c r="D625" s="3" t="s">
        <v>1288</v>
      </c>
      <c r="E625" s="3" t="s">
        <v>1289</v>
      </c>
      <c r="F625" s="5" t="s">
        <v>1283</v>
      </c>
      <c r="G625" s="4" t="str">
        <f t="shared" si="37"/>
        <v>2nd</v>
      </c>
      <c r="H625" s="4" t="str">
        <f t="shared" si="38"/>
        <v>December</v>
      </c>
      <c r="I625" s="4" t="str">
        <f t="shared" si="39"/>
        <v>2021</v>
      </c>
      <c r="J625" s="10" t="s">
        <v>12</v>
      </c>
    </row>
    <row r="626" spans="1:10" x14ac:dyDescent="0.35">
      <c r="A626" s="9" t="s">
        <v>257</v>
      </c>
      <c r="B626" s="3">
        <v>1</v>
      </c>
      <c r="C626" s="4" t="str">
        <f t="shared" si="36"/>
        <v>Bad</v>
      </c>
      <c r="D626" s="3" t="s">
        <v>305</v>
      </c>
      <c r="E626" s="3" t="s">
        <v>1290</v>
      </c>
      <c r="F626" s="5" t="s">
        <v>1283</v>
      </c>
      <c r="G626" s="4" t="str">
        <f t="shared" si="37"/>
        <v>2nd</v>
      </c>
      <c r="H626" s="4" t="str">
        <f t="shared" si="38"/>
        <v>December</v>
      </c>
      <c r="I626" s="4" t="str">
        <f t="shared" si="39"/>
        <v>2021</v>
      </c>
      <c r="J626" s="10" t="s">
        <v>12</v>
      </c>
    </row>
    <row r="627" spans="1:10" x14ac:dyDescent="0.35">
      <c r="A627" s="9" t="s">
        <v>257</v>
      </c>
      <c r="B627" s="3">
        <v>1</v>
      </c>
      <c r="C627" s="4" t="str">
        <f t="shared" si="36"/>
        <v>Bad</v>
      </c>
      <c r="D627" s="3" t="s">
        <v>1291</v>
      </c>
      <c r="E627" s="3" t="s">
        <v>1292</v>
      </c>
      <c r="F627" s="5" t="s">
        <v>1283</v>
      </c>
      <c r="G627" s="4" t="str">
        <f t="shared" si="37"/>
        <v>2nd</v>
      </c>
      <c r="H627" s="4" t="str">
        <f t="shared" si="38"/>
        <v>December</v>
      </c>
      <c r="I627" s="4" t="str">
        <f t="shared" si="39"/>
        <v>2021</v>
      </c>
      <c r="J627" s="10" t="s">
        <v>12</v>
      </c>
    </row>
    <row r="628" spans="1:10" x14ac:dyDescent="0.35">
      <c r="A628" s="9" t="s">
        <v>257</v>
      </c>
      <c r="B628" s="3">
        <v>2</v>
      </c>
      <c r="C628" s="4" t="str">
        <f t="shared" si="36"/>
        <v>Bad</v>
      </c>
      <c r="D628" s="3" t="s">
        <v>1293</v>
      </c>
      <c r="E628" s="3" t="s">
        <v>1294</v>
      </c>
      <c r="F628" s="5" t="s">
        <v>1283</v>
      </c>
      <c r="G628" s="4" t="str">
        <f t="shared" si="37"/>
        <v>2nd</v>
      </c>
      <c r="H628" s="4" t="str">
        <f t="shared" si="38"/>
        <v>December</v>
      </c>
      <c r="I628" s="4" t="str">
        <f t="shared" si="39"/>
        <v>2021</v>
      </c>
      <c r="J628" s="10" t="s">
        <v>12</v>
      </c>
    </row>
    <row r="629" spans="1:10" x14ac:dyDescent="0.35">
      <c r="A629" s="9" t="s">
        <v>257</v>
      </c>
      <c r="B629" s="3">
        <v>1</v>
      </c>
      <c r="C629" s="4" t="str">
        <f t="shared" si="36"/>
        <v>Bad</v>
      </c>
      <c r="D629" s="3" t="s">
        <v>1295</v>
      </c>
      <c r="E629" s="3" t="s">
        <v>1296</v>
      </c>
      <c r="F629" s="5" t="s">
        <v>1283</v>
      </c>
      <c r="G629" s="4" t="str">
        <f t="shared" si="37"/>
        <v>2nd</v>
      </c>
      <c r="H629" s="4" t="str">
        <f t="shared" si="38"/>
        <v>December</v>
      </c>
      <c r="I629" s="4" t="str">
        <f t="shared" si="39"/>
        <v>2021</v>
      </c>
      <c r="J629" s="10" t="s">
        <v>12</v>
      </c>
    </row>
    <row r="630" spans="1:10" x14ac:dyDescent="0.35">
      <c r="A630" s="9" t="s">
        <v>257</v>
      </c>
      <c r="B630" s="3">
        <v>1</v>
      </c>
      <c r="C630" s="4" t="str">
        <f t="shared" si="36"/>
        <v>Bad</v>
      </c>
      <c r="D630" s="3" t="s">
        <v>1297</v>
      </c>
      <c r="E630" s="3" t="s">
        <v>1298</v>
      </c>
      <c r="F630" s="5" t="s">
        <v>1283</v>
      </c>
      <c r="G630" s="4" t="str">
        <f t="shared" si="37"/>
        <v>2nd</v>
      </c>
      <c r="H630" s="4" t="str">
        <f t="shared" si="38"/>
        <v>December</v>
      </c>
      <c r="I630" s="4" t="str">
        <f t="shared" si="39"/>
        <v>2021</v>
      </c>
      <c r="J630" s="10" t="s">
        <v>12</v>
      </c>
    </row>
    <row r="631" spans="1:10" x14ac:dyDescent="0.35">
      <c r="A631" s="9" t="s">
        <v>257</v>
      </c>
      <c r="B631" s="3">
        <v>2</v>
      </c>
      <c r="C631" s="4" t="str">
        <f t="shared" si="36"/>
        <v>Bad</v>
      </c>
      <c r="D631" s="3" t="s">
        <v>1299</v>
      </c>
      <c r="E631" s="3" t="s">
        <v>1300</v>
      </c>
      <c r="F631" s="5" t="s">
        <v>1283</v>
      </c>
      <c r="G631" s="4" t="str">
        <f t="shared" si="37"/>
        <v>2nd</v>
      </c>
      <c r="H631" s="4" t="str">
        <f t="shared" si="38"/>
        <v>December</v>
      </c>
      <c r="I631" s="4" t="str">
        <f t="shared" si="39"/>
        <v>2021</v>
      </c>
      <c r="J631" s="10" t="s">
        <v>12</v>
      </c>
    </row>
    <row r="632" spans="1:10" x14ac:dyDescent="0.35">
      <c r="A632" s="9" t="s">
        <v>257</v>
      </c>
      <c r="B632" s="3">
        <v>2</v>
      </c>
      <c r="C632" s="4" t="str">
        <f t="shared" si="36"/>
        <v>Bad</v>
      </c>
      <c r="D632" s="3" t="s">
        <v>1301</v>
      </c>
      <c r="E632" s="3" t="s">
        <v>1302</v>
      </c>
      <c r="F632" s="5" t="s">
        <v>1303</v>
      </c>
      <c r="G632" s="4" t="str">
        <f t="shared" si="37"/>
        <v>24th</v>
      </c>
      <c r="H632" s="4" t="str">
        <f t="shared" si="38"/>
        <v>October</v>
      </c>
      <c r="I632" s="4" t="str">
        <f t="shared" si="39"/>
        <v>2021</v>
      </c>
      <c r="J632" s="10" t="s">
        <v>12</v>
      </c>
    </row>
    <row r="633" spans="1:10" x14ac:dyDescent="0.35">
      <c r="A633" s="9" t="s">
        <v>257</v>
      </c>
      <c r="B633" s="3">
        <v>2</v>
      </c>
      <c r="C633" s="4" t="str">
        <f t="shared" si="36"/>
        <v>Bad</v>
      </c>
      <c r="D633" s="3" t="s">
        <v>1304</v>
      </c>
      <c r="E633" s="3" t="s">
        <v>1305</v>
      </c>
      <c r="F633" s="5" t="s">
        <v>1303</v>
      </c>
      <c r="G633" s="4" t="str">
        <f t="shared" si="37"/>
        <v>24th</v>
      </c>
      <c r="H633" s="4" t="str">
        <f t="shared" si="38"/>
        <v>October</v>
      </c>
      <c r="I633" s="4" t="str">
        <f t="shared" si="39"/>
        <v>2021</v>
      </c>
      <c r="J633" s="10" t="s">
        <v>12</v>
      </c>
    </row>
    <row r="634" spans="1:10" x14ac:dyDescent="0.35">
      <c r="A634" s="9" t="s">
        <v>257</v>
      </c>
      <c r="B634" s="3">
        <v>1</v>
      </c>
      <c r="C634" s="4" t="str">
        <f t="shared" si="36"/>
        <v>Bad</v>
      </c>
      <c r="D634" s="3" t="s">
        <v>1306</v>
      </c>
      <c r="E634" s="3" t="s">
        <v>1307</v>
      </c>
      <c r="F634" s="5" t="s">
        <v>1303</v>
      </c>
      <c r="G634" s="4" t="str">
        <f t="shared" si="37"/>
        <v>24th</v>
      </c>
      <c r="H634" s="4" t="str">
        <f t="shared" si="38"/>
        <v>October</v>
      </c>
      <c r="I634" s="4" t="str">
        <f t="shared" si="39"/>
        <v>2021</v>
      </c>
      <c r="J634" s="10" t="s">
        <v>12</v>
      </c>
    </row>
    <row r="635" spans="1:10" x14ac:dyDescent="0.35">
      <c r="A635" s="9" t="s">
        <v>257</v>
      </c>
      <c r="B635" s="3">
        <v>2</v>
      </c>
      <c r="C635" s="4" t="str">
        <f t="shared" si="36"/>
        <v>Bad</v>
      </c>
      <c r="D635" s="3" t="s">
        <v>1308</v>
      </c>
      <c r="E635" s="3" t="s">
        <v>1309</v>
      </c>
      <c r="F635" s="5" t="s">
        <v>1303</v>
      </c>
      <c r="G635" s="4" t="str">
        <f t="shared" si="37"/>
        <v>24th</v>
      </c>
      <c r="H635" s="4" t="str">
        <f t="shared" si="38"/>
        <v>October</v>
      </c>
      <c r="I635" s="4" t="str">
        <f t="shared" si="39"/>
        <v>2021</v>
      </c>
      <c r="J635" s="10" t="s">
        <v>12</v>
      </c>
    </row>
    <row r="636" spans="1:10" x14ac:dyDescent="0.35">
      <c r="A636" s="9" t="s">
        <v>257</v>
      </c>
      <c r="B636" s="3">
        <v>10</v>
      </c>
      <c r="C636" s="4" t="str">
        <f t="shared" si="36"/>
        <v>Good</v>
      </c>
      <c r="D636" s="3" t="s">
        <v>740</v>
      </c>
      <c r="E636" s="3" t="s">
        <v>1310</v>
      </c>
      <c r="F636" s="5" t="s">
        <v>1303</v>
      </c>
      <c r="G636" s="4" t="str">
        <f t="shared" si="37"/>
        <v>24th</v>
      </c>
      <c r="H636" s="4" t="str">
        <f t="shared" si="38"/>
        <v>October</v>
      </c>
      <c r="I636" s="4" t="str">
        <f t="shared" si="39"/>
        <v>2021</v>
      </c>
      <c r="J636" s="10" t="s">
        <v>9</v>
      </c>
    </row>
    <row r="637" spans="1:10" x14ac:dyDescent="0.35">
      <c r="A637" s="9" t="s">
        <v>257</v>
      </c>
      <c r="B637" s="3">
        <v>1</v>
      </c>
      <c r="C637" s="4" t="str">
        <f t="shared" si="36"/>
        <v>Bad</v>
      </c>
      <c r="D637" s="3" t="s">
        <v>1311</v>
      </c>
      <c r="E637" s="3" t="s">
        <v>1312</v>
      </c>
      <c r="F637" s="5" t="s">
        <v>1303</v>
      </c>
      <c r="G637" s="4" t="str">
        <f t="shared" si="37"/>
        <v>24th</v>
      </c>
      <c r="H637" s="4" t="str">
        <f t="shared" si="38"/>
        <v>October</v>
      </c>
      <c r="I637" s="4" t="str">
        <f t="shared" si="39"/>
        <v>2021</v>
      </c>
      <c r="J637" s="10" t="s">
        <v>12</v>
      </c>
    </row>
    <row r="638" spans="1:10" x14ac:dyDescent="0.35">
      <c r="A638" s="9" t="s">
        <v>257</v>
      </c>
      <c r="B638" s="3">
        <v>1</v>
      </c>
      <c r="C638" s="4" t="str">
        <f t="shared" si="36"/>
        <v>Bad</v>
      </c>
      <c r="D638" s="3" t="s">
        <v>1313</v>
      </c>
      <c r="E638" s="3" t="s">
        <v>1314</v>
      </c>
      <c r="F638" s="5" t="s">
        <v>1303</v>
      </c>
      <c r="G638" s="4" t="str">
        <f t="shared" si="37"/>
        <v>24th</v>
      </c>
      <c r="H638" s="4" t="str">
        <f t="shared" si="38"/>
        <v>October</v>
      </c>
      <c r="I638" s="4" t="str">
        <f t="shared" si="39"/>
        <v>2021</v>
      </c>
      <c r="J638" s="10" t="s">
        <v>12</v>
      </c>
    </row>
    <row r="639" spans="1:10" x14ac:dyDescent="0.35">
      <c r="A639" s="9" t="s">
        <v>257</v>
      </c>
      <c r="B639" s="3">
        <v>10</v>
      </c>
      <c r="C639" s="4" t="str">
        <f t="shared" si="36"/>
        <v>Good</v>
      </c>
      <c r="D639" s="3" t="s">
        <v>1315</v>
      </c>
      <c r="E639" s="3" t="s">
        <v>1316</v>
      </c>
      <c r="F639" s="5" t="s">
        <v>1303</v>
      </c>
      <c r="G639" s="4" t="str">
        <f t="shared" si="37"/>
        <v>24th</v>
      </c>
      <c r="H639" s="4" t="str">
        <f t="shared" si="38"/>
        <v>October</v>
      </c>
      <c r="I639" s="4" t="str">
        <f t="shared" si="39"/>
        <v>2021</v>
      </c>
      <c r="J639" s="10" t="s">
        <v>9</v>
      </c>
    </row>
    <row r="640" spans="1:10" x14ac:dyDescent="0.35">
      <c r="A640" s="9" t="s">
        <v>257</v>
      </c>
      <c r="B640" s="3">
        <v>1</v>
      </c>
      <c r="C640" s="4" t="str">
        <f t="shared" si="36"/>
        <v>Bad</v>
      </c>
      <c r="D640" s="3" t="s">
        <v>1317</v>
      </c>
      <c r="E640" s="3" t="s">
        <v>1318</v>
      </c>
      <c r="F640" s="5" t="s">
        <v>1303</v>
      </c>
      <c r="G640" s="4" t="str">
        <f t="shared" si="37"/>
        <v>24th</v>
      </c>
      <c r="H640" s="4" t="str">
        <f t="shared" si="38"/>
        <v>October</v>
      </c>
      <c r="I640" s="4" t="str">
        <f t="shared" si="39"/>
        <v>2021</v>
      </c>
      <c r="J640" s="10" t="s">
        <v>12</v>
      </c>
    </row>
    <row r="641" spans="1:10" x14ac:dyDescent="0.35">
      <c r="A641" s="9" t="s">
        <v>257</v>
      </c>
      <c r="B641" s="3">
        <v>1</v>
      </c>
      <c r="C641" s="4" t="str">
        <f t="shared" si="36"/>
        <v>Bad</v>
      </c>
      <c r="D641" s="3" t="s">
        <v>1319</v>
      </c>
      <c r="E641" s="3" t="s">
        <v>1320</v>
      </c>
      <c r="F641" s="5" t="s">
        <v>1303</v>
      </c>
      <c r="G641" s="4" t="str">
        <f t="shared" si="37"/>
        <v>24th</v>
      </c>
      <c r="H641" s="4" t="str">
        <f t="shared" si="38"/>
        <v>October</v>
      </c>
      <c r="I641" s="4" t="str">
        <f t="shared" si="39"/>
        <v>2021</v>
      </c>
      <c r="J641" s="10" t="s">
        <v>12</v>
      </c>
    </row>
    <row r="642" spans="1:10" x14ac:dyDescent="0.35">
      <c r="A642" s="9" t="s">
        <v>257</v>
      </c>
      <c r="B642" s="3">
        <v>1</v>
      </c>
      <c r="C642" s="4" t="str">
        <f t="shared" si="36"/>
        <v>Bad</v>
      </c>
      <c r="D642" s="3" t="s">
        <v>1321</v>
      </c>
      <c r="E642" s="3" t="s">
        <v>1322</v>
      </c>
      <c r="F642" s="5" t="s">
        <v>1323</v>
      </c>
      <c r="G642" s="4" t="str">
        <f t="shared" si="37"/>
        <v>12th</v>
      </c>
      <c r="H642" s="4" t="str">
        <f t="shared" si="38"/>
        <v>September</v>
      </c>
      <c r="I642" s="4" t="str">
        <f t="shared" si="39"/>
        <v>2021</v>
      </c>
      <c r="J642" s="10" t="s">
        <v>12</v>
      </c>
    </row>
    <row r="643" spans="1:10" x14ac:dyDescent="0.35">
      <c r="A643" s="9" t="s">
        <v>257</v>
      </c>
      <c r="B643" s="3">
        <v>1</v>
      </c>
      <c r="C643" s="4" t="str">
        <f t="shared" ref="C643:C706" si="40">IF(B643&gt;=8,"Good",IF(B643&gt;=5,"Neutral","Bad"))</f>
        <v>Bad</v>
      </c>
      <c r="D643" s="3" t="s">
        <v>1324</v>
      </c>
      <c r="E643" s="3" t="s">
        <v>1325</v>
      </c>
      <c r="F643" s="5" t="s">
        <v>1323</v>
      </c>
      <c r="G643" s="4" t="str">
        <f t="shared" ref="G643:G706" si="41">LEFT(F643, FIND(" ", F643)-1)</f>
        <v>12th</v>
      </c>
      <c r="H643" s="4" t="str">
        <f t="shared" ref="H643:H706" si="42">TRIM(MID(F643, FIND(" ", F643)+1, FIND(" ", F643, FIND(" ", F643)+1) - FIND(" ", F643)-1))</f>
        <v>September</v>
      </c>
      <c r="I643" s="4" t="str">
        <f t="shared" ref="I643:I706" si="43">RIGHT(F643, 4)</f>
        <v>2021</v>
      </c>
      <c r="J643" s="10" t="s">
        <v>12</v>
      </c>
    </row>
    <row r="644" spans="1:10" x14ac:dyDescent="0.35">
      <c r="A644" s="9" t="s">
        <v>257</v>
      </c>
      <c r="B644" s="3">
        <v>1</v>
      </c>
      <c r="C644" s="4" t="str">
        <f t="shared" si="40"/>
        <v>Bad</v>
      </c>
      <c r="D644" s="3" t="s">
        <v>1326</v>
      </c>
      <c r="E644" s="3" t="s">
        <v>1327</v>
      </c>
      <c r="F644" s="5" t="s">
        <v>1323</v>
      </c>
      <c r="G644" s="4" t="str">
        <f t="shared" si="41"/>
        <v>12th</v>
      </c>
      <c r="H644" s="4" t="str">
        <f t="shared" si="42"/>
        <v>September</v>
      </c>
      <c r="I644" s="4" t="str">
        <f t="shared" si="43"/>
        <v>2021</v>
      </c>
      <c r="J644" s="10" t="s">
        <v>12</v>
      </c>
    </row>
    <row r="645" spans="1:10" x14ac:dyDescent="0.35">
      <c r="A645" s="9" t="s">
        <v>257</v>
      </c>
      <c r="B645" s="3">
        <v>1</v>
      </c>
      <c r="C645" s="4" t="str">
        <f t="shared" si="40"/>
        <v>Bad</v>
      </c>
      <c r="D645" s="3" t="s">
        <v>1328</v>
      </c>
      <c r="E645" s="3" t="s">
        <v>1329</v>
      </c>
      <c r="F645" s="5" t="s">
        <v>1323</v>
      </c>
      <c r="G645" s="4" t="str">
        <f t="shared" si="41"/>
        <v>12th</v>
      </c>
      <c r="H645" s="4" t="str">
        <f t="shared" si="42"/>
        <v>September</v>
      </c>
      <c r="I645" s="4" t="str">
        <f t="shared" si="43"/>
        <v>2021</v>
      </c>
      <c r="J645" s="10" t="s">
        <v>12</v>
      </c>
    </row>
    <row r="646" spans="1:10" x14ac:dyDescent="0.35">
      <c r="A646" s="9" t="s">
        <v>257</v>
      </c>
      <c r="B646" s="3">
        <v>1</v>
      </c>
      <c r="C646" s="4" t="str">
        <f t="shared" si="40"/>
        <v>Bad</v>
      </c>
      <c r="D646" s="3" t="s">
        <v>1330</v>
      </c>
      <c r="E646" s="3" t="s">
        <v>1331</v>
      </c>
      <c r="F646" s="5" t="s">
        <v>1323</v>
      </c>
      <c r="G646" s="4" t="str">
        <f t="shared" si="41"/>
        <v>12th</v>
      </c>
      <c r="H646" s="4" t="str">
        <f t="shared" si="42"/>
        <v>September</v>
      </c>
      <c r="I646" s="4" t="str">
        <f t="shared" si="43"/>
        <v>2021</v>
      </c>
      <c r="J646" s="10" t="s">
        <v>12</v>
      </c>
    </row>
    <row r="647" spans="1:10" x14ac:dyDescent="0.35">
      <c r="A647" s="9" t="s">
        <v>257</v>
      </c>
      <c r="B647" s="3">
        <v>1</v>
      </c>
      <c r="C647" s="4" t="str">
        <f t="shared" si="40"/>
        <v>Bad</v>
      </c>
      <c r="D647" s="3" t="s">
        <v>1332</v>
      </c>
      <c r="E647" s="3" t="s">
        <v>1333</v>
      </c>
      <c r="F647" s="5" t="s">
        <v>1323</v>
      </c>
      <c r="G647" s="4" t="str">
        <f t="shared" si="41"/>
        <v>12th</v>
      </c>
      <c r="H647" s="4" t="str">
        <f t="shared" si="42"/>
        <v>September</v>
      </c>
      <c r="I647" s="4" t="str">
        <f t="shared" si="43"/>
        <v>2021</v>
      </c>
      <c r="J647" s="10" t="s">
        <v>12</v>
      </c>
    </row>
    <row r="648" spans="1:10" x14ac:dyDescent="0.35">
      <c r="A648" s="9" t="s">
        <v>257</v>
      </c>
      <c r="B648" s="3">
        <v>2</v>
      </c>
      <c r="C648" s="4" t="str">
        <f t="shared" si="40"/>
        <v>Bad</v>
      </c>
      <c r="D648" s="3" t="s">
        <v>1334</v>
      </c>
      <c r="E648" s="3" t="s">
        <v>1335</v>
      </c>
      <c r="F648" s="5" t="s">
        <v>1323</v>
      </c>
      <c r="G648" s="4" t="str">
        <f t="shared" si="41"/>
        <v>12th</v>
      </c>
      <c r="H648" s="4" t="str">
        <f t="shared" si="42"/>
        <v>September</v>
      </c>
      <c r="I648" s="4" t="str">
        <f t="shared" si="43"/>
        <v>2021</v>
      </c>
      <c r="J648" s="10" t="s">
        <v>12</v>
      </c>
    </row>
    <row r="649" spans="1:10" x14ac:dyDescent="0.35">
      <c r="A649" s="9" t="s">
        <v>257</v>
      </c>
      <c r="B649" s="3">
        <v>1</v>
      </c>
      <c r="C649" s="4" t="str">
        <f t="shared" si="40"/>
        <v>Bad</v>
      </c>
      <c r="D649" s="3" t="s">
        <v>1336</v>
      </c>
      <c r="E649" s="3" t="s">
        <v>1337</v>
      </c>
      <c r="F649" s="5" t="s">
        <v>1323</v>
      </c>
      <c r="G649" s="4" t="str">
        <f t="shared" si="41"/>
        <v>12th</v>
      </c>
      <c r="H649" s="4" t="str">
        <f t="shared" si="42"/>
        <v>September</v>
      </c>
      <c r="I649" s="4" t="str">
        <f t="shared" si="43"/>
        <v>2021</v>
      </c>
      <c r="J649" s="10" t="s">
        <v>12</v>
      </c>
    </row>
    <row r="650" spans="1:10" x14ac:dyDescent="0.35">
      <c r="A650" s="9" t="s">
        <v>257</v>
      </c>
      <c r="B650" s="3">
        <v>1</v>
      </c>
      <c r="C650" s="4" t="str">
        <f t="shared" si="40"/>
        <v>Bad</v>
      </c>
      <c r="D650" s="3" t="s">
        <v>1338</v>
      </c>
      <c r="E650" s="3" t="s">
        <v>1339</v>
      </c>
      <c r="F650" s="5" t="s">
        <v>1323</v>
      </c>
      <c r="G650" s="4" t="str">
        <f t="shared" si="41"/>
        <v>12th</v>
      </c>
      <c r="H650" s="4" t="str">
        <f t="shared" si="42"/>
        <v>September</v>
      </c>
      <c r="I650" s="4" t="str">
        <f t="shared" si="43"/>
        <v>2021</v>
      </c>
      <c r="J650" s="10" t="s">
        <v>12</v>
      </c>
    </row>
    <row r="651" spans="1:10" x14ac:dyDescent="0.35">
      <c r="A651" s="9" t="s">
        <v>257</v>
      </c>
      <c r="B651" s="3">
        <v>1</v>
      </c>
      <c r="C651" s="4" t="str">
        <f t="shared" si="40"/>
        <v>Bad</v>
      </c>
      <c r="D651" s="3" t="s">
        <v>1340</v>
      </c>
      <c r="E651" s="3" t="s">
        <v>1341</v>
      </c>
      <c r="F651" s="5" t="s">
        <v>1323</v>
      </c>
      <c r="G651" s="4" t="str">
        <f t="shared" si="41"/>
        <v>12th</v>
      </c>
      <c r="H651" s="4" t="str">
        <f t="shared" si="42"/>
        <v>September</v>
      </c>
      <c r="I651" s="4" t="str">
        <f t="shared" si="43"/>
        <v>2021</v>
      </c>
      <c r="J651" s="10" t="s">
        <v>12</v>
      </c>
    </row>
    <row r="652" spans="1:10" x14ac:dyDescent="0.35">
      <c r="A652" s="9" t="s">
        <v>257</v>
      </c>
      <c r="B652" s="3">
        <v>1</v>
      </c>
      <c r="C652" s="4" t="str">
        <f t="shared" si="40"/>
        <v>Bad</v>
      </c>
      <c r="D652" s="3" t="s">
        <v>1342</v>
      </c>
      <c r="E652" s="3" t="s">
        <v>1343</v>
      </c>
      <c r="F652" s="5" t="s">
        <v>1344</v>
      </c>
      <c r="G652" s="4" t="str">
        <f t="shared" si="41"/>
        <v>17th</v>
      </c>
      <c r="H652" s="4" t="str">
        <f t="shared" si="42"/>
        <v>June</v>
      </c>
      <c r="I652" s="4" t="str">
        <f t="shared" si="43"/>
        <v>2021</v>
      </c>
      <c r="J652" s="10" t="s">
        <v>12</v>
      </c>
    </row>
    <row r="653" spans="1:10" x14ac:dyDescent="0.35">
      <c r="A653" s="9" t="s">
        <v>257</v>
      </c>
      <c r="B653" s="3">
        <v>1</v>
      </c>
      <c r="C653" s="4" t="str">
        <f t="shared" si="40"/>
        <v>Bad</v>
      </c>
      <c r="D653" s="3" t="s">
        <v>1345</v>
      </c>
      <c r="E653" s="3" t="s">
        <v>1346</v>
      </c>
      <c r="F653" s="5" t="s">
        <v>1344</v>
      </c>
      <c r="G653" s="4" t="str">
        <f t="shared" si="41"/>
        <v>17th</v>
      </c>
      <c r="H653" s="4" t="str">
        <f t="shared" si="42"/>
        <v>June</v>
      </c>
      <c r="I653" s="4" t="str">
        <f t="shared" si="43"/>
        <v>2021</v>
      </c>
      <c r="J653" s="10" t="s">
        <v>12</v>
      </c>
    </row>
    <row r="654" spans="1:10" x14ac:dyDescent="0.35">
      <c r="A654" s="9" t="s">
        <v>257</v>
      </c>
      <c r="B654" s="3">
        <v>2</v>
      </c>
      <c r="C654" s="4" t="str">
        <f t="shared" si="40"/>
        <v>Bad</v>
      </c>
      <c r="D654" s="3" t="s">
        <v>1347</v>
      </c>
      <c r="E654" s="3" t="s">
        <v>1348</v>
      </c>
      <c r="F654" s="5" t="s">
        <v>1344</v>
      </c>
      <c r="G654" s="4" t="str">
        <f t="shared" si="41"/>
        <v>17th</v>
      </c>
      <c r="H654" s="4" t="str">
        <f t="shared" si="42"/>
        <v>June</v>
      </c>
      <c r="I654" s="4" t="str">
        <f t="shared" si="43"/>
        <v>2021</v>
      </c>
      <c r="J654" s="10" t="s">
        <v>12</v>
      </c>
    </row>
    <row r="655" spans="1:10" x14ac:dyDescent="0.35">
      <c r="A655" s="9" t="s">
        <v>257</v>
      </c>
      <c r="B655" s="3">
        <v>1</v>
      </c>
      <c r="C655" s="4" t="str">
        <f t="shared" si="40"/>
        <v>Bad</v>
      </c>
      <c r="D655" s="3" t="s">
        <v>1349</v>
      </c>
      <c r="E655" s="3" t="s">
        <v>1350</v>
      </c>
      <c r="F655" s="5" t="s">
        <v>1344</v>
      </c>
      <c r="G655" s="4" t="str">
        <f t="shared" si="41"/>
        <v>17th</v>
      </c>
      <c r="H655" s="4" t="str">
        <f t="shared" si="42"/>
        <v>June</v>
      </c>
      <c r="I655" s="4" t="str">
        <f t="shared" si="43"/>
        <v>2021</v>
      </c>
      <c r="J655" s="10" t="s">
        <v>12</v>
      </c>
    </row>
    <row r="656" spans="1:10" x14ac:dyDescent="0.35">
      <c r="A656" s="9" t="s">
        <v>257</v>
      </c>
      <c r="B656" s="3">
        <v>1</v>
      </c>
      <c r="C656" s="4" t="str">
        <f t="shared" si="40"/>
        <v>Bad</v>
      </c>
      <c r="D656" s="3" t="s">
        <v>708</v>
      </c>
      <c r="E656" s="3" t="s">
        <v>1351</v>
      </c>
      <c r="F656" s="5" t="s">
        <v>1344</v>
      </c>
      <c r="G656" s="4" t="str">
        <f t="shared" si="41"/>
        <v>17th</v>
      </c>
      <c r="H656" s="4" t="str">
        <f t="shared" si="42"/>
        <v>June</v>
      </c>
      <c r="I656" s="4" t="str">
        <f t="shared" si="43"/>
        <v>2021</v>
      </c>
      <c r="J656" s="10" t="s">
        <v>12</v>
      </c>
    </row>
    <row r="657" spans="1:10" x14ac:dyDescent="0.35">
      <c r="A657" s="9" t="s">
        <v>257</v>
      </c>
      <c r="B657" s="3">
        <v>1</v>
      </c>
      <c r="C657" s="4" t="str">
        <f t="shared" si="40"/>
        <v>Bad</v>
      </c>
      <c r="D657" s="3" t="s">
        <v>1352</v>
      </c>
      <c r="E657" s="3" t="s">
        <v>1353</v>
      </c>
      <c r="F657" s="5" t="s">
        <v>1344</v>
      </c>
      <c r="G657" s="4" t="str">
        <f t="shared" si="41"/>
        <v>17th</v>
      </c>
      <c r="H657" s="4" t="str">
        <f t="shared" si="42"/>
        <v>June</v>
      </c>
      <c r="I657" s="4" t="str">
        <f t="shared" si="43"/>
        <v>2021</v>
      </c>
      <c r="J657" s="10" t="s">
        <v>12</v>
      </c>
    </row>
    <row r="658" spans="1:10" x14ac:dyDescent="0.35">
      <c r="A658" s="9" t="s">
        <v>257</v>
      </c>
      <c r="B658" s="3">
        <v>4</v>
      </c>
      <c r="C658" s="4" t="str">
        <f t="shared" si="40"/>
        <v>Bad</v>
      </c>
      <c r="D658" s="3" t="s">
        <v>1354</v>
      </c>
      <c r="E658" s="3" t="s">
        <v>1355</v>
      </c>
      <c r="F658" s="5" t="s">
        <v>1344</v>
      </c>
      <c r="G658" s="4" t="str">
        <f t="shared" si="41"/>
        <v>17th</v>
      </c>
      <c r="H658" s="4" t="str">
        <f t="shared" si="42"/>
        <v>June</v>
      </c>
      <c r="I658" s="4" t="str">
        <f t="shared" si="43"/>
        <v>2021</v>
      </c>
      <c r="J658" s="10" t="s">
        <v>12</v>
      </c>
    </row>
    <row r="659" spans="1:10" x14ac:dyDescent="0.35">
      <c r="A659" s="9" t="s">
        <v>257</v>
      </c>
      <c r="B659" s="3">
        <v>5</v>
      </c>
      <c r="C659" s="4" t="str">
        <f t="shared" si="40"/>
        <v>Neutral</v>
      </c>
      <c r="D659" s="3" t="s">
        <v>1356</v>
      </c>
      <c r="E659" s="3" t="s">
        <v>1357</v>
      </c>
      <c r="F659" s="5" t="s">
        <v>1344</v>
      </c>
      <c r="G659" s="4" t="str">
        <f t="shared" si="41"/>
        <v>17th</v>
      </c>
      <c r="H659" s="4" t="str">
        <f t="shared" si="42"/>
        <v>June</v>
      </c>
      <c r="I659" s="4" t="str">
        <f t="shared" si="43"/>
        <v>2021</v>
      </c>
      <c r="J659" s="10" t="s">
        <v>9</v>
      </c>
    </row>
    <row r="660" spans="1:10" x14ac:dyDescent="0.35">
      <c r="A660" s="9" t="s">
        <v>257</v>
      </c>
      <c r="B660" s="3">
        <v>4</v>
      </c>
      <c r="C660" s="4" t="str">
        <f t="shared" si="40"/>
        <v>Bad</v>
      </c>
      <c r="D660" s="3" t="s">
        <v>1358</v>
      </c>
      <c r="E660" s="3" t="s">
        <v>1359</v>
      </c>
      <c r="F660" s="5" t="s">
        <v>1344</v>
      </c>
      <c r="G660" s="4" t="str">
        <f t="shared" si="41"/>
        <v>17th</v>
      </c>
      <c r="H660" s="4" t="str">
        <f t="shared" si="42"/>
        <v>June</v>
      </c>
      <c r="I660" s="4" t="str">
        <f t="shared" si="43"/>
        <v>2021</v>
      </c>
      <c r="J660" s="10" t="s">
        <v>12</v>
      </c>
    </row>
    <row r="661" spans="1:10" x14ac:dyDescent="0.35">
      <c r="A661" s="9" t="s">
        <v>257</v>
      </c>
      <c r="B661" s="3">
        <v>2</v>
      </c>
      <c r="C661" s="4" t="str">
        <f t="shared" si="40"/>
        <v>Bad</v>
      </c>
      <c r="D661" s="3" t="s">
        <v>1360</v>
      </c>
      <c r="E661" s="3" t="s">
        <v>1361</v>
      </c>
      <c r="F661" s="5" t="s">
        <v>1344</v>
      </c>
      <c r="G661" s="4" t="str">
        <f t="shared" si="41"/>
        <v>17th</v>
      </c>
      <c r="H661" s="4" t="str">
        <f t="shared" si="42"/>
        <v>June</v>
      </c>
      <c r="I661" s="4" t="str">
        <f t="shared" si="43"/>
        <v>2021</v>
      </c>
      <c r="J661" s="10" t="s">
        <v>12</v>
      </c>
    </row>
    <row r="662" spans="1:10" x14ac:dyDescent="0.35">
      <c r="A662" s="9" t="s">
        <v>257</v>
      </c>
      <c r="B662" s="3">
        <v>9</v>
      </c>
      <c r="C662" s="4" t="str">
        <f t="shared" si="40"/>
        <v>Good</v>
      </c>
      <c r="D662" s="3" t="s">
        <v>1362</v>
      </c>
      <c r="E662" s="3" t="s">
        <v>1363</v>
      </c>
      <c r="F662" s="5" t="s">
        <v>1364</v>
      </c>
      <c r="G662" s="4" t="str">
        <f t="shared" si="41"/>
        <v>14th</v>
      </c>
      <c r="H662" s="4" t="str">
        <f t="shared" si="42"/>
        <v>March</v>
      </c>
      <c r="I662" s="4" t="str">
        <f t="shared" si="43"/>
        <v>2021</v>
      </c>
      <c r="J662" s="10" t="s">
        <v>9</v>
      </c>
    </row>
    <row r="663" spans="1:10" x14ac:dyDescent="0.35">
      <c r="A663" s="9" t="s">
        <v>257</v>
      </c>
      <c r="B663" s="3">
        <v>1</v>
      </c>
      <c r="C663" s="4" t="str">
        <f t="shared" si="40"/>
        <v>Bad</v>
      </c>
      <c r="D663" s="3" t="s">
        <v>1365</v>
      </c>
      <c r="E663" s="3" t="s">
        <v>1366</v>
      </c>
      <c r="F663" s="5" t="s">
        <v>1364</v>
      </c>
      <c r="G663" s="4" t="str">
        <f t="shared" si="41"/>
        <v>14th</v>
      </c>
      <c r="H663" s="4" t="str">
        <f t="shared" si="42"/>
        <v>March</v>
      </c>
      <c r="I663" s="4" t="str">
        <f t="shared" si="43"/>
        <v>2021</v>
      </c>
      <c r="J663" s="10" t="s">
        <v>12</v>
      </c>
    </row>
    <row r="664" spans="1:10" x14ac:dyDescent="0.35">
      <c r="A664" s="9" t="s">
        <v>257</v>
      </c>
      <c r="B664" s="3">
        <v>1</v>
      </c>
      <c r="C664" s="4" t="str">
        <f t="shared" si="40"/>
        <v>Bad</v>
      </c>
      <c r="D664" s="3" t="s">
        <v>1367</v>
      </c>
      <c r="E664" s="3" t="s">
        <v>1368</v>
      </c>
      <c r="F664" s="5" t="s">
        <v>1364</v>
      </c>
      <c r="G664" s="4" t="str">
        <f t="shared" si="41"/>
        <v>14th</v>
      </c>
      <c r="H664" s="4" t="str">
        <f t="shared" si="42"/>
        <v>March</v>
      </c>
      <c r="I664" s="4" t="str">
        <f t="shared" si="43"/>
        <v>2021</v>
      </c>
      <c r="J664" s="10" t="s">
        <v>12</v>
      </c>
    </row>
    <row r="665" spans="1:10" x14ac:dyDescent="0.35">
      <c r="A665" s="9" t="s">
        <v>257</v>
      </c>
      <c r="B665" s="3">
        <v>1</v>
      </c>
      <c r="C665" s="4" t="str">
        <f t="shared" si="40"/>
        <v>Bad</v>
      </c>
      <c r="D665" s="3" t="s">
        <v>1369</v>
      </c>
      <c r="E665" s="3" t="s">
        <v>1370</v>
      </c>
      <c r="F665" s="5" t="s">
        <v>1364</v>
      </c>
      <c r="G665" s="4" t="str">
        <f t="shared" si="41"/>
        <v>14th</v>
      </c>
      <c r="H665" s="4" t="str">
        <f t="shared" si="42"/>
        <v>March</v>
      </c>
      <c r="I665" s="4" t="str">
        <f t="shared" si="43"/>
        <v>2021</v>
      </c>
      <c r="J665" s="10" t="s">
        <v>12</v>
      </c>
    </row>
    <row r="666" spans="1:10" x14ac:dyDescent="0.35">
      <c r="A666" s="9" t="s">
        <v>257</v>
      </c>
      <c r="B666" s="3">
        <v>7</v>
      </c>
      <c r="C666" s="4" t="str">
        <f t="shared" si="40"/>
        <v>Neutral</v>
      </c>
      <c r="D666" s="3" t="s">
        <v>1371</v>
      </c>
      <c r="E666" s="3" t="s">
        <v>544</v>
      </c>
      <c r="F666" s="5" t="s">
        <v>1364</v>
      </c>
      <c r="G666" s="4" t="str">
        <f t="shared" si="41"/>
        <v>14th</v>
      </c>
      <c r="H666" s="4" t="str">
        <f t="shared" si="42"/>
        <v>March</v>
      </c>
      <c r="I666" s="4" t="str">
        <f t="shared" si="43"/>
        <v>2021</v>
      </c>
      <c r="J666" s="10" t="s">
        <v>9</v>
      </c>
    </row>
    <row r="667" spans="1:10" x14ac:dyDescent="0.35">
      <c r="A667" s="9" t="s">
        <v>257</v>
      </c>
      <c r="B667" s="3">
        <v>1</v>
      </c>
      <c r="C667" s="4" t="str">
        <f t="shared" si="40"/>
        <v>Bad</v>
      </c>
      <c r="D667" s="3" t="s">
        <v>1372</v>
      </c>
      <c r="E667" s="3" t="s">
        <v>1373</v>
      </c>
      <c r="F667" s="5" t="s">
        <v>1364</v>
      </c>
      <c r="G667" s="4" t="str">
        <f t="shared" si="41"/>
        <v>14th</v>
      </c>
      <c r="H667" s="4" t="str">
        <f t="shared" si="42"/>
        <v>March</v>
      </c>
      <c r="I667" s="4" t="str">
        <f t="shared" si="43"/>
        <v>2021</v>
      </c>
      <c r="J667" s="10" t="s">
        <v>12</v>
      </c>
    </row>
    <row r="668" spans="1:10" x14ac:dyDescent="0.35">
      <c r="A668" s="9" t="s">
        <v>257</v>
      </c>
      <c r="B668" s="3">
        <v>1</v>
      </c>
      <c r="C668" s="4" t="str">
        <f t="shared" si="40"/>
        <v>Bad</v>
      </c>
      <c r="D668" s="3" t="s">
        <v>1374</v>
      </c>
      <c r="E668" s="3" t="s">
        <v>1375</v>
      </c>
      <c r="F668" s="5" t="s">
        <v>1364</v>
      </c>
      <c r="G668" s="4" t="str">
        <f t="shared" si="41"/>
        <v>14th</v>
      </c>
      <c r="H668" s="4" t="str">
        <f t="shared" si="42"/>
        <v>March</v>
      </c>
      <c r="I668" s="4" t="str">
        <f t="shared" si="43"/>
        <v>2021</v>
      </c>
      <c r="J668" s="10" t="s">
        <v>12</v>
      </c>
    </row>
    <row r="669" spans="1:10" x14ac:dyDescent="0.35">
      <c r="A669" s="9" t="s">
        <v>257</v>
      </c>
      <c r="B669" s="3">
        <v>1</v>
      </c>
      <c r="C669" s="4" t="str">
        <f t="shared" si="40"/>
        <v>Bad</v>
      </c>
      <c r="D669" s="3" t="s">
        <v>1376</v>
      </c>
      <c r="E669" s="3" t="s">
        <v>1377</v>
      </c>
      <c r="F669" s="5" t="s">
        <v>1364</v>
      </c>
      <c r="G669" s="4" t="str">
        <f t="shared" si="41"/>
        <v>14th</v>
      </c>
      <c r="H669" s="4" t="str">
        <f t="shared" si="42"/>
        <v>March</v>
      </c>
      <c r="I669" s="4" t="str">
        <f t="shared" si="43"/>
        <v>2021</v>
      </c>
      <c r="J669" s="10" t="s">
        <v>12</v>
      </c>
    </row>
    <row r="670" spans="1:10" x14ac:dyDescent="0.35">
      <c r="A670" s="9" t="s">
        <v>257</v>
      </c>
      <c r="B670" s="3">
        <v>2</v>
      </c>
      <c r="C670" s="4" t="str">
        <f t="shared" si="40"/>
        <v>Bad</v>
      </c>
      <c r="D670" s="3" t="s">
        <v>1378</v>
      </c>
      <c r="E670" s="3" t="s">
        <v>1379</v>
      </c>
      <c r="F670" s="5" t="s">
        <v>1364</v>
      </c>
      <c r="G670" s="4" t="str">
        <f t="shared" si="41"/>
        <v>14th</v>
      </c>
      <c r="H670" s="4" t="str">
        <f t="shared" si="42"/>
        <v>March</v>
      </c>
      <c r="I670" s="4" t="str">
        <f t="shared" si="43"/>
        <v>2021</v>
      </c>
      <c r="J670" s="10" t="s">
        <v>12</v>
      </c>
    </row>
    <row r="671" spans="1:10" x14ac:dyDescent="0.35">
      <c r="A671" s="9" t="s">
        <v>257</v>
      </c>
      <c r="B671" s="3">
        <v>3</v>
      </c>
      <c r="C671" s="4" t="str">
        <f t="shared" si="40"/>
        <v>Bad</v>
      </c>
      <c r="D671" s="3" t="s">
        <v>1380</v>
      </c>
      <c r="E671" s="3" t="s">
        <v>1381</v>
      </c>
      <c r="F671" s="5" t="s">
        <v>1364</v>
      </c>
      <c r="G671" s="4" t="str">
        <f t="shared" si="41"/>
        <v>14th</v>
      </c>
      <c r="H671" s="4" t="str">
        <f t="shared" si="42"/>
        <v>March</v>
      </c>
      <c r="I671" s="4" t="str">
        <f t="shared" si="43"/>
        <v>2021</v>
      </c>
      <c r="J671" s="10" t="s">
        <v>12</v>
      </c>
    </row>
    <row r="672" spans="1:10" x14ac:dyDescent="0.35">
      <c r="A672" s="9" t="s">
        <v>1382</v>
      </c>
      <c r="B672" s="3">
        <v>1</v>
      </c>
      <c r="C672" s="4" t="str">
        <f t="shared" si="40"/>
        <v>Bad</v>
      </c>
      <c r="D672" s="3" t="s">
        <v>1383</v>
      </c>
      <c r="E672" s="3" t="s">
        <v>1384</v>
      </c>
      <c r="F672" s="5" t="s">
        <v>1385</v>
      </c>
      <c r="G672" s="4" t="str">
        <f t="shared" si="41"/>
        <v>12th</v>
      </c>
      <c r="H672" s="4" t="str">
        <f t="shared" si="42"/>
        <v>September</v>
      </c>
      <c r="I672" s="4" t="str">
        <f t="shared" si="43"/>
        <v>2024</v>
      </c>
      <c r="J672" s="10" t="s">
        <v>12</v>
      </c>
    </row>
    <row r="673" spans="1:10" x14ac:dyDescent="0.35">
      <c r="A673" s="9" t="s">
        <v>1382</v>
      </c>
      <c r="B673" s="3">
        <v>3</v>
      </c>
      <c r="C673" s="4" t="str">
        <f t="shared" si="40"/>
        <v>Bad</v>
      </c>
      <c r="D673" s="3" t="s">
        <v>1386</v>
      </c>
      <c r="E673" s="3" t="s">
        <v>1387</v>
      </c>
      <c r="F673" s="5" t="s">
        <v>1385</v>
      </c>
      <c r="G673" s="4" t="str">
        <f t="shared" si="41"/>
        <v>12th</v>
      </c>
      <c r="H673" s="4" t="str">
        <f t="shared" si="42"/>
        <v>September</v>
      </c>
      <c r="I673" s="4" t="str">
        <f t="shared" si="43"/>
        <v>2024</v>
      </c>
      <c r="J673" s="10" t="s">
        <v>12</v>
      </c>
    </row>
    <row r="674" spans="1:10" x14ac:dyDescent="0.35">
      <c r="A674" s="9" t="s">
        <v>1382</v>
      </c>
      <c r="B674" s="3">
        <v>1</v>
      </c>
      <c r="C674" s="4" t="str">
        <f t="shared" si="40"/>
        <v>Bad</v>
      </c>
      <c r="D674" s="3" t="s">
        <v>1388</v>
      </c>
      <c r="E674" s="3" t="s">
        <v>1389</v>
      </c>
      <c r="F674" s="5" t="s">
        <v>1385</v>
      </c>
      <c r="G674" s="4" t="str">
        <f t="shared" si="41"/>
        <v>12th</v>
      </c>
      <c r="H674" s="4" t="str">
        <f t="shared" si="42"/>
        <v>September</v>
      </c>
      <c r="I674" s="4" t="str">
        <f t="shared" si="43"/>
        <v>2024</v>
      </c>
      <c r="J674" s="10" t="s">
        <v>12</v>
      </c>
    </row>
    <row r="675" spans="1:10" x14ac:dyDescent="0.35">
      <c r="A675" s="9" t="s">
        <v>1382</v>
      </c>
      <c r="B675" s="3">
        <v>1</v>
      </c>
      <c r="C675" s="4" t="str">
        <f t="shared" si="40"/>
        <v>Bad</v>
      </c>
      <c r="D675" s="3" t="s">
        <v>1390</v>
      </c>
      <c r="E675" s="3" t="s">
        <v>1391</v>
      </c>
      <c r="F675" s="5" t="s">
        <v>1385</v>
      </c>
      <c r="G675" s="4" t="str">
        <f t="shared" si="41"/>
        <v>12th</v>
      </c>
      <c r="H675" s="4" t="str">
        <f t="shared" si="42"/>
        <v>September</v>
      </c>
      <c r="I675" s="4" t="str">
        <f t="shared" si="43"/>
        <v>2024</v>
      </c>
      <c r="J675" s="10" t="s">
        <v>12</v>
      </c>
    </row>
    <row r="676" spans="1:10" x14ac:dyDescent="0.35">
      <c r="A676" s="9" t="s">
        <v>1382</v>
      </c>
      <c r="B676" s="3">
        <v>1</v>
      </c>
      <c r="C676" s="4" t="str">
        <f t="shared" si="40"/>
        <v>Bad</v>
      </c>
      <c r="D676" s="3" t="s">
        <v>1392</v>
      </c>
      <c r="E676" s="3" t="s">
        <v>1393</v>
      </c>
      <c r="F676" s="5" t="s">
        <v>1385</v>
      </c>
      <c r="G676" s="4" t="str">
        <f t="shared" si="41"/>
        <v>12th</v>
      </c>
      <c r="H676" s="4" t="str">
        <f t="shared" si="42"/>
        <v>September</v>
      </c>
      <c r="I676" s="4" t="str">
        <f t="shared" si="43"/>
        <v>2024</v>
      </c>
      <c r="J676" s="10" t="s">
        <v>12</v>
      </c>
    </row>
    <row r="677" spans="1:10" x14ac:dyDescent="0.35">
      <c r="A677" s="9" t="s">
        <v>1382</v>
      </c>
      <c r="B677" s="3">
        <v>1</v>
      </c>
      <c r="C677" s="4" t="str">
        <f t="shared" si="40"/>
        <v>Bad</v>
      </c>
      <c r="D677" s="3" t="s">
        <v>1394</v>
      </c>
      <c r="E677" s="3" t="s">
        <v>1395</v>
      </c>
      <c r="F677" s="5" t="s">
        <v>1385</v>
      </c>
      <c r="G677" s="4" t="str">
        <f t="shared" si="41"/>
        <v>12th</v>
      </c>
      <c r="H677" s="4" t="str">
        <f t="shared" si="42"/>
        <v>September</v>
      </c>
      <c r="I677" s="4" t="str">
        <f t="shared" si="43"/>
        <v>2024</v>
      </c>
      <c r="J677" s="10" t="s">
        <v>12</v>
      </c>
    </row>
    <row r="678" spans="1:10" x14ac:dyDescent="0.35">
      <c r="A678" s="9" t="s">
        <v>1382</v>
      </c>
      <c r="B678" s="3">
        <v>1</v>
      </c>
      <c r="C678" s="4" t="str">
        <f t="shared" si="40"/>
        <v>Bad</v>
      </c>
      <c r="D678" s="3" t="s">
        <v>744</v>
      </c>
      <c r="E678" s="3" t="s">
        <v>1396</v>
      </c>
      <c r="F678" s="5" t="s">
        <v>1385</v>
      </c>
      <c r="G678" s="4" t="str">
        <f t="shared" si="41"/>
        <v>12th</v>
      </c>
      <c r="H678" s="4" t="str">
        <f t="shared" si="42"/>
        <v>September</v>
      </c>
      <c r="I678" s="4" t="str">
        <f t="shared" si="43"/>
        <v>2024</v>
      </c>
      <c r="J678" s="10" t="s">
        <v>12</v>
      </c>
    </row>
    <row r="679" spans="1:10" x14ac:dyDescent="0.35">
      <c r="A679" s="9" t="s">
        <v>1382</v>
      </c>
      <c r="B679" s="3">
        <v>1</v>
      </c>
      <c r="C679" s="4" t="str">
        <f t="shared" si="40"/>
        <v>Bad</v>
      </c>
      <c r="D679" s="3" t="s">
        <v>1397</v>
      </c>
      <c r="E679" s="3" t="s">
        <v>1398</v>
      </c>
      <c r="F679" s="5" t="s">
        <v>1385</v>
      </c>
      <c r="G679" s="4" t="str">
        <f t="shared" si="41"/>
        <v>12th</v>
      </c>
      <c r="H679" s="4" t="str">
        <f t="shared" si="42"/>
        <v>September</v>
      </c>
      <c r="I679" s="4" t="str">
        <f t="shared" si="43"/>
        <v>2024</v>
      </c>
      <c r="J679" s="10" t="s">
        <v>12</v>
      </c>
    </row>
    <row r="680" spans="1:10" x14ac:dyDescent="0.35">
      <c r="A680" s="9" t="s">
        <v>1382</v>
      </c>
      <c r="B680" s="3">
        <v>1</v>
      </c>
      <c r="C680" s="4" t="str">
        <f t="shared" si="40"/>
        <v>Bad</v>
      </c>
      <c r="D680" s="3" t="s">
        <v>744</v>
      </c>
      <c r="E680" s="3" t="s">
        <v>1399</v>
      </c>
      <c r="F680" s="5" t="s">
        <v>1385</v>
      </c>
      <c r="G680" s="4" t="str">
        <f t="shared" si="41"/>
        <v>12th</v>
      </c>
      <c r="H680" s="4" t="str">
        <f t="shared" si="42"/>
        <v>September</v>
      </c>
      <c r="I680" s="4" t="str">
        <f t="shared" si="43"/>
        <v>2024</v>
      </c>
      <c r="J680" s="10" t="s">
        <v>12</v>
      </c>
    </row>
    <row r="681" spans="1:10" x14ac:dyDescent="0.35">
      <c r="A681" s="9" t="s">
        <v>1382</v>
      </c>
      <c r="B681" s="3">
        <v>1</v>
      </c>
      <c r="C681" s="4" t="str">
        <f t="shared" si="40"/>
        <v>Bad</v>
      </c>
      <c r="D681" s="3" t="s">
        <v>1400</v>
      </c>
      <c r="E681" s="3" t="s">
        <v>1401</v>
      </c>
      <c r="F681" s="5" t="s">
        <v>1385</v>
      </c>
      <c r="G681" s="4" t="str">
        <f t="shared" si="41"/>
        <v>12th</v>
      </c>
      <c r="H681" s="4" t="str">
        <f t="shared" si="42"/>
        <v>September</v>
      </c>
      <c r="I681" s="4" t="str">
        <f t="shared" si="43"/>
        <v>2024</v>
      </c>
      <c r="J681" s="10" t="s">
        <v>12</v>
      </c>
    </row>
    <row r="682" spans="1:10" x14ac:dyDescent="0.35">
      <c r="A682" s="9" t="s">
        <v>1382</v>
      </c>
      <c r="B682" s="3">
        <v>2</v>
      </c>
      <c r="C682" s="4" t="str">
        <f t="shared" si="40"/>
        <v>Bad</v>
      </c>
      <c r="D682" s="3" t="s">
        <v>1402</v>
      </c>
      <c r="E682" s="3" t="s">
        <v>1403</v>
      </c>
      <c r="F682" s="5" t="s">
        <v>1404</v>
      </c>
      <c r="G682" s="4" t="str">
        <f t="shared" si="41"/>
        <v>15th</v>
      </c>
      <c r="H682" s="4" t="str">
        <f t="shared" si="42"/>
        <v>June</v>
      </c>
      <c r="I682" s="4" t="str">
        <f t="shared" si="43"/>
        <v>2024</v>
      </c>
      <c r="J682" s="10" t="s">
        <v>12</v>
      </c>
    </row>
    <row r="683" spans="1:10" x14ac:dyDescent="0.35">
      <c r="A683" s="9" t="s">
        <v>1382</v>
      </c>
      <c r="B683" s="3">
        <v>1</v>
      </c>
      <c r="C683" s="4" t="str">
        <f t="shared" si="40"/>
        <v>Bad</v>
      </c>
      <c r="D683" s="3" t="s">
        <v>1405</v>
      </c>
      <c r="E683" s="3" t="s">
        <v>1406</v>
      </c>
      <c r="F683" s="5" t="s">
        <v>1404</v>
      </c>
      <c r="G683" s="4" t="str">
        <f t="shared" si="41"/>
        <v>15th</v>
      </c>
      <c r="H683" s="4" t="str">
        <f t="shared" si="42"/>
        <v>June</v>
      </c>
      <c r="I683" s="4" t="str">
        <f t="shared" si="43"/>
        <v>2024</v>
      </c>
      <c r="J683" s="10" t="s">
        <v>12</v>
      </c>
    </row>
    <row r="684" spans="1:10" x14ac:dyDescent="0.35">
      <c r="A684" s="9" t="s">
        <v>1382</v>
      </c>
      <c r="B684" s="3">
        <v>2</v>
      </c>
      <c r="C684" s="4" t="str">
        <f t="shared" si="40"/>
        <v>Bad</v>
      </c>
      <c r="D684" s="3" t="s">
        <v>1407</v>
      </c>
      <c r="E684" s="3" t="s">
        <v>1408</v>
      </c>
      <c r="F684" s="5" t="s">
        <v>1404</v>
      </c>
      <c r="G684" s="4" t="str">
        <f t="shared" si="41"/>
        <v>15th</v>
      </c>
      <c r="H684" s="4" t="str">
        <f t="shared" si="42"/>
        <v>June</v>
      </c>
      <c r="I684" s="4" t="str">
        <f t="shared" si="43"/>
        <v>2024</v>
      </c>
      <c r="J684" s="10" t="s">
        <v>12</v>
      </c>
    </row>
    <row r="685" spans="1:10" x14ac:dyDescent="0.35">
      <c r="A685" s="9" t="s">
        <v>1382</v>
      </c>
      <c r="B685" s="3">
        <v>1</v>
      </c>
      <c r="C685" s="4" t="str">
        <f t="shared" si="40"/>
        <v>Bad</v>
      </c>
      <c r="D685" s="3" t="s">
        <v>1409</v>
      </c>
      <c r="E685" s="3" t="s">
        <v>1410</v>
      </c>
      <c r="F685" s="5" t="s">
        <v>1404</v>
      </c>
      <c r="G685" s="4" t="str">
        <f t="shared" si="41"/>
        <v>15th</v>
      </c>
      <c r="H685" s="4" t="str">
        <f t="shared" si="42"/>
        <v>June</v>
      </c>
      <c r="I685" s="4" t="str">
        <f t="shared" si="43"/>
        <v>2024</v>
      </c>
      <c r="J685" s="10" t="s">
        <v>12</v>
      </c>
    </row>
    <row r="686" spans="1:10" x14ac:dyDescent="0.35">
      <c r="A686" s="9" t="s">
        <v>1382</v>
      </c>
      <c r="B686" s="3">
        <v>1</v>
      </c>
      <c r="C686" s="4" t="str">
        <f t="shared" si="40"/>
        <v>Bad</v>
      </c>
      <c r="D686" s="3" t="s">
        <v>1411</v>
      </c>
      <c r="E686" s="3" t="s">
        <v>1412</v>
      </c>
      <c r="F686" s="5" t="s">
        <v>1404</v>
      </c>
      <c r="G686" s="4" t="str">
        <f t="shared" si="41"/>
        <v>15th</v>
      </c>
      <c r="H686" s="4" t="str">
        <f t="shared" si="42"/>
        <v>June</v>
      </c>
      <c r="I686" s="4" t="str">
        <f t="shared" si="43"/>
        <v>2024</v>
      </c>
      <c r="J686" s="10" t="s">
        <v>12</v>
      </c>
    </row>
    <row r="687" spans="1:10" x14ac:dyDescent="0.35">
      <c r="A687" s="9" t="s">
        <v>1382</v>
      </c>
      <c r="B687" s="3">
        <v>2</v>
      </c>
      <c r="C687" s="4" t="str">
        <f t="shared" si="40"/>
        <v>Bad</v>
      </c>
      <c r="D687" s="3" t="s">
        <v>1413</v>
      </c>
      <c r="E687" s="3" t="s">
        <v>1414</v>
      </c>
      <c r="F687" s="5" t="s">
        <v>1404</v>
      </c>
      <c r="G687" s="4" t="str">
        <f t="shared" si="41"/>
        <v>15th</v>
      </c>
      <c r="H687" s="4" t="str">
        <f t="shared" si="42"/>
        <v>June</v>
      </c>
      <c r="I687" s="4" t="str">
        <f t="shared" si="43"/>
        <v>2024</v>
      </c>
      <c r="J687" s="10" t="s">
        <v>12</v>
      </c>
    </row>
    <row r="688" spans="1:10" x14ac:dyDescent="0.35">
      <c r="A688" s="9" t="s">
        <v>1382</v>
      </c>
      <c r="B688" s="3">
        <v>8</v>
      </c>
      <c r="C688" s="4" t="str">
        <f t="shared" si="40"/>
        <v>Good</v>
      </c>
      <c r="D688" s="3" t="s">
        <v>1415</v>
      </c>
      <c r="E688" s="3" t="s">
        <v>1416</v>
      </c>
      <c r="F688" s="5" t="s">
        <v>1404</v>
      </c>
      <c r="G688" s="4" t="str">
        <f t="shared" si="41"/>
        <v>15th</v>
      </c>
      <c r="H688" s="4" t="str">
        <f t="shared" si="42"/>
        <v>June</v>
      </c>
      <c r="I688" s="4" t="str">
        <f t="shared" si="43"/>
        <v>2024</v>
      </c>
      <c r="J688" s="10" t="s">
        <v>9</v>
      </c>
    </row>
    <row r="689" spans="1:10" x14ac:dyDescent="0.35">
      <c r="A689" s="9" t="s">
        <v>1382</v>
      </c>
      <c r="B689" s="3">
        <v>1</v>
      </c>
      <c r="C689" s="4" t="str">
        <f t="shared" si="40"/>
        <v>Bad</v>
      </c>
      <c r="D689" s="3" t="s">
        <v>1417</v>
      </c>
      <c r="E689" s="3" t="s">
        <v>1418</v>
      </c>
      <c r="F689" s="5" t="s">
        <v>1404</v>
      </c>
      <c r="G689" s="4" t="str">
        <f t="shared" si="41"/>
        <v>15th</v>
      </c>
      <c r="H689" s="4" t="str">
        <f t="shared" si="42"/>
        <v>June</v>
      </c>
      <c r="I689" s="4" t="str">
        <f t="shared" si="43"/>
        <v>2024</v>
      </c>
      <c r="J689" s="10" t="s">
        <v>12</v>
      </c>
    </row>
    <row r="690" spans="1:10" x14ac:dyDescent="0.35">
      <c r="A690" s="9" t="s">
        <v>1382</v>
      </c>
      <c r="B690" s="3">
        <v>7</v>
      </c>
      <c r="C690" s="4" t="str">
        <f t="shared" si="40"/>
        <v>Neutral</v>
      </c>
      <c r="D690" s="3" t="s">
        <v>1419</v>
      </c>
      <c r="E690" s="3" t="s">
        <v>1420</v>
      </c>
      <c r="F690" s="5" t="s">
        <v>1404</v>
      </c>
      <c r="G690" s="4" t="str">
        <f t="shared" si="41"/>
        <v>15th</v>
      </c>
      <c r="H690" s="4" t="str">
        <f t="shared" si="42"/>
        <v>June</v>
      </c>
      <c r="I690" s="4" t="str">
        <f t="shared" si="43"/>
        <v>2024</v>
      </c>
      <c r="J690" s="10" t="s">
        <v>9</v>
      </c>
    </row>
    <row r="691" spans="1:10" x14ac:dyDescent="0.35">
      <c r="A691" s="9" t="s">
        <v>1382</v>
      </c>
      <c r="B691" s="3">
        <v>1</v>
      </c>
      <c r="C691" s="4" t="str">
        <f t="shared" si="40"/>
        <v>Bad</v>
      </c>
      <c r="D691" s="3" t="s">
        <v>1043</v>
      </c>
      <c r="E691" s="3" t="s">
        <v>1421</v>
      </c>
      <c r="F691" s="5" t="s">
        <v>1404</v>
      </c>
      <c r="G691" s="4" t="str">
        <f t="shared" si="41"/>
        <v>15th</v>
      </c>
      <c r="H691" s="4" t="str">
        <f t="shared" si="42"/>
        <v>June</v>
      </c>
      <c r="I691" s="4" t="str">
        <f t="shared" si="43"/>
        <v>2024</v>
      </c>
      <c r="J691" s="10" t="s">
        <v>12</v>
      </c>
    </row>
    <row r="692" spans="1:10" x14ac:dyDescent="0.35">
      <c r="A692" s="9" t="s">
        <v>1382</v>
      </c>
      <c r="B692" s="3">
        <v>3</v>
      </c>
      <c r="C692" s="4" t="str">
        <f t="shared" si="40"/>
        <v>Bad</v>
      </c>
      <c r="D692" s="3" t="s">
        <v>1422</v>
      </c>
      <c r="E692" s="3" t="s">
        <v>1423</v>
      </c>
      <c r="F692" s="5" t="s">
        <v>1424</v>
      </c>
      <c r="G692" s="4" t="str">
        <f t="shared" si="41"/>
        <v>3rd</v>
      </c>
      <c r="H692" s="4" t="str">
        <f t="shared" si="42"/>
        <v>February</v>
      </c>
      <c r="I692" s="4" t="str">
        <f t="shared" si="43"/>
        <v>2024</v>
      </c>
      <c r="J692" s="10" t="s">
        <v>12</v>
      </c>
    </row>
    <row r="693" spans="1:10" x14ac:dyDescent="0.35">
      <c r="A693" s="9" t="s">
        <v>1382</v>
      </c>
      <c r="B693" s="3">
        <v>1</v>
      </c>
      <c r="C693" s="4" t="str">
        <f t="shared" si="40"/>
        <v>Bad</v>
      </c>
      <c r="D693" s="3" t="s">
        <v>1425</v>
      </c>
      <c r="E693" s="3" t="s">
        <v>1426</v>
      </c>
      <c r="F693" s="5" t="s">
        <v>1424</v>
      </c>
      <c r="G693" s="4" t="str">
        <f t="shared" si="41"/>
        <v>3rd</v>
      </c>
      <c r="H693" s="4" t="str">
        <f t="shared" si="42"/>
        <v>February</v>
      </c>
      <c r="I693" s="4" t="str">
        <f t="shared" si="43"/>
        <v>2024</v>
      </c>
      <c r="J693" s="10" t="s">
        <v>12</v>
      </c>
    </row>
    <row r="694" spans="1:10" x14ac:dyDescent="0.35">
      <c r="A694" s="9" t="s">
        <v>1382</v>
      </c>
      <c r="B694" s="3">
        <v>1</v>
      </c>
      <c r="C694" s="4" t="str">
        <f t="shared" si="40"/>
        <v>Bad</v>
      </c>
      <c r="D694" s="3" t="s">
        <v>1427</v>
      </c>
      <c r="E694" s="3" t="s">
        <v>1428</v>
      </c>
      <c r="F694" s="5" t="s">
        <v>1424</v>
      </c>
      <c r="G694" s="4" t="str">
        <f t="shared" si="41"/>
        <v>3rd</v>
      </c>
      <c r="H694" s="4" t="str">
        <f t="shared" si="42"/>
        <v>February</v>
      </c>
      <c r="I694" s="4" t="str">
        <f t="shared" si="43"/>
        <v>2024</v>
      </c>
      <c r="J694" s="10" t="s">
        <v>12</v>
      </c>
    </row>
    <row r="695" spans="1:10" x14ac:dyDescent="0.35">
      <c r="A695" s="9" t="s">
        <v>1382</v>
      </c>
      <c r="B695" s="3">
        <v>1</v>
      </c>
      <c r="C695" s="4" t="str">
        <f t="shared" si="40"/>
        <v>Bad</v>
      </c>
      <c r="D695" s="3" t="s">
        <v>1429</v>
      </c>
      <c r="E695" s="3" t="s">
        <v>1430</v>
      </c>
      <c r="F695" s="5" t="s">
        <v>1424</v>
      </c>
      <c r="G695" s="4" t="str">
        <f t="shared" si="41"/>
        <v>3rd</v>
      </c>
      <c r="H695" s="4" t="str">
        <f t="shared" si="42"/>
        <v>February</v>
      </c>
      <c r="I695" s="4" t="str">
        <f t="shared" si="43"/>
        <v>2024</v>
      </c>
      <c r="J695" s="10" t="s">
        <v>12</v>
      </c>
    </row>
    <row r="696" spans="1:10" x14ac:dyDescent="0.35">
      <c r="A696" s="9" t="s">
        <v>1382</v>
      </c>
      <c r="B696" s="3">
        <v>8</v>
      </c>
      <c r="C696" s="4" t="str">
        <f t="shared" si="40"/>
        <v>Good</v>
      </c>
      <c r="D696" s="3" t="s">
        <v>1431</v>
      </c>
      <c r="E696" s="3" t="s">
        <v>1432</v>
      </c>
      <c r="F696" s="5" t="s">
        <v>1424</v>
      </c>
      <c r="G696" s="4" t="str">
        <f t="shared" si="41"/>
        <v>3rd</v>
      </c>
      <c r="H696" s="4" t="str">
        <f t="shared" si="42"/>
        <v>February</v>
      </c>
      <c r="I696" s="4" t="str">
        <f t="shared" si="43"/>
        <v>2024</v>
      </c>
      <c r="J696" s="10" t="s">
        <v>9</v>
      </c>
    </row>
    <row r="697" spans="1:10" x14ac:dyDescent="0.35">
      <c r="A697" s="9" t="s">
        <v>1382</v>
      </c>
      <c r="B697" s="3">
        <v>1</v>
      </c>
      <c r="C697" s="4" t="str">
        <f t="shared" si="40"/>
        <v>Bad</v>
      </c>
      <c r="D697" s="3" t="s">
        <v>1433</v>
      </c>
      <c r="E697" s="3" t="s">
        <v>1434</v>
      </c>
      <c r="F697" s="5" t="s">
        <v>1424</v>
      </c>
      <c r="G697" s="4" t="str">
        <f t="shared" si="41"/>
        <v>3rd</v>
      </c>
      <c r="H697" s="4" t="str">
        <f t="shared" si="42"/>
        <v>February</v>
      </c>
      <c r="I697" s="4" t="str">
        <f t="shared" si="43"/>
        <v>2024</v>
      </c>
      <c r="J697" s="10" t="s">
        <v>12</v>
      </c>
    </row>
    <row r="698" spans="1:10" x14ac:dyDescent="0.35">
      <c r="A698" s="9" t="s">
        <v>1382</v>
      </c>
      <c r="B698" s="3">
        <v>1</v>
      </c>
      <c r="C698" s="4" t="str">
        <f t="shared" si="40"/>
        <v>Bad</v>
      </c>
      <c r="D698" s="3" t="s">
        <v>1435</v>
      </c>
      <c r="E698" s="3" t="s">
        <v>1436</v>
      </c>
      <c r="F698" s="5" t="s">
        <v>1424</v>
      </c>
      <c r="G698" s="4" t="str">
        <f t="shared" si="41"/>
        <v>3rd</v>
      </c>
      <c r="H698" s="4" t="str">
        <f t="shared" si="42"/>
        <v>February</v>
      </c>
      <c r="I698" s="4" t="str">
        <f t="shared" si="43"/>
        <v>2024</v>
      </c>
      <c r="J698" s="10" t="s">
        <v>12</v>
      </c>
    </row>
    <row r="699" spans="1:10" x14ac:dyDescent="0.35">
      <c r="A699" s="9" t="s">
        <v>1382</v>
      </c>
      <c r="B699" s="3">
        <v>1</v>
      </c>
      <c r="C699" s="4" t="str">
        <f t="shared" si="40"/>
        <v>Bad</v>
      </c>
      <c r="D699" s="3" t="s">
        <v>305</v>
      </c>
      <c r="E699" s="3" t="s">
        <v>1437</v>
      </c>
      <c r="F699" s="5" t="s">
        <v>1424</v>
      </c>
      <c r="G699" s="4" t="str">
        <f t="shared" si="41"/>
        <v>3rd</v>
      </c>
      <c r="H699" s="4" t="str">
        <f t="shared" si="42"/>
        <v>February</v>
      </c>
      <c r="I699" s="4" t="str">
        <f t="shared" si="43"/>
        <v>2024</v>
      </c>
      <c r="J699" s="10" t="s">
        <v>12</v>
      </c>
    </row>
    <row r="700" spans="1:10" x14ac:dyDescent="0.35">
      <c r="A700" s="9" t="s">
        <v>1382</v>
      </c>
      <c r="B700" s="3">
        <v>1</v>
      </c>
      <c r="C700" s="4" t="str">
        <f t="shared" si="40"/>
        <v>Bad</v>
      </c>
      <c r="D700" s="3" t="s">
        <v>1438</v>
      </c>
      <c r="E700" s="3" t="s">
        <v>1439</v>
      </c>
      <c r="F700" s="5" t="s">
        <v>1424</v>
      </c>
      <c r="G700" s="4" t="str">
        <f t="shared" si="41"/>
        <v>3rd</v>
      </c>
      <c r="H700" s="4" t="str">
        <f t="shared" si="42"/>
        <v>February</v>
      </c>
      <c r="I700" s="4" t="str">
        <f t="shared" si="43"/>
        <v>2024</v>
      </c>
      <c r="J700" s="10" t="s">
        <v>12</v>
      </c>
    </row>
    <row r="701" spans="1:10" x14ac:dyDescent="0.35">
      <c r="A701" s="9" t="s">
        <v>1382</v>
      </c>
      <c r="B701" s="3">
        <v>1</v>
      </c>
      <c r="C701" s="4" t="str">
        <f t="shared" si="40"/>
        <v>Bad</v>
      </c>
      <c r="D701" s="3" t="s">
        <v>1440</v>
      </c>
      <c r="E701" s="3" t="s">
        <v>1441</v>
      </c>
      <c r="F701" s="5" t="s">
        <v>1424</v>
      </c>
      <c r="G701" s="4" t="str">
        <f t="shared" si="41"/>
        <v>3rd</v>
      </c>
      <c r="H701" s="4" t="str">
        <f t="shared" si="42"/>
        <v>February</v>
      </c>
      <c r="I701" s="4" t="str">
        <f t="shared" si="43"/>
        <v>2024</v>
      </c>
      <c r="J701" s="10" t="s">
        <v>12</v>
      </c>
    </row>
    <row r="702" spans="1:10" x14ac:dyDescent="0.35">
      <c r="A702" s="9" t="s">
        <v>1382</v>
      </c>
      <c r="B702" s="3">
        <v>1</v>
      </c>
      <c r="C702" s="4" t="str">
        <f t="shared" si="40"/>
        <v>Bad</v>
      </c>
      <c r="D702" s="3" t="s">
        <v>1442</v>
      </c>
      <c r="E702" s="3" t="s">
        <v>1443</v>
      </c>
      <c r="F702" s="5" t="s">
        <v>1444</v>
      </c>
      <c r="G702" s="4" t="str">
        <f t="shared" si="41"/>
        <v>20th</v>
      </c>
      <c r="H702" s="4" t="str">
        <f t="shared" si="42"/>
        <v>September</v>
      </c>
      <c r="I702" s="4" t="str">
        <f t="shared" si="43"/>
        <v>2023</v>
      </c>
      <c r="J702" s="10" t="s">
        <v>12</v>
      </c>
    </row>
    <row r="703" spans="1:10" x14ac:dyDescent="0.35">
      <c r="A703" s="9" t="s">
        <v>1382</v>
      </c>
      <c r="B703" s="3">
        <v>1</v>
      </c>
      <c r="C703" s="4" t="str">
        <f t="shared" si="40"/>
        <v>Bad</v>
      </c>
      <c r="D703" s="3" t="s">
        <v>1445</v>
      </c>
      <c r="E703" s="3" t="s">
        <v>1446</v>
      </c>
      <c r="F703" s="5" t="s">
        <v>1444</v>
      </c>
      <c r="G703" s="4" t="str">
        <f t="shared" si="41"/>
        <v>20th</v>
      </c>
      <c r="H703" s="4" t="str">
        <f t="shared" si="42"/>
        <v>September</v>
      </c>
      <c r="I703" s="4" t="str">
        <f t="shared" si="43"/>
        <v>2023</v>
      </c>
      <c r="J703" s="10" t="s">
        <v>12</v>
      </c>
    </row>
    <row r="704" spans="1:10" x14ac:dyDescent="0.35">
      <c r="A704" s="9" t="s">
        <v>1382</v>
      </c>
      <c r="B704" s="3">
        <v>1</v>
      </c>
      <c r="C704" s="4" t="str">
        <f t="shared" si="40"/>
        <v>Bad</v>
      </c>
      <c r="D704" s="3" t="s">
        <v>1447</v>
      </c>
      <c r="E704" s="3" t="s">
        <v>1448</v>
      </c>
      <c r="F704" s="5" t="s">
        <v>1444</v>
      </c>
      <c r="G704" s="4" t="str">
        <f t="shared" si="41"/>
        <v>20th</v>
      </c>
      <c r="H704" s="4" t="str">
        <f t="shared" si="42"/>
        <v>September</v>
      </c>
      <c r="I704" s="4" t="str">
        <f t="shared" si="43"/>
        <v>2023</v>
      </c>
      <c r="J704" s="10" t="s">
        <v>12</v>
      </c>
    </row>
    <row r="705" spans="1:10" x14ac:dyDescent="0.35">
      <c r="A705" s="9" t="s">
        <v>1382</v>
      </c>
      <c r="B705" s="3">
        <v>2</v>
      </c>
      <c r="C705" s="4" t="str">
        <f t="shared" si="40"/>
        <v>Bad</v>
      </c>
      <c r="D705" s="3" t="s">
        <v>1449</v>
      </c>
      <c r="E705" s="3" t="s">
        <v>1450</v>
      </c>
      <c r="F705" s="5" t="s">
        <v>1444</v>
      </c>
      <c r="G705" s="4" t="str">
        <f t="shared" si="41"/>
        <v>20th</v>
      </c>
      <c r="H705" s="4" t="str">
        <f t="shared" si="42"/>
        <v>September</v>
      </c>
      <c r="I705" s="4" t="str">
        <f t="shared" si="43"/>
        <v>2023</v>
      </c>
      <c r="J705" s="10" t="s">
        <v>12</v>
      </c>
    </row>
    <row r="706" spans="1:10" x14ac:dyDescent="0.35">
      <c r="A706" s="9" t="s">
        <v>1382</v>
      </c>
      <c r="B706" s="3">
        <v>7</v>
      </c>
      <c r="C706" s="4" t="str">
        <f t="shared" si="40"/>
        <v>Neutral</v>
      </c>
      <c r="D706" s="3" t="s">
        <v>1451</v>
      </c>
      <c r="E706" s="3" t="s">
        <v>1452</v>
      </c>
      <c r="F706" s="5" t="s">
        <v>1444</v>
      </c>
      <c r="G706" s="4" t="str">
        <f t="shared" si="41"/>
        <v>20th</v>
      </c>
      <c r="H706" s="4" t="str">
        <f t="shared" si="42"/>
        <v>September</v>
      </c>
      <c r="I706" s="4" t="str">
        <f t="shared" si="43"/>
        <v>2023</v>
      </c>
      <c r="J706" s="10" t="s">
        <v>9</v>
      </c>
    </row>
    <row r="707" spans="1:10" x14ac:dyDescent="0.35">
      <c r="A707" s="9" t="s">
        <v>1382</v>
      </c>
      <c r="B707" s="3">
        <v>1</v>
      </c>
      <c r="C707" s="4" t="str">
        <f t="shared" ref="C707:C770" si="44">IF(B707&gt;=8,"Good",IF(B707&gt;=5,"Neutral","Bad"))</f>
        <v>Bad</v>
      </c>
      <c r="D707" s="3" t="s">
        <v>1453</v>
      </c>
      <c r="E707" s="3" t="s">
        <v>1454</v>
      </c>
      <c r="F707" s="5" t="s">
        <v>1444</v>
      </c>
      <c r="G707" s="4" t="str">
        <f t="shared" ref="G707:G770" si="45">LEFT(F707, FIND(" ", F707)-1)</f>
        <v>20th</v>
      </c>
      <c r="H707" s="4" t="str">
        <f t="shared" ref="H707:H770" si="46">TRIM(MID(F707, FIND(" ", F707)+1, FIND(" ", F707, FIND(" ", F707)+1) - FIND(" ", F707)-1))</f>
        <v>September</v>
      </c>
      <c r="I707" s="4" t="str">
        <f t="shared" ref="I707:I770" si="47">RIGHT(F707, 4)</f>
        <v>2023</v>
      </c>
      <c r="J707" s="10" t="s">
        <v>12</v>
      </c>
    </row>
    <row r="708" spans="1:10" x14ac:dyDescent="0.35">
      <c r="A708" s="9" t="s">
        <v>1382</v>
      </c>
      <c r="B708" s="3">
        <v>1</v>
      </c>
      <c r="C708" s="4" t="str">
        <f t="shared" si="44"/>
        <v>Bad</v>
      </c>
      <c r="D708" s="3" t="s">
        <v>1455</v>
      </c>
      <c r="E708" s="3" t="s">
        <v>1456</v>
      </c>
      <c r="F708" s="5" t="s">
        <v>1444</v>
      </c>
      <c r="G708" s="4" t="str">
        <f t="shared" si="45"/>
        <v>20th</v>
      </c>
      <c r="H708" s="4" t="str">
        <f t="shared" si="46"/>
        <v>September</v>
      </c>
      <c r="I708" s="4" t="str">
        <f t="shared" si="47"/>
        <v>2023</v>
      </c>
      <c r="J708" s="10" t="s">
        <v>12</v>
      </c>
    </row>
    <row r="709" spans="1:10" x14ac:dyDescent="0.35">
      <c r="A709" s="9" t="s">
        <v>1382</v>
      </c>
      <c r="B709" s="3">
        <v>5</v>
      </c>
      <c r="C709" s="4" t="str">
        <f t="shared" si="44"/>
        <v>Neutral</v>
      </c>
      <c r="D709" s="3" t="s">
        <v>1457</v>
      </c>
      <c r="E709" s="3" t="s">
        <v>1458</v>
      </c>
      <c r="F709" s="5" t="s">
        <v>1444</v>
      </c>
      <c r="G709" s="4" t="str">
        <f t="shared" si="45"/>
        <v>20th</v>
      </c>
      <c r="H709" s="4" t="str">
        <f t="shared" si="46"/>
        <v>September</v>
      </c>
      <c r="I709" s="4" t="str">
        <f t="shared" si="47"/>
        <v>2023</v>
      </c>
      <c r="J709" s="10" t="s">
        <v>12</v>
      </c>
    </row>
    <row r="710" spans="1:10" x14ac:dyDescent="0.35">
      <c r="A710" s="9" t="s">
        <v>1382</v>
      </c>
      <c r="B710" s="3">
        <v>2</v>
      </c>
      <c r="C710" s="4" t="str">
        <f t="shared" si="44"/>
        <v>Bad</v>
      </c>
      <c r="D710" s="3" t="s">
        <v>1459</v>
      </c>
      <c r="E710" s="3" t="s">
        <v>1460</v>
      </c>
      <c r="F710" s="5" t="s">
        <v>1444</v>
      </c>
      <c r="G710" s="4" t="str">
        <f t="shared" si="45"/>
        <v>20th</v>
      </c>
      <c r="H710" s="4" t="str">
        <f t="shared" si="46"/>
        <v>September</v>
      </c>
      <c r="I710" s="4" t="str">
        <f t="shared" si="47"/>
        <v>2023</v>
      </c>
      <c r="J710" s="10" t="s">
        <v>12</v>
      </c>
    </row>
    <row r="711" spans="1:10" x14ac:dyDescent="0.35">
      <c r="A711" s="9" t="s">
        <v>1382</v>
      </c>
      <c r="B711" s="3">
        <v>8</v>
      </c>
      <c r="C711" s="4" t="str">
        <f t="shared" si="44"/>
        <v>Good</v>
      </c>
      <c r="D711" s="3" t="s">
        <v>1461</v>
      </c>
      <c r="E711" s="3" t="s">
        <v>1462</v>
      </c>
      <c r="F711" s="5" t="s">
        <v>1444</v>
      </c>
      <c r="G711" s="4" t="str">
        <f t="shared" si="45"/>
        <v>20th</v>
      </c>
      <c r="H711" s="4" t="str">
        <f t="shared" si="46"/>
        <v>September</v>
      </c>
      <c r="I711" s="4" t="str">
        <f t="shared" si="47"/>
        <v>2023</v>
      </c>
      <c r="J711" s="10" t="s">
        <v>9</v>
      </c>
    </row>
    <row r="712" spans="1:10" x14ac:dyDescent="0.35">
      <c r="A712" s="9" t="s">
        <v>1382</v>
      </c>
      <c r="B712" s="3">
        <v>10</v>
      </c>
      <c r="C712" s="4" t="str">
        <f t="shared" si="44"/>
        <v>Good</v>
      </c>
      <c r="D712" s="3" t="s">
        <v>1463</v>
      </c>
      <c r="E712" s="3" t="s">
        <v>1464</v>
      </c>
      <c r="F712" s="5" t="s">
        <v>1465</v>
      </c>
      <c r="G712" s="4" t="str">
        <f t="shared" si="45"/>
        <v>4th</v>
      </c>
      <c r="H712" s="4" t="str">
        <f t="shared" si="46"/>
        <v>March</v>
      </c>
      <c r="I712" s="4" t="str">
        <f t="shared" si="47"/>
        <v>2023</v>
      </c>
      <c r="J712" s="10" t="s">
        <v>9</v>
      </c>
    </row>
    <row r="713" spans="1:10" x14ac:dyDescent="0.35">
      <c r="A713" s="9" t="s">
        <v>1382</v>
      </c>
      <c r="B713" s="3">
        <v>1</v>
      </c>
      <c r="C713" s="4" t="str">
        <f t="shared" si="44"/>
        <v>Bad</v>
      </c>
      <c r="D713" s="3" t="s">
        <v>1466</v>
      </c>
      <c r="E713" s="3" t="s">
        <v>1467</v>
      </c>
      <c r="F713" s="5" t="s">
        <v>1465</v>
      </c>
      <c r="G713" s="4" t="str">
        <f t="shared" si="45"/>
        <v>4th</v>
      </c>
      <c r="H713" s="4" t="str">
        <f t="shared" si="46"/>
        <v>March</v>
      </c>
      <c r="I713" s="4" t="str">
        <f t="shared" si="47"/>
        <v>2023</v>
      </c>
      <c r="J713" s="10" t="s">
        <v>12</v>
      </c>
    </row>
    <row r="714" spans="1:10" x14ac:dyDescent="0.35">
      <c r="A714" s="9" t="s">
        <v>1382</v>
      </c>
      <c r="B714" s="3">
        <v>1</v>
      </c>
      <c r="C714" s="4" t="str">
        <f t="shared" si="44"/>
        <v>Bad</v>
      </c>
      <c r="D714" s="3" t="s">
        <v>1468</v>
      </c>
      <c r="E714" s="3" t="s">
        <v>1469</v>
      </c>
      <c r="F714" s="5" t="s">
        <v>1465</v>
      </c>
      <c r="G714" s="4" t="str">
        <f t="shared" si="45"/>
        <v>4th</v>
      </c>
      <c r="H714" s="4" t="str">
        <f t="shared" si="46"/>
        <v>March</v>
      </c>
      <c r="I714" s="4" t="str">
        <f t="shared" si="47"/>
        <v>2023</v>
      </c>
      <c r="J714" s="10" t="s">
        <v>12</v>
      </c>
    </row>
    <row r="715" spans="1:10" x14ac:dyDescent="0.35">
      <c r="A715" s="9" t="s">
        <v>1382</v>
      </c>
      <c r="B715" s="3">
        <v>1</v>
      </c>
      <c r="C715" s="4" t="str">
        <f t="shared" si="44"/>
        <v>Bad</v>
      </c>
      <c r="D715" s="3" t="s">
        <v>1470</v>
      </c>
      <c r="E715" s="3" t="s">
        <v>1471</v>
      </c>
      <c r="F715" s="5" t="s">
        <v>1465</v>
      </c>
      <c r="G715" s="4" t="str">
        <f t="shared" si="45"/>
        <v>4th</v>
      </c>
      <c r="H715" s="4" t="str">
        <f t="shared" si="46"/>
        <v>March</v>
      </c>
      <c r="I715" s="4" t="str">
        <f t="shared" si="47"/>
        <v>2023</v>
      </c>
      <c r="J715" s="10" t="s">
        <v>12</v>
      </c>
    </row>
    <row r="716" spans="1:10" x14ac:dyDescent="0.35">
      <c r="A716" s="9" t="s">
        <v>1382</v>
      </c>
      <c r="B716" s="3">
        <v>1</v>
      </c>
      <c r="C716" s="4" t="str">
        <f t="shared" si="44"/>
        <v>Bad</v>
      </c>
      <c r="D716" s="3" t="s">
        <v>1472</v>
      </c>
      <c r="E716" s="3" t="s">
        <v>1473</v>
      </c>
      <c r="F716" s="5" t="s">
        <v>1465</v>
      </c>
      <c r="G716" s="4" t="str">
        <f t="shared" si="45"/>
        <v>4th</v>
      </c>
      <c r="H716" s="4" t="str">
        <f t="shared" si="46"/>
        <v>March</v>
      </c>
      <c r="I716" s="4" t="str">
        <f t="shared" si="47"/>
        <v>2023</v>
      </c>
      <c r="J716" s="10" t="s">
        <v>12</v>
      </c>
    </row>
    <row r="717" spans="1:10" x14ac:dyDescent="0.35">
      <c r="A717" s="9" t="s">
        <v>1382</v>
      </c>
      <c r="B717" s="3">
        <v>1</v>
      </c>
      <c r="C717" s="4" t="str">
        <f t="shared" si="44"/>
        <v>Bad</v>
      </c>
      <c r="D717" s="3" t="s">
        <v>1474</v>
      </c>
      <c r="E717" s="3" t="s">
        <v>1475</v>
      </c>
      <c r="F717" s="5" t="s">
        <v>1465</v>
      </c>
      <c r="G717" s="4" t="str">
        <f t="shared" si="45"/>
        <v>4th</v>
      </c>
      <c r="H717" s="4" t="str">
        <f t="shared" si="46"/>
        <v>March</v>
      </c>
      <c r="I717" s="4" t="str">
        <f t="shared" si="47"/>
        <v>2023</v>
      </c>
      <c r="J717" s="10" t="s">
        <v>12</v>
      </c>
    </row>
    <row r="718" spans="1:10" x14ac:dyDescent="0.35">
      <c r="A718" s="9" t="s">
        <v>1382</v>
      </c>
      <c r="B718" s="3">
        <v>8</v>
      </c>
      <c r="C718" s="4" t="str">
        <f t="shared" si="44"/>
        <v>Good</v>
      </c>
      <c r="D718" s="3" t="s">
        <v>1476</v>
      </c>
      <c r="E718" s="3" t="s">
        <v>1477</v>
      </c>
      <c r="F718" s="5" t="s">
        <v>1465</v>
      </c>
      <c r="G718" s="4" t="str">
        <f t="shared" si="45"/>
        <v>4th</v>
      </c>
      <c r="H718" s="4" t="str">
        <f t="shared" si="46"/>
        <v>March</v>
      </c>
      <c r="I718" s="4" t="str">
        <f t="shared" si="47"/>
        <v>2023</v>
      </c>
      <c r="J718" s="10" t="s">
        <v>9</v>
      </c>
    </row>
    <row r="719" spans="1:10" x14ac:dyDescent="0.35">
      <c r="A719" s="9" t="s">
        <v>1382</v>
      </c>
      <c r="B719" s="3">
        <v>1</v>
      </c>
      <c r="C719" s="4" t="str">
        <f t="shared" si="44"/>
        <v>Bad</v>
      </c>
      <c r="D719" s="3" t="s">
        <v>1478</v>
      </c>
      <c r="E719" s="3" t="s">
        <v>1479</v>
      </c>
      <c r="F719" s="5" t="s">
        <v>1465</v>
      </c>
      <c r="G719" s="4" t="str">
        <f t="shared" si="45"/>
        <v>4th</v>
      </c>
      <c r="H719" s="4" t="str">
        <f t="shared" si="46"/>
        <v>March</v>
      </c>
      <c r="I719" s="4" t="str">
        <f t="shared" si="47"/>
        <v>2023</v>
      </c>
      <c r="J719" s="10" t="s">
        <v>12</v>
      </c>
    </row>
    <row r="720" spans="1:10" x14ac:dyDescent="0.35">
      <c r="A720" s="9" t="s">
        <v>1382</v>
      </c>
      <c r="B720" s="3">
        <v>1</v>
      </c>
      <c r="C720" s="4" t="str">
        <f t="shared" si="44"/>
        <v>Bad</v>
      </c>
      <c r="D720" s="3" t="s">
        <v>1480</v>
      </c>
      <c r="E720" s="3" t="s">
        <v>1481</v>
      </c>
      <c r="F720" s="5" t="s">
        <v>1465</v>
      </c>
      <c r="G720" s="4" t="str">
        <f t="shared" si="45"/>
        <v>4th</v>
      </c>
      <c r="H720" s="4" t="str">
        <f t="shared" si="46"/>
        <v>March</v>
      </c>
      <c r="I720" s="4" t="str">
        <f t="shared" si="47"/>
        <v>2023</v>
      </c>
      <c r="J720" s="10" t="s">
        <v>12</v>
      </c>
    </row>
    <row r="721" spans="1:10" x14ac:dyDescent="0.35">
      <c r="A721" s="9" t="s">
        <v>1382</v>
      </c>
      <c r="B721" s="3">
        <v>1</v>
      </c>
      <c r="C721" s="4" t="str">
        <f t="shared" si="44"/>
        <v>Bad</v>
      </c>
      <c r="D721" s="3" t="s">
        <v>1482</v>
      </c>
      <c r="E721" s="3" t="s">
        <v>1483</v>
      </c>
      <c r="F721" s="5" t="s">
        <v>1465</v>
      </c>
      <c r="G721" s="4" t="str">
        <f t="shared" si="45"/>
        <v>4th</v>
      </c>
      <c r="H721" s="4" t="str">
        <f t="shared" si="46"/>
        <v>March</v>
      </c>
      <c r="I721" s="4" t="str">
        <f t="shared" si="47"/>
        <v>2023</v>
      </c>
      <c r="J721" s="10" t="s">
        <v>12</v>
      </c>
    </row>
    <row r="722" spans="1:10" x14ac:dyDescent="0.35">
      <c r="A722" s="9" t="s">
        <v>1382</v>
      </c>
      <c r="B722" s="3">
        <v>1</v>
      </c>
      <c r="C722" s="4" t="str">
        <f t="shared" si="44"/>
        <v>Bad</v>
      </c>
      <c r="D722" s="3" t="s">
        <v>1484</v>
      </c>
      <c r="E722" s="3" t="s">
        <v>1485</v>
      </c>
      <c r="F722" s="5" t="s">
        <v>1486</v>
      </c>
      <c r="G722" s="4" t="str">
        <f t="shared" si="45"/>
        <v>9th</v>
      </c>
      <c r="H722" s="4" t="str">
        <f t="shared" si="46"/>
        <v>December</v>
      </c>
      <c r="I722" s="4" t="str">
        <f t="shared" si="47"/>
        <v>2021</v>
      </c>
      <c r="J722" s="10" t="s">
        <v>12</v>
      </c>
    </row>
    <row r="723" spans="1:10" x14ac:dyDescent="0.35">
      <c r="A723" s="9" t="s">
        <v>1382</v>
      </c>
      <c r="B723" s="3">
        <v>1</v>
      </c>
      <c r="C723" s="4" t="str">
        <f t="shared" si="44"/>
        <v>Bad</v>
      </c>
      <c r="D723" s="3" t="s">
        <v>1487</v>
      </c>
      <c r="E723" s="3" t="s">
        <v>1488</v>
      </c>
      <c r="F723" s="5" t="s">
        <v>1486</v>
      </c>
      <c r="G723" s="4" t="str">
        <f t="shared" si="45"/>
        <v>9th</v>
      </c>
      <c r="H723" s="4" t="str">
        <f t="shared" si="46"/>
        <v>December</v>
      </c>
      <c r="I723" s="4" t="str">
        <f t="shared" si="47"/>
        <v>2021</v>
      </c>
      <c r="J723" s="10" t="s">
        <v>12</v>
      </c>
    </row>
    <row r="724" spans="1:10" x14ac:dyDescent="0.35">
      <c r="A724" s="9" t="s">
        <v>1382</v>
      </c>
      <c r="B724" s="3">
        <v>8</v>
      </c>
      <c r="C724" s="4" t="str">
        <f t="shared" si="44"/>
        <v>Good</v>
      </c>
      <c r="D724" s="3" t="s">
        <v>1489</v>
      </c>
      <c r="E724" s="3" t="s">
        <v>1490</v>
      </c>
      <c r="F724" s="5" t="s">
        <v>1486</v>
      </c>
      <c r="G724" s="4" t="str">
        <f t="shared" si="45"/>
        <v>9th</v>
      </c>
      <c r="H724" s="4" t="str">
        <f t="shared" si="46"/>
        <v>December</v>
      </c>
      <c r="I724" s="4" t="str">
        <f t="shared" si="47"/>
        <v>2021</v>
      </c>
      <c r="J724" s="10" t="s">
        <v>12</v>
      </c>
    </row>
    <row r="725" spans="1:10" x14ac:dyDescent="0.35">
      <c r="A725" s="9" t="s">
        <v>1382</v>
      </c>
      <c r="B725" s="3">
        <v>1</v>
      </c>
      <c r="C725" s="4" t="str">
        <f t="shared" si="44"/>
        <v>Bad</v>
      </c>
      <c r="D725" s="3" t="s">
        <v>1491</v>
      </c>
      <c r="E725" s="3" t="s">
        <v>1492</v>
      </c>
      <c r="F725" s="5" t="s">
        <v>1486</v>
      </c>
      <c r="G725" s="4" t="str">
        <f t="shared" si="45"/>
        <v>9th</v>
      </c>
      <c r="H725" s="4" t="str">
        <f t="shared" si="46"/>
        <v>December</v>
      </c>
      <c r="I725" s="4" t="str">
        <f t="shared" si="47"/>
        <v>2021</v>
      </c>
      <c r="J725" s="10" t="s">
        <v>12</v>
      </c>
    </row>
    <row r="726" spans="1:10" x14ac:dyDescent="0.35">
      <c r="A726" s="9" t="s">
        <v>1382</v>
      </c>
      <c r="B726" s="3">
        <v>1</v>
      </c>
      <c r="C726" s="4" t="str">
        <f t="shared" si="44"/>
        <v>Bad</v>
      </c>
      <c r="D726" s="3" t="s">
        <v>1493</v>
      </c>
      <c r="E726" s="3" t="s">
        <v>1494</v>
      </c>
      <c r="F726" s="5" t="s">
        <v>1486</v>
      </c>
      <c r="G726" s="4" t="str">
        <f t="shared" si="45"/>
        <v>9th</v>
      </c>
      <c r="H726" s="4" t="str">
        <f t="shared" si="46"/>
        <v>December</v>
      </c>
      <c r="I726" s="4" t="str">
        <f t="shared" si="47"/>
        <v>2021</v>
      </c>
      <c r="J726" s="10" t="s">
        <v>12</v>
      </c>
    </row>
    <row r="727" spans="1:10" x14ac:dyDescent="0.35">
      <c r="A727" s="9" t="s">
        <v>1382</v>
      </c>
      <c r="B727" s="3">
        <v>1</v>
      </c>
      <c r="C727" s="4" t="str">
        <f t="shared" si="44"/>
        <v>Bad</v>
      </c>
      <c r="D727" s="3" t="s">
        <v>1495</v>
      </c>
      <c r="E727" s="3" t="s">
        <v>1496</v>
      </c>
      <c r="F727" s="5" t="s">
        <v>1486</v>
      </c>
      <c r="G727" s="4" t="str">
        <f t="shared" si="45"/>
        <v>9th</v>
      </c>
      <c r="H727" s="4" t="str">
        <f t="shared" si="46"/>
        <v>December</v>
      </c>
      <c r="I727" s="4" t="str">
        <f t="shared" si="47"/>
        <v>2021</v>
      </c>
      <c r="J727" s="10" t="s">
        <v>12</v>
      </c>
    </row>
    <row r="728" spans="1:10" x14ac:dyDescent="0.35">
      <c r="A728" s="9" t="s">
        <v>1382</v>
      </c>
      <c r="B728" s="3">
        <v>8</v>
      </c>
      <c r="C728" s="4" t="str">
        <f t="shared" si="44"/>
        <v>Good</v>
      </c>
      <c r="D728" s="3" t="s">
        <v>1497</v>
      </c>
      <c r="E728" s="3" t="s">
        <v>1498</v>
      </c>
      <c r="F728" s="5" t="s">
        <v>1486</v>
      </c>
      <c r="G728" s="4" t="str">
        <f t="shared" si="45"/>
        <v>9th</v>
      </c>
      <c r="H728" s="4" t="str">
        <f t="shared" si="46"/>
        <v>December</v>
      </c>
      <c r="I728" s="4" t="str">
        <f t="shared" si="47"/>
        <v>2021</v>
      </c>
      <c r="J728" s="10" t="s">
        <v>9</v>
      </c>
    </row>
    <row r="729" spans="1:10" x14ac:dyDescent="0.35">
      <c r="A729" s="9" t="s">
        <v>1382</v>
      </c>
      <c r="B729" s="3">
        <v>3</v>
      </c>
      <c r="C729" s="4" t="str">
        <f t="shared" si="44"/>
        <v>Bad</v>
      </c>
      <c r="D729" s="3" t="s">
        <v>1499</v>
      </c>
      <c r="E729" s="3" t="s">
        <v>1500</v>
      </c>
      <c r="F729" s="5" t="s">
        <v>1486</v>
      </c>
      <c r="G729" s="4" t="str">
        <f t="shared" si="45"/>
        <v>9th</v>
      </c>
      <c r="H729" s="4" t="str">
        <f t="shared" si="46"/>
        <v>December</v>
      </c>
      <c r="I729" s="4" t="str">
        <f t="shared" si="47"/>
        <v>2021</v>
      </c>
      <c r="J729" s="10" t="s">
        <v>12</v>
      </c>
    </row>
    <row r="730" spans="1:10" x14ac:dyDescent="0.35">
      <c r="A730" s="9" t="s">
        <v>1382</v>
      </c>
      <c r="B730" s="3">
        <v>3</v>
      </c>
      <c r="C730" s="4" t="str">
        <f t="shared" si="44"/>
        <v>Bad</v>
      </c>
      <c r="D730" s="3" t="s">
        <v>1501</v>
      </c>
      <c r="E730" s="3" t="s">
        <v>1502</v>
      </c>
      <c r="F730" s="5" t="s">
        <v>1486</v>
      </c>
      <c r="G730" s="4" t="str">
        <f t="shared" si="45"/>
        <v>9th</v>
      </c>
      <c r="H730" s="4" t="str">
        <f t="shared" si="46"/>
        <v>December</v>
      </c>
      <c r="I730" s="4" t="str">
        <f t="shared" si="47"/>
        <v>2021</v>
      </c>
      <c r="J730" s="10" t="s">
        <v>12</v>
      </c>
    </row>
    <row r="731" spans="1:10" x14ac:dyDescent="0.35">
      <c r="A731" s="9" t="s">
        <v>1382</v>
      </c>
      <c r="B731" s="3">
        <v>8</v>
      </c>
      <c r="C731" s="4" t="str">
        <f t="shared" si="44"/>
        <v>Good</v>
      </c>
      <c r="D731" s="3" t="s">
        <v>1503</v>
      </c>
      <c r="E731" s="3" t="s">
        <v>1504</v>
      </c>
      <c r="F731" s="5" t="s">
        <v>1486</v>
      </c>
      <c r="G731" s="4" t="str">
        <f t="shared" si="45"/>
        <v>9th</v>
      </c>
      <c r="H731" s="4" t="str">
        <f t="shared" si="46"/>
        <v>December</v>
      </c>
      <c r="I731" s="4" t="str">
        <f t="shared" si="47"/>
        <v>2021</v>
      </c>
      <c r="J731" s="10" t="s">
        <v>9</v>
      </c>
    </row>
    <row r="732" spans="1:10" x14ac:dyDescent="0.35">
      <c r="A732" s="9" t="s">
        <v>1382</v>
      </c>
      <c r="B732" s="3">
        <v>1</v>
      </c>
      <c r="C732" s="4" t="str">
        <f t="shared" si="44"/>
        <v>Bad</v>
      </c>
      <c r="D732" s="3" t="s">
        <v>1505</v>
      </c>
      <c r="E732" s="3" t="s">
        <v>1506</v>
      </c>
      <c r="F732" s="5" t="s">
        <v>1507</v>
      </c>
      <c r="G732" s="4" t="str">
        <f t="shared" si="45"/>
        <v>14th</v>
      </c>
      <c r="H732" s="4" t="str">
        <f t="shared" si="46"/>
        <v>February</v>
      </c>
      <c r="I732" s="4" t="str">
        <f t="shared" si="47"/>
        <v>2020</v>
      </c>
      <c r="J732" s="10" t="s">
        <v>12</v>
      </c>
    </row>
    <row r="733" spans="1:10" x14ac:dyDescent="0.35">
      <c r="A733" s="9" t="s">
        <v>1382</v>
      </c>
      <c r="B733" s="3">
        <v>10</v>
      </c>
      <c r="C733" s="4" t="str">
        <f t="shared" si="44"/>
        <v>Good</v>
      </c>
      <c r="D733" s="3" t="s">
        <v>1508</v>
      </c>
      <c r="E733" s="3" t="s">
        <v>1509</v>
      </c>
      <c r="F733" s="5" t="s">
        <v>1507</v>
      </c>
      <c r="G733" s="4" t="str">
        <f t="shared" si="45"/>
        <v>14th</v>
      </c>
      <c r="H733" s="4" t="str">
        <f t="shared" si="46"/>
        <v>February</v>
      </c>
      <c r="I733" s="4" t="str">
        <f t="shared" si="47"/>
        <v>2020</v>
      </c>
      <c r="J733" s="10" t="s">
        <v>9</v>
      </c>
    </row>
    <row r="734" spans="1:10" x14ac:dyDescent="0.35">
      <c r="A734" s="9" t="s">
        <v>1382</v>
      </c>
      <c r="B734" s="3">
        <v>3</v>
      </c>
      <c r="C734" s="4" t="str">
        <f t="shared" si="44"/>
        <v>Bad</v>
      </c>
      <c r="D734" s="3" t="s">
        <v>1510</v>
      </c>
      <c r="E734" s="3" t="s">
        <v>1511</v>
      </c>
      <c r="F734" s="5" t="s">
        <v>1507</v>
      </c>
      <c r="G734" s="4" t="str">
        <f t="shared" si="45"/>
        <v>14th</v>
      </c>
      <c r="H734" s="4" t="str">
        <f t="shared" si="46"/>
        <v>February</v>
      </c>
      <c r="I734" s="4" t="str">
        <f t="shared" si="47"/>
        <v>2020</v>
      </c>
      <c r="J734" s="10" t="s">
        <v>12</v>
      </c>
    </row>
    <row r="735" spans="1:10" x14ac:dyDescent="0.35">
      <c r="A735" s="9" t="s">
        <v>1382</v>
      </c>
      <c r="B735" s="3">
        <v>3</v>
      </c>
      <c r="C735" s="4" t="str">
        <f t="shared" si="44"/>
        <v>Bad</v>
      </c>
      <c r="D735" s="3" t="s">
        <v>1512</v>
      </c>
      <c r="E735" s="3" t="s">
        <v>1513</v>
      </c>
      <c r="F735" s="5" t="s">
        <v>1507</v>
      </c>
      <c r="G735" s="4" t="str">
        <f t="shared" si="45"/>
        <v>14th</v>
      </c>
      <c r="H735" s="4" t="str">
        <f t="shared" si="46"/>
        <v>February</v>
      </c>
      <c r="I735" s="4" t="str">
        <f t="shared" si="47"/>
        <v>2020</v>
      </c>
      <c r="J735" s="10" t="s">
        <v>9</v>
      </c>
    </row>
    <row r="736" spans="1:10" x14ac:dyDescent="0.35">
      <c r="A736" s="9" t="s">
        <v>1382</v>
      </c>
      <c r="B736" s="3">
        <v>7</v>
      </c>
      <c r="C736" s="4" t="str">
        <f t="shared" si="44"/>
        <v>Neutral</v>
      </c>
      <c r="D736" s="3" t="s">
        <v>1514</v>
      </c>
      <c r="E736" s="3" t="s">
        <v>1515</v>
      </c>
      <c r="F736" s="5" t="s">
        <v>1507</v>
      </c>
      <c r="G736" s="4" t="str">
        <f t="shared" si="45"/>
        <v>14th</v>
      </c>
      <c r="H736" s="4" t="str">
        <f t="shared" si="46"/>
        <v>February</v>
      </c>
      <c r="I736" s="4" t="str">
        <f t="shared" si="47"/>
        <v>2020</v>
      </c>
      <c r="J736" s="10" t="s">
        <v>9</v>
      </c>
    </row>
    <row r="737" spans="1:10" x14ac:dyDescent="0.35">
      <c r="A737" s="9" t="s">
        <v>1382</v>
      </c>
      <c r="B737" s="3">
        <v>2</v>
      </c>
      <c r="C737" s="4" t="str">
        <f t="shared" si="44"/>
        <v>Bad</v>
      </c>
      <c r="D737" s="3" t="s">
        <v>1516</v>
      </c>
      <c r="E737" s="3" t="s">
        <v>1517</v>
      </c>
      <c r="F737" s="5" t="s">
        <v>1507</v>
      </c>
      <c r="G737" s="4" t="str">
        <f t="shared" si="45"/>
        <v>14th</v>
      </c>
      <c r="H737" s="4" t="str">
        <f t="shared" si="46"/>
        <v>February</v>
      </c>
      <c r="I737" s="4" t="str">
        <f t="shared" si="47"/>
        <v>2020</v>
      </c>
      <c r="J737" s="10" t="s">
        <v>12</v>
      </c>
    </row>
    <row r="738" spans="1:10" x14ac:dyDescent="0.35">
      <c r="A738" s="9" t="s">
        <v>1382</v>
      </c>
      <c r="B738" s="3">
        <v>4</v>
      </c>
      <c r="C738" s="4" t="str">
        <f t="shared" si="44"/>
        <v>Bad</v>
      </c>
      <c r="D738" s="3" t="s">
        <v>1518</v>
      </c>
      <c r="E738" s="3" t="s">
        <v>1519</v>
      </c>
      <c r="F738" s="5" t="s">
        <v>1507</v>
      </c>
      <c r="G738" s="4" t="str">
        <f t="shared" si="45"/>
        <v>14th</v>
      </c>
      <c r="H738" s="4" t="str">
        <f t="shared" si="46"/>
        <v>February</v>
      </c>
      <c r="I738" s="4" t="str">
        <f t="shared" si="47"/>
        <v>2020</v>
      </c>
      <c r="J738" s="10" t="s">
        <v>12</v>
      </c>
    </row>
    <row r="739" spans="1:10" x14ac:dyDescent="0.35">
      <c r="A739" s="9" t="s">
        <v>1382</v>
      </c>
      <c r="B739" s="3">
        <v>1</v>
      </c>
      <c r="C739" s="4" t="str">
        <f t="shared" si="44"/>
        <v>Bad</v>
      </c>
      <c r="D739" s="3" t="s">
        <v>1520</v>
      </c>
      <c r="E739" s="3" t="s">
        <v>1521</v>
      </c>
      <c r="F739" s="5" t="s">
        <v>1507</v>
      </c>
      <c r="G739" s="4" t="str">
        <f t="shared" si="45"/>
        <v>14th</v>
      </c>
      <c r="H739" s="4" t="str">
        <f t="shared" si="46"/>
        <v>February</v>
      </c>
      <c r="I739" s="4" t="str">
        <f t="shared" si="47"/>
        <v>2020</v>
      </c>
      <c r="J739" s="10" t="s">
        <v>12</v>
      </c>
    </row>
    <row r="740" spans="1:10" x14ac:dyDescent="0.35">
      <c r="A740" s="9" t="s">
        <v>1382</v>
      </c>
      <c r="B740" s="3">
        <v>7</v>
      </c>
      <c r="C740" s="4" t="str">
        <f t="shared" si="44"/>
        <v>Neutral</v>
      </c>
      <c r="D740" s="3" t="s">
        <v>1522</v>
      </c>
      <c r="E740" s="3" t="s">
        <v>1523</v>
      </c>
      <c r="F740" s="5" t="s">
        <v>1507</v>
      </c>
      <c r="G740" s="4" t="str">
        <f t="shared" si="45"/>
        <v>14th</v>
      </c>
      <c r="H740" s="4" t="str">
        <f t="shared" si="46"/>
        <v>February</v>
      </c>
      <c r="I740" s="4" t="str">
        <f t="shared" si="47"/>
        <v>2020</v>
      </c>
      <c r="J740" s="10" t="s">
        <v>9</v>
      </c>
    </row>
    <row r="741" spans="1:10" x14ac:dyDescent="0.35">
      <c r="A741" s="9" t="s">
        <v>1382</v>
      </c>
      <c r="B741" s="3">
        <v>2</v>
      </c>
      <c r="C741" s="4" t="str">
        <f t="shared" si="44"/>
        <v>Bad</v>
      </c>
      <c r="D741" s="3" t="s">
        <v>1524</v>
      </c>
      <c r="E741" s="3" t="s">
        <v>1525</v>
      </c>
      <c r="F741" s="5" t="s">
        <v>1507</v>
      </c>
      <c r="G741" s="4" t="str">
        <f t="shared" si="45"/>
        <v>14th</v>
      </c>
      <c r="H741" s="4" t="str">
        <f t="shared" si="46"/>
        <v>February</v>
      </c>
      <c r="I741" s="4" t="str">
        <f t="shared" si="47"/>
        <v>2020</v>
      </c>
      <c r="J741" s="10" t="s">
        <v>12</v>
      </c>
    </row>
    <row r="742" spans="1:10" x14ac:dyDescent="0.35">
      <c r="A742" s="9" t="s">
        <v>1382</v>
      </c>
      <c r="B742" s="3">
        <v>1</v>
      </c>
      <c r="C742" s="4" t="str">
        <f t="shared" si="44"/>
        <v>Bad</v>
      </c>
      <c r="D742" s="3" t="s">
        <v>1526</v>
      </c>
      <c r="E742" s="3" t="s">
        <v>1527</v>
      </c>
      <c r="F742" s="5" t="s">
        <v>1528</v>
      </c>
      <c r="G742" s="4" t="str">
        <f t="shared" si="45"/>
        <v>28th</v>
      </c>
      <c r="H742" s="4" t="str">
        <f t="shared" si="46"/>
        <v>December</v>
      </c>
      <c r="I742" s="4" t="str">
        <f t="shared" si="47"/>
        <v>2018</v>
      </c>
      <c r="J742" s="10" t="s">
        <v>12</v>
      </c>
    </row>
    <row r="743" spans="1:10" x14ac:dyDescent="0.35">
      <c r="A743" s="9" t="s">
        <v>1382</v>
      </c>
      <c r="B743" s="3">
        <v>7</v>
      </c>
      <c r="C743" s="4" t="str">
        <f t="shared" si="44"/>
        <v>Neutral</v>
      </c>
      <c r="D743" s="3" t="s">
        <v>1529</v>
      </c>
      <c r="E743" s="3" t="s">
        <v>1530</v>
      </c>
      <c r="F743" s="5" t="s">
        <v>1528</v>
      </c>
      <c r="G743" s="4" t="str">
        <f t="shared" si="45"/>
        <v>28th</v>
      </c>
      <c r="H743" s="4" t="str">
        <f t="shared" si="46"/>
        <v>December</v>
      </c>
      <c r="I743" s="4" t="str">
        <f t="shared" si="47"/>
        <v>2018</v>
      </c>
      <c r="J743" s="10" t="s">
        <v>9</v>
      </c>
    </row>
    <row r="744" spans="1:10" x14ac:dyDescent="0.35">
      <c r="A744" s="9" t="s">
        <v>1382</v>
      </c>
      <c r="B744" s="3">
        <v>7</v>
      </c>
      <c r="C744" s="4" t="str">
        <f t="shared" si="44"/>
        <v>Neutral</v>
      </c>
      <c r="D744" s="3" t="s">
        <v>130</v>
      </c>
      <c r="E744" s="3" t="s">
        <v>1531</v>
      </c>
      <c r="F744" s="5" t="s">
        <v>1528</v>
      </c>
      <c r="G744" s="4" t="str">
        <f t="shared" si="45"/>
        <v>28th</v>
      </c>
      <c r="H744" s="4" t="str">
        <f t="shared" si="46"/>
        <v>December</v>
      </c>
      <c r="I744" s="4" t="str">
        <f t="shared" si="47"/>
        <v>2018</v>
      </c>
      <c r="J744" s="10" t="s">
        <v>9</v>
      </c>
    </row>
    <row r="745" spans="1:10" x14ac:dyDescent="0.35">
      <c r="A745" s="9" t="s">
        <v>1382</v>
      </c>
      <c r="B745" s="3">
        <v>8</v>
      </c>
      <c r="C745" s="4" t="str">
        <f t="shared" si="44"/>
        <v>Good</v>
      </c>
      <c r="D745" s="3" t="s">
        <v>1532</v>
      </c>
      <c r="E745" s="3" t="s">
        <v>1533</v>
      </c>
      <c r="F745" s="5" t="s">
        <v>1528</v>
      </c>
      <c r="G745" s="4" t="str">
        <f t="shared" si="45"/>
        <v>28th</v>
      </c>
      <c r="H745" s="4" t="str">
        <f t="shared" si="46"/>
        <v>December</v>
      </c>
      <c r="I745" s="4" t="str">
        <f t="shared" si="47"/>
        <v>2018</v>
      </c>
      <c r="J745" s="10" t="s">
        <v>9</v>
      </c>
    </row>
    <row r="746" spans="1:10" x14ac:dyDescent="0.35">
      <c r="A746" s="9" t="s">
        <v>1382</v>
      </c>
      <c r="B746" s="3">
        <v>1</v>
      </c>
      <c r="C746" s="4" t="str">
        <f t="shared" si="44"/>
        <v>Bad</v>
      </c>
      <c r="D746" s="3" t="s">
        <v>1534</v>
      </c>
      <c r="E746" s="3" t="s">
        <v>1535</v>
      </c>
      <c r="F746" s="5" t="s">
        <v>1528</v>
      </c>
      <c r="G746" s="4" t="str">
        <f t="shared" si="45"/>
        <v>28th</v>
      </c>
      <c r="H746" s="4" t="str">
        <f t="shared" si="46"/>
        <v>December</v>
      </c>
      <c r="I746" s="4" t="str">
        <f t="shared" si="47"/>
        <v>2018</v>
      </c>
      <c r="J746" s="10" t="s">
        <v>12</v>
      </c>
    </row>
    <row r="747" spans="1:10" x14ac:dyDescent="0.35">
      <c r="A747" s="9" t="s">
        <v>1382</v>
      </c>
      <c r="B747" s="3">
        <v>1</v>
      </c>
      <c r="C747" s="4" t="str">
        <f t="shared" si="44"/>
        <v>Bad</v>
      </c>
      <c r="D747" s="3" t="s">
        <v>1536</v>
      </c>
      <c r="E747" s="3" t="s">
        <v>1537</v>
      </c>
      <c r="F747" s="5" t="s">
        <v>1528</v>
      </c>
      <c r="G747" s="4" t="str">
        <f t="shared" si="45"/>
        <v>28th</v>
      </c>
      <c r="H747" s="4" t="str">
        <f t="shared" si="46"/>
        <v>December</v>
      </c>
      <c r="I747" s="4" t="str">
        <f t="shared" si="47"/>
        <v>2018</v>
      </c>
      <c r="J747" s="10" t="s">
        <v>12</v>
      </c>
    </row>
    <row r="748" spans="1:10" x14ac:dyDescent="0.35">
      <c r="A748" s="9" t="s">
        <v>1382</v>
      </c>
      <c r="B748" s="3">
        <v>8</v>
      </c>
      <c r="C748" s="4" t="str">
        <f t="shared" si="44"/>
        <v>Good</v>
      </c>
      <c r="D748" s="3" t="s">
        <v>1538</v>
      </c>
      <c r="E748" s="3" t="s">
        <v>1539</v>
      </c>
      <c r="F748" s="5" t="s">
        <v>1528</v>
      </c>
      <c r="G748" s="4" t="str">
        <f t="shared" si="45"/>
        <v>28th</v>
      </c>
      <c r="H748" s="4" t="str">
        <f t="shared" si="46"/>
        <v>December</v>
      </c>
      <c r="I748" s="4" t="str">
        <f t="shared" si="47"/>
        <v>2018</v>
      </c>
      <c r="J748" s="10" t="s">
        <v>9</v>
      </c>
    </row>
    <row r="749" spans="1:10" x14ac:dyDescent="0.35">
      <c r="A749" s="9" t="s">
        <v>1382</v>
      </c>
      <c r="B749" s="3">
        <v>4</v>
      </c>
      <c r="C749" s="4" t="str">
        <f t="shared" si="44"/>
        <v>Bad</v>
      </c>
      <c r="D749" s="3" t="s">
        <v>1540</v>
      </c>
      <c r="E749" s="3" t="s">
        <v>1541</v>
      </c>
      <c r="F749" s="5" t="s">
        <v>1528</v>
      </c>
      <c r="G749" s="4" t="str">
        <f t="shared" si="45"/>
        <v>28th</v>
      </c>
      <c r="H749" s="4" t="str">
        <f t="shared" si="46"/>
        <v>December</v>
      </c>
      <c r="I749" s="4" t="str">
        <f t="shared" si="47"/>
        <v>2018</v>
      </c>
      <c r="J749" s="10" t="s">
        <v>12</v>
      </c>
    </row>
    <row r="750" spans="1:10" x14ac:dyDescent="0.35">
      <c r="A750" s="9" t="s">
        <v>1382</v>
      </c>
      <c r="B750" s="3">
        <v>2</v>
      </c>
      <c r="C750" s="4" t="str">
        <f t="shared" si="44"/>
        <v>Bad</v>
      </c>
      <c r="D750" s="3" t="s">
        <v>1542</v>
      </c>
      <c r="E750" s="3" t="s">
        <v>1543</v>
      </c>
      <c r="F750" s="5" t="s">
        <v>1528</v>
      </c>
      <c r="G750" s="4" t="str">
        <f t="shared" si="45"/>
        <v>28th</v>
      </c>
      <c r="H750" s="4" t="str">
        <f t="shared" si="46"/>
        <v>December</v>
      </c>
      <c r="I750" s="4" t="str">
        <f t="shared" si="47"/>
        <v>2018</v>
      </c>
      <c r="J750" s="10" t="s">
        <v>12</v>
      </c>
    </row>
    <row r="751" spans="1:10" x14ac:dyDescent="0.35">
      <c r="A751" s="9" t="s">
        <v>1382</v>
      </c>
      <c r="B751" s="3">
        <v>1</v>
      </c>
      <c r="C751" s="4" t="str">
        <f t="shared" si="44"/>
        <v>Bad</v>
      </c>
      <c r="D751" s="3" t="s">
        <v>1544</v>
      </c>
      <c r="E751" s="3" t="s">
        <v>1545</v>
      </c>
      <c r="F751" s="5" t="s">
        <v>1528</v>
      </c>
      <c r="G751" s="4" t="str">
        <f t="shared" si="45"/>
        <v>28th</v>
      </c>
      <c r="H751" s="4" t="str">
        <f t="shared" si="46"/>
        <v>December</v>
      </c>
      <c r="I751" s="4" t="str">
        <f t="shared" si="47"/>
        <v>2018</v>
      </c>
      <c r="J751" s="10" t="s">
        <v>12</v>
      </c>
    </row>
    <row r="752" spans="1:10" x14ac:dyDescent="0.35">
      <c r="A752" s="9" t="s">
        <v>1382</v>
      </c>
      <c r="B752" s="3">
        <v>1</v>
      </c>
      <c r="C752" s="4" t="str">
        <f t="shared" si="44"/>
        <v>Bad</v>
      </c>
      <c r="D752" s="3" t="s">
        <v>1546</v>
      </c>
      <c r="E752" s="3" t="s">
        <v>1547</v>
      </c>
      <c r="F752" s="5" t="s">
        <v>1548</v>
      </c>
      <c r="G752" s="4" t="str">
        <f t="shared" si="45"/>
        <v>5th</v>
      </c>
      <c r="H752" s="4" t="str">
        <f t="shared" si="46"/>
        <v>July</v>
      </c>
      <c r="I752" s="4" t="str">
        <f t="shared" si="47"/>
        <v>2018</v>
      </c>
      <c r="J752" s="10" t="s">
        <v>12</v>
      </c>
    </row>
    <row r="753" spans="1:10" x14ac:dyDescent="0.35">
      <c r="A753" s="9" t="s">
        <v>1382</v>
      </c>
      <c r="B753" s="3">
        <v>4</v>
      </c>
      <c r="C753" s="4" t="str">
        <f t="shared" si="44"/>
        <v>Bad</v>
      </c>
      <c r="D753" s="3" t="s">
        <v>1549</v>
      </c>
      <c r="E753" s="3" t="s">
        <v>1550</v>
      </c>
      <c r="F753" s="5" t="s">
        <v>1548</v>
      </c>
      <c r="G753" s="4" t="str">
        <f t="shared" si="45"/>
        <v>5th</v>
      </c>
      <c r="H753" s="4" t="str">
        <f t="shared" si="46"/>
        <v>July</v>
      </c>
      <c r="I753" s="4" t="str">
        <f t="shared" si="47"/>
        <v>2018</v>
      </c>
      <c r="J753" s="10" t="s">
        <v>12</v>
      </c>
    </row>
    <row r="754" spans="1:10" x14ac:dyDescent="0.35">
      <c r="A754" s="9" t="s">
        <v>1382</v>
      </c>
      <c r="B754" s="3">
        <v>1</v>
      </c>
      <c r="C754" s="4" t="str">
        <f t="shared" si="44"/>
        <v>Bad</v>
      </c>
      <c r="D754" s="3" t="s">
        <v>1551</v>
      </c>
      <c r="E754" s="3" t="s">
        <v>1552</v>
      </c>
      <c r="F754" s="5" t="s">
        <v>1548</v>
      </c>
      <c r="G754" s="4" t="str">
        <f t="shared" si="45"/>
        <v>5th</v>
      </c>
      <c r="H754" s="4" t="str">
        <f t="shared" si="46"/>
        <v>July</v>
      </c>
      <c r="I754" s="4" t="str">
        <f t="shared" si="47"/>
        <v>2018</v>
      </c>
      <c r="J754" s="10" t="s">
        <v>12</v>
      </c>
    </row>
    <row r="755" spans="1:10" x14ac:dyDescent="0.35">
      <c r="A755" s="9" t="s">
        <v>1382</v>
      </c>
      <c r="B755" s="3">
        <v>2</v>
      </c>
      <c r="C755" s="4" t="str">
        <f t="shared" si="44"/>
        <v>Bad</v>
      </c>
      <c r="D755" s="3" t="s">
        <v>1553</v>
      </c>
      <c r="E755" s="3" t="s">
        <v>1554</v>
      </c>
      <c r="F755" s="5" t="s">
        <v>1548</v>
      </c>
      <c r="G755" s="4" t="str">
        <f t="shared" si="45"/>
        <v>5th</v>
      </c>
      <c r="H755" s="4" t="str">
        <f t="shared" si="46"/>
        <v>July</v>
      </c>
      <c r="I755" s="4" t="str">
        <f t="shared" si="47"/>
        <v>2018</v>
      </c>
      <c r="J755" s="10" t="s">
        <v>12</v>
      </c>
    </row>
    <row r="756" spans="1:10" x14ac:dyDescent="0.35">
      <c r="A756" s="9" t="s">
        <v>1382</v>
      </c>
      <c r="B756" s="3">
        <v>1</v>
      </c>
      <c r="C756" s="4" t="str">
        <f t="shared" si="44"/>
        <v>Bad</v>
      </c>
      <c r="D756" s="3" t="s">
        <v>1555</v>
      </c>
      <c r="E756" s="3" t="s">
        <v>1556</v>
      </c>
      <c r="F756" s="5" t="s">
        <v>1548</v>
      </c>
      <c r="G756" s="4" t="str">
        <f t="shared" si="45"/>
        <v>5th</v>
      </c>
      <c r="H756" s="4" t="str">
        <f t="shared" si="46"/>
        <v>July</v>
      </c>
      <c r="I756" s="4" t="str">
        <f t="shared" si="47"/>
        <v>2018</v>
      </c>
      <c r="J756" s="10" t="s">
        <v>12</v>
      </c>
    </row>
    <row r="757" spans="1:10" x14ac:dyDescent="0.35">
      <c r="A757" s="9" t="s">
        <v>1382</v>
      </c>
      <c r="B757" s="3">
        <v>1</v>
      </c>
      <c r="C757" s="4" t="str">
        <f t="shared" si="44"/>
        <v>Bad</v>
      </c>
      <c r="D757" s="3" t="s">
        <v>1557</v>
      </c>
      <c r="E757" s="3" t="s">
        <v>1558</v>
      </c>
      <c r="F757" s="5" t="s">
        <v>1548</v>
      </c>
      <c r="G757" s="4" t="str">
        <f t="shared" si="45"/>
        <v>5th</v>
      </c>
      <c r="H757" s="4" t="str">
        <f t="shared" si="46"/>
        <v>July</v>
      </c>
      <c r="I757" s="4" t="str">
        <f t="shared" si="47"/>
        <v>2018</v>
      </c>
      <c r="J757" s="10" t="s">
        <v>12</v>
      </c>
    </row>
    <row r="758" spans="1:10" x14ac:dyDescent="0.35">
      <c r="A758" s="9" t="s">
        <v>1382</v>
      </c>
      <c r="B758" s="3">
        <v>2</v>
      </c>
      <c r="C758" s="4" t="str">
        <f t="shared" si="44"/>
        <v>Bad</v>
      </c>
      <c r="D758" s="3" t="s">
        <v>1559</v>
      </c>
      <c r="E758" s="3" t="s">
        <v>1560</v>
      </c>
      <c r="F758" s="5" t="s">
        <v>1548</v>
      </c>
      <c r="G758" s="4" t="str">
        <f t="shared" si="45"/>
        <v>5th</v>
      </c>
      <c r="H758" s="4" t="str">
        <f t="shared" si="46"/>
        <v>July</v>
      </c>
      <c r="I758" s="4" t="str">
        <f t="shared" si="47"/>
        <v>2018</v>
      </c>
      <c r="J758" s="10" t="s">
        <v>12</v>
      </c>
    </row>
    <row r="759" spans="1:10" x14ac:dyDescent="0.35">
      <c r="A759" s="9" t="s">
        <v>1382</v>
      </c>
      <c r="B759" s="3">
        <v>1</v>
      </c>
      <c r="C759" s="4" t="str">
        <f t="shared" si="44"/>
        <v>Bad</v>
      </c>
      <c r="D759" s="3" t="s">
        <v>1561</v>
      </c>
      <c r="E759" s="3" t="s">
        <v>1562</v>
      </c>
      <c r="F759" s="5" t="s">
        <v>1548</v>
      </c>
      <c r="G759" s="4" t="str">
        <f t="shared" si="45"/>
        <v>5th</v>
      </c>
      <c r="H759" s="4" t="str">
        <f t="shared" si="46"/>
        <v>July</v>
      </c>
      <c r="I759" s="4" t="str">
        <f t="shared" si="47"/>
        <v>2018</v>
      </c>
      <c r="J759" s="10" t="s">
        <v>12</v>
      </c>
    </row>
    <row r="760" spans="1:10" x14ac:dyDescent="0.35">
      <c r="A760" s="9" t="s">
        <v>1382</v>
      </c>
      <c r="B760" s="3">
        <v>3</v>
      </c>
      <c r="C760" s="4" t="str">
        <f t="shared" si="44"/>
        <v>Bad</v>
      </c>
      <c r="D760" s="3" t="s">
        <v>1563</v>
      </c>
      <c r="E760" s="3" t="s">
        <v>1564</v>
      </c>
      <c r="F760" s="5" t="s">
        <v>1548</v>
      </c>
      <c r="G760" s="4" t="str">
        <f t="shared" si="45"/>
        <v>5th</v>
      </c>
      <c r="H760" s="4" t="str">
        <f t="shared" si="46"/>
        <v>July</v>
      </c>
      <c r="I760" s="4" t="str">
        <f t="shared" si="47"/>
        <v>2018</v>
      </c>
      <c r="J760" s="10" t="s">
        <v>12</v>
      </c>
    </row>
    <row r="761" spans="1:10" x14ac:dyDescent="0.35">
      <c r="A761" s="9" t="s">
        <v>1382</v>
      </c>
      <c r="B761" s="3">
        <v>1</v>
      </c>
      <c r="C761" s="4" t="str">
        <f t="shared" si="44"/>
        <v>Bad</v>
      </c>
      <c r="D761" s="3" t="s">
        <v>1043</v>
      </c>
      <c r="E761" s="3" t="s">
        <v>1565</v>
      </c>
      <c r="F761" s="5" t="s">
        <v>1548</v>
      </c>
      <c r="G761" s="4" t="str">
        <f t="shared" si="45"/>
        <v>5th</v>
      </c>
      <c r="H761" s="4" t="str">
        <f t="shared" si="46"/>
        <v>July</v>
      </c>
      <c r="I761" s="4" t="str">
        <f t="shared" si="47"/>
        <v>2018</v>
      </c>
      <c r="J761" s="10" t="s">
        <v>12</v>
      </c>
    </row>
    <row r="762" spans="1:10" x14ac:dyDescent="0.35">
      <c r="A762" s="9" t="s">
        <v>1382</v>
      </c>
      <c r="B762" s="3">
        <v>1</v>
      </c>
      <c r="C762" s="4" t="str">
        <f t="shared" si="44"/>
        <v>Bad</v>
      </c>
      <c r="D762" s="3" t="s">
        <v>1566</v>
      </c>
      <c r="E762" s="3" t="s">
        <v>1567</v>
      </c>
      <c r="F762" s="5" t="s">
        <v>1568</v>
      </c>
      <c r="G762" s="4" t="str">
        <f t="shared" si="45"/>
        <v>28th</v>
      </c>
      <c r="H762" s="4" t="str">
        <f t="shared" si="46"/>
        <v>October</v>
      </c>
      <c r="I762" s="4" t="str">
        <f t="shared" si="47"/>
        <v>2017</v>
      </c>
      <c r="J762" s="10" t="s">
        <v>12</v>
      </c>
    </row>
    <row r="763" spans="1:10" x14ac:dyDescent="0.35">
      <c r="A763" s="9" t="s">
        <v>1382</v>
      </c>
      <c r="B763" s="3">
        <v>10</v>
      </c>
      <c r="C763" s="4" t="str">
        <f t="shared" si="44"/>
        <v>Good</v>
      </c>
      <c r="D763" s="3" t="s">
        <v>1569</v>
      </c>
      <c r="E763" s="3" t="s">
        <v>1570</v>
      </c>
      <c r="F763" s="5" t="s">
        <v>1568</v>
      </c>
      <c r="G763" s="4" t="str">
        <f t="shared" si="45"/>
        <v>28th</v>
      </c>
      <c r="H763" s="4" t="str">
        <f t="shared" si="46"/>
        <v>October</v>
      </c>
      <c r="I763" s="4" t="str">
        <f t="shared" si="47"/>
        <v>2017</v>
      </c>
      <c r="J763" s="10" t="s">
        <v>9</v>
      </c>
    </row>
    <row r="764" spans="1:10" x14ac:dyDescent="0.35">
      <c r="A764" s="9" t="s">
        <v>1382</v>
      </c>
      <c r="B764" s="3">
        <v>1</v>
      </c>
      <c r="C764" s="4" t="str">
        <f t="shared" si="44"/>
        <v>Bad</v>
      </c>
      <c r="D764" s="3" t="s">
        <v>305</v>
      </c>
      <c r="E764" s="3" t="s">
        <v>1571</v>
      </c>
      <c r="F764" s="5" t="s">
        <v>1568</v>
      </c>
      <c r="G764" s="4" t="str">
        <f t="shared" si="45"/>
        <v>28th</v>
      </c>
      <c r="H764" s="4" t="str">
        <f t="shared" si="46"/>
        <v>October</v>
      </c>
      <c r="I764" s="4" t="str">
        <f t="shared" si="47"/>
        <v>2017</v>
      </c>
      <c r="J764" s="10" t="s">
        <v>12</v>
      </c>
    </row>
    <row r="765" spans="1:10" x14ac:dyDescent="0.35">
      <c r="A765" s="9" t="s">
        <v>1382</v>
      </c>
      <c r="B765" s="3">
        <v>4</v>
      </c>
      <c r="C765" s="4" t="str">
        <f t="shared" si="44"/>
        <v>Bad</v>
      </c>
      <c r="D765" s="3" t="s">
        <v>1572</v>
      </c>
      <c r="E765" s="3" t="s">
        <v>1573</v>
      </c>
      <c r="F765" s="5" t="s">
        <v>1568</v>
      </c>
      <c r="G765" s="4" t="str">
        <f t="shared" si="45"/>
        <v>28th</v>
      </c>
      <c r="H765" s="4" t="str">
        <f t="shared" si="46"/>
        <v>October</v>
      </c>
      <c r="I765" s="4" t="str">
        <f t="shared" si="47"/>
        <v>2017</v>
      </c>
      <c r="J765" s="10" t="s">
        <v>12</v>
      </c>
    </row>
    <row r="766" spans="1:10" x14ac:dyDescent="0.35">
      <c r="A766" s="9" t="s">
        <v>1382</v>
      </c>
      <c r="B766" s="3">
        <v>1</v>
      </c>
      <c r="C766" s="4" t="str">
        <f t="shared" si="44"/>
        <v>Bad</v>
      </c>
      <c r="D766" s="3" t="s">
        <v>1574</v>
      </c>
      <c r="E766" s="3" t="s">
        <v>1575</v>
      </c>
      <c r="F766" s="5" t="s">
        <v>1568</v>
      </c>
      <c r="G766" s="4" t="str">
        <f t="shared" si="45"/>
        <v>28th</v>
      </c>
      <c r="H766" s="4" t="str">
        <f t="shared" si="46"/>
        <v>October</v>
      </c>
      <c r="I766" s="4" t="str">
        <f t="shared" si="47"/>
        <v>2017</v>
      </c>
      <c r="J766" s="10" t="s">
        <v>12</v>
      </c>
    </row>
    <row r="767" spans="1:10" x14ac:dyDescent="0.35">
      <c r="A767" s="9" t="s">
        <v>1382</v>
      </c>
      <c r="B767" s="3">
        <v>2</v>
      </c>
      <c r="C767" s="4" t="str">
        <f t="shared" si="44"/>
        <v>Bad</v>
      </c>
      <c r="D767" s="3" t="s">
        <v>1576</v>
      </c>
      <c r="E767" s="3" t="s">
        <v>1577</v>
      </c>
      <c r="F767" s="5" t="s">
        <v>1568</v>
      </c>
      <c r="G767" s="4" t="str">
        <f t="shared" si="45"/>
        <v>28th</v>
      </c>
      <c r="H767" s="4" t="str">
        <f t="shared" si="46"/>
        <v>October</v>
      </c>
      <c r="I767" s="4" t="str">
        <f t="shared" si="47"/>
        <v>2017</v>
      </c>
      <c r="J767" s="10" t="s">
        <v>12</v>
      </c>
    </row>
    <row r="768" spans="1:10" x14ac:dyDescent="0.35">
      <c r="A768" s="9" t="s">
        <v>1382</v>
      </c>
      <c r="B768" s="3">
        <v>3</v>
      </c>
      <c r="C768" s="4" t="str">
        <f t="shared" si="44"/>
        <v>Bad</v>
      </c>
      <c r="D768" s="3" t="s">
        <v>1557</v>
      </c>
      <c r="E768" s="3" t="s">
        <v>1578</v>
      </c>
      <c r="F768" s="5" t="s">
        <v>1568</v>
      </c>
      <c r="G768" s="4" t="str">
        <f t="shared" si="45"/>
        <v>28th</v>
      </c>
      <c r="H768" s="4" t="str">
        <f t="shared" si="46"/>
        <v>October</v>
      </c>
      <c r="I768" s="4" t="str">
        <f t="shared" si="47"/>
        <v>2017</v>
      </c>
      <c r="J768" s="10" t="s">
        <v>12</v>
      </c>
    </row>
    <row r="769" spans="1:10" x14ac:dyDescent="0.35">
      <c r="A769" s="9" t="s">
        <v>1382</v>
      </c>
      <c r="B769" s="3">
        <v>9</v>
      </c>
      <c r="C769" s="4" t="str">
        <f t="shared" si="44"/>
        <v>Good</v>
      </c>
      <c r="D769" s="3" t="s">
        <v>1557</v>
      </c>
      <c r="E769" s="3" t="s">
        <v>1579</v>
      </c>
      <c r="F769" s="5" t="s">
        <v>1568</v>
      </c>
      <c r="G769" s="4" t="str">
        <f t="shared" si="45"/>
        <v>28th</v>
      </c>
      <c r="H769" s="4" t="str">
        <f t="shared" si="46"/>
        <v>October</v>
      </c>
      <c r="I769" s="4" t="str">
        <f t="shared" si="47"/>
        <v>2017</v>
      </c>
      <c r="J769" s="10" t="s">
        <v>9</v>
      </c>
    </row>
    <row r="770" spans="1:10" x14ac:dyDescent="0.35">
      <c r="A770" s="9" t="s">
        <v>1382</v>
      </c>
      <c r="B770" s="3">
        <v>8</v>
      </c>
      <c r="C770" s="4" t="str">
        <f t="shared" si="44"/>
        <v>Good</v>
      </c>
      <c r="D770" s="3" t="s">
        <v>1557</v>
      </c>
      <c r="E770" s="3" t="s">
        <v>1580</v>
      </c>
      <c r="F770" s="5" t="s">
        <v>1568</v>
      </c>
      <c r="G770" s="4" t="str">
        <f t="shared" si="45"/>
        <v>28th</v>
      </c>
      <c r="H770" s="4" t="str">
        <f t="shared" si="46"/>
        <v>October</v>
      </c>
      <c r="I770" s="4" t="str">
        <f t="shared" si="47"/>
        <v>2017</v>
      </c>
      <c r="J770" s="10" t="s">
        <v>9</v>
      </c>
    </row>
    <row r="771" spans="1:10" x14ac:dyDescent="0.35">
      <c r="A771" s="9" t="s">
        <v>1382</v>
      </c>
      <c r="B771" s="3">
        <v>3</v>
      </c>
      <c r="C771" s="4" t="str">
        <f t="shared" ref="C771:C834" si="48">IF(B771&gt;=8,"Good",IF(B771&gt;=5,"Neutral","Bad"))</f>
        <v>Bad</v>
      </c>
      <c r="D771" s="3" t="s">
        <v>1557</v>
      </c>
      <c r="E771" s="3" t="s">
        <v>1581</v>
      </c>
      <c r="F771" s="5" t="s">
        <v>1568</v>
      </c>
      <c r="G771" s="4" t="str">
        <f t="shared" ref="G771:G834" si="49">LEFT(F771, FIND(" ", F771)-1)</f>
        <v>28th</v>
      </c>
      <c r="H771" s="4" t="str">
        <f t="shared" ref="H771:H834" si="50">TRIM(MID(F771, FIND(" ", F771)+1, FIND(" ", F771, FIND(" ", F771)+1) - FIND(" ", F771)-1))</f>
        <v>October</v>
      </c>
      <c r="I771" s="4" t="str">
        <f t="shared" ref="I771:I834" si="51">RIGHT(F771, 4)</f>
        <v>2017</v>
      </c>
      <c r="J771" s="10" t="s">
        <v>12</v>
      </c>
    </row>
    <row r="772" spans="1:10" x14ac:dyDescent="0.35">
      <c r="A772" s="9" t="s">
        <v>1382</v>
      </c>
      <c r="B772" s="3">
        <v>1</v>
      </c>
      <c r="C772" s="4" t="str">
        <f t="shared" si="48"/>
        <v>Bad</v>
      </c>
      <c r="D772" s="3" t="s">
        <v>1557</v>
      </c>
      <c r="E772" s="3" t="s">
        <v>1582</v>
      </c>
      <c r="F772" s="5" t="s">
        <v>1583</v>
      </c>
      <c r="G772" s="4" t="str">
        <f t="shared" si="49"/>
        <v>12th</v>
      </c>
      <c r="H772" s="4" t="str">
        <f t="shared" si="50"/>
        <v>October</v>
      </c>
      <c r="I772" s="4" t="str">
        <f t="shared" si="51"/>
        <v>2014</v>
      </c>
      <c r="J772" s="10" t="s">
        <v>12</v>
      </c>
    </row>
    <row r="773" spans="1:10" x14ac:dyDescent="0.35">
      <c r="A773" s="9" t="s">
        <v>1382</v>
      </c>
      <c r="B773" s="3">
        <v>1</v>
      </c>
      <c r="C773" s="4" t="str">
        <f t="shared" si="48"/>
        <v>Bad</v>
      </c>
      <c r="D773" s="3" t="s">
        <v>1557</v>
      </c>
      <c r="E773" s="3" t="s">
        <v>1584</v>
      </c>
      <c r="F773" s="5" t="s">
        <v>1583</v>
      </c>
      <c r="G773" s="4" t="str">
        <f t="shared" si="49"/>
        <v>12th</v>
      </c>
      <c r="H773" s="4" t="str">
        <f t="shared" si="50"/>
        <v>October</v>
      </c>
      <c r="I773" s="4" t="str">
        <f t="shared" si="51"/>
        <v>2014</v>
      </c>
      <c r="J773" s="10" t="s">
        <v>12</v>
      </c>
    </row>
    <row r="774" spans="1:10" x14ac:dyDescent="0.35">
      <c r="A774" s="9" t="s">
        <v>1382</v>
      </c>
      <c r="B774" s="3">
        <v>7</v>
      </c>
      <c r="C774" s="4" t="str">
        <f t="shared" si="48"/>
        <v>Neutral</v>
      </c>
      <c r="D774" s="3" t="s">
        <v>1557</v>
      </c>
      <c r="E774" s="3" t="s">
        <v>1585</v>
      </c>
      <c r="F774" s="5" t="s">
        <v>1583</v>
      </c>
      <c r="G774" s="4" t="str">
        <f t="shared" si="49"/>
        <v>12th</v>
      </c>
      <c r="H774" s="4" t="str">
        <f t="shared" si="50"/>
        <v>October</v>
      </c>
      <c r="I774" s="4" t="str">
        <f t="shared" si="51"/>
        <v>2014</v>
      </c>
      <c r="J774" s="10" t="s">
        <v>9</v>
      </c>
    </row>
    <row r="775" spans="1:10" x14ac:dyDescent="0.35">
      <c r="A775" s="9" t="s">
        <v>1382</v>
      </c>
      <c r="B775" s="3">
        <v>8</v>
      </c>
      <c r="C775" s="4" t="str">
        <f t="shared" si="48"/>
        <v>Good</v>
      </c>
      <c r="D775" s="3" t="s">
        <v>1557</v>
      </c>
      <c r="E775" s="3" t="s">
        <v>1586</v>
      </c>
      <c r="F775" s="5" t="s">
        <v>1583</v>
      </c>
      <c r="G775" s="4" t="str">
        <f t="shared" si="49"/>
        <v>12th</v>
      </c>
      <c r="H775" s="4" t="str">
        <f t="shared" si="50"/>
        <v>October</v>
      </c>
      <c r="I775" s="4" t="str">
        <f t="shared" si="51"/>
        <v>2014</v>
      </c>
      <c r="J775" s="10" t="s">
        <v>9</v>
      </c>
    </row>
    <row r="776" spans="1:10" x14ac:dyDescent="0.35">
      <c r="A776" s="9" t="s">
        <v>1382</v>
      </c>
      <c r="B776" s="3">
        <v>6</v>
      </c>
      <c r="C776" s="4" t="str">
        <f t="shared" si="48"/>
        <v>Neutral</v>
      </c>
      <c r="D776" s="3" t="s">
        <v>1557</v>
      </c>
      <c r="E776" s="3" t="s">
        <v>1587</v>
      </c>
      <c r="F776" s="5" t="s">
        <v>1583</v>
      </c>
      <c r="G776" s="4" t="str">
        <f t="shared" si="49"/>
        <v>12th</v>
      </c>
      <c r="H776" s="4" t="str">
        <f t="shared" si="50"/>
        <v>October</v>
      </c>
      <c r="I776" s="4" t="str">
        <f t="shared" si="51"/>
        <v>2014</v>
      </c>
      <c r="J776" s="10" t="s">
        <v>9</v>
      </c>
    </row>
    <row r="777" spans="1:10" x14ac:dyDescent="0.35">
      <c r="A777" s="9" t="s">
        <v>1382</v>
      </c>
      <c r="B777" s="3">
        <v>4</v>
      </c>
      <c r="C777" s="4" t="str">
        <f t="shared" si="48"/>
        <v>Bad</v>
      </c>
      <c r="D777" s="3" t="s">
        <v>1557</v>
      </c>
      <c r="E777" s="3" t="s">
        <v>1588</v>
      </c>
      <c r="F777" s="5" t="s">
        <v>1583</v>
      </c>
      <c r="G777" s="4" t="str">
        <f t="shared" si="49"/>
        <v>12th</v>
      </c>
      <c r="H777" s="4" t="str">
        <f t="shared" si="50"/>
        <v>October</v>
      </c>
      <c r="I777" s="4" t="str">
        <f t="shared" si="51"/>
        <v>2014</v>
      </c>
      <c r="J777" s="10" t="s">
        <v>12</v>
      </c>
    </row>
    <row r="778" spans="1:10" x14ac:dyDescent="0.35">
      <c r="A778" s="9" t="s">
        <v>1382</v>
      </c>
      <c r="B778" s="3">
        <v>3</v>
      </c>
      <c r="C778" s="4" t="str">
        <f t="shared" si="48"/>
        <v>Bad</v>
      </c>
      <c r="D778" s="3" t="s">
        <v>1557</v>
      </c>
      <c r="E778" s="3" t="s">
        <v>1589</v>
      </c>
      <c r="F778" s="5" t="s">
        <v>1583</v>
      </c>
      <c r="G778" s="4" t="str">
        <f t="shared" si="49"/>
        <v>12th</v>
      </c>
      <c r="H778" s="4" t="str">
        <f t="shared" si="50"/>
        <v>October</v>
      </c>
      <c r="I778" s="4" t="str">
        <f t="shared" si="51"/>
        <v>2014</v>
      </c>
      <c r="J778" s="10" t="s">
        <v>12</v>
      </c>
    </row>
    <row r="779" spans="1:10" x14ac:dyDescent="0.35">
      <c r="A779" s="9" t="s">
        <v>1382</v>
      </c>
      <c r="B779" s="3">
        <v>4</v>
      </c>
      <c r="C779" s="4" t="str">
        <f t="shared" si="48"/>
        <v>Bad</v>
      </c>
      <c r="D779" s="3" t="s">
        <v>1557</v>
      </c>
      <c r="E779" s="3" t="s">
        <v>1590</v>
      </c>
      <c r="F779" s="5" t="s">
        <v>1583</v>
      </c>
      <c r="G779" s="4" t="str">
        <f t="shared" si="49"/>
        <v>12th</v>
      </c>
      <c r="H779" s="4" t="str">
        <f t="shared" si="50"/>
        <v>October</v>
      </c>
      <c r="I779" s="4" t="str">
        <f t="shared" si="51"/>
        <v>2014</v>
      </c>
      <c r="J779" s="10" t="s">
        <v>12</v>
      </c>
    </row>
    <row r="780" spans="1:10" x14ac:dyDescent="0.35">
      <c r="A780" s="9" t="s">
        <v>1382</v>
      </c>
      <c r="B780" s="3">
        <v>3</v>
      </c>
      <c r="C780" s="4" t="str">
        <f t="shared" si="48"/>
        <v>Bad</v>
      </c>
      <c r="D780" s="3" t="s">
        <v>1557</v>
      </c>
      <c r="E780" s="3" t="s">
        <v>1591</v>
      </c>
      <c r="F780" s="5" t="s">
        <v>1583</v>
      </c>
      <c r="G780" s="4" t="str">
        <f t="shared" si="49"/>
        <v>12th</v>
      </c>
      <c r="H780" s="4" t="str">
        <f t="shared" si="50"/>
        <v>October</v>
      </c>
      <c r="I780" s="4" t="str">
        <f t="shared" si="51"/>
        <v>2014</v>
      </c>
      <c r="J780" s="10" t="s">
        <v>12</v>
      </c>
    </row>
    <row r="781" spans="1:10" x14ac:dyDescent="0.35">
      <c r="A781" s="9" t="s">
        <v>1382</v>
      </c>
      <c r="B781" s="3">
        <v>4</v>
      </c>
      <c r="C781" s="4" t="str">
        <f t="shared" si="48"/>
        <v>Bad</v>
      </c>
      <c r="D781" s="3" t="s">
        <v>1557</v>
      </c>
      <c r="E781" s="3" t="s">
        <v>1592</v>
      </c>
      <c r="F781" s="5" t="s">
        <v>1583</v>
      </c>
      <c r="G781" s="4" t="str">
        <f t="shared" si="49"/>
        <v>12th</v>
      </c>
      <c r="H781" s="4" t="str">
        <f t="shared" si="50"/>
        <v>October</v>
      </c>
      <c r="I781" s="4" t="str">
        <f t="shared" si="51"/>
        <v>2014</v>
      </c>
      <c r="J781" s="10" t="s">
        <v>12</v>
      </c>
    </row>
    <row r="782" spans="1:10" x14ac:dyDescent="0.35">
      <c r="A782" s="9" t="s">
        <v>1593</v>
      </c>
      <c r="B782" s="3">
        <v>1</v>
      </c>
      <c r="C782" s="4" t="str">
        <f t="shared" si="48"/>
        <v>Bad</v>
      </c>
      <c r="D782" s="3" t="s">
        <v>1594</v>
      </c>
      <c r="E782" s="3" t="s">
        <v>1595</v>
      </c>
      <c r="F782" s="5" t="s">
        <v>1596</v>
      </c>
      <c r="G782" s="4" t="str">
        <f t="shared" si="49"/>
        <v>2nd</v>
      </c>
      <c r="H782" s="4" t="str">
        <f t="shared" si="50"/>
        <v>May</v>
      </c>
      <c r="I782" s="4" t="str">
        <f t="shared" si="51"/>
        <v>2023</v>
      </c>
      <c r="J782" s="10" t="s">
        <v>12</v>
      </c>
    </row>
    <row r="783" spans="1:10" x14ac:dyDescent="0.35">
      <c r="A783" s="9" t="s">
        <v>1593</v>
      </c>
      <c r="B783" s="3">
        <v>1</v>
      </c>
      <c r="C783" s="4" t="str">
        <f t="shared" si="48"/>
        <v>Bad</v>
      </c>
      <c r="D783" s="3" t="s">
        <v>1597</v>
      </c>
      <c r="E783" s="3" t="s">
        <v>1598</v>
      </c>
      <c r="F783" s="5" t="s">
        <v>1596</v>
      </c>
      <c r="G783" s="4" t="str">
        <f t="shared" si="49"/>
        <v>2nd</v>
      </c>
      <c r="H783" s="4" t="str">
        <f t="shared" si="50"/>
        <v>May</v>
      </c>
      <c r="I783" s="4" t="str">
        <f t="shared" si="51"/>
        <v>2023</v>
      </c>
      <c r="J783" s="10" t="s">
        <v>12</v>
      </c>
    </row>
    <row r="784" spans="1:10" x14ac:dyDescent="0.35">
      <c r="A784" s="9" t="s">
        <v>1593</v>
      </c>
      <c r="B784" s="3">
        <v>1</v>
      </c>
      <c r="C784" s="4" t="str">
        <f t="shared" si="48"/>
        <v>Bad</v>
      </c>
      <c r="D784" s="3" t="s">
        <v>1599</v>
      </c>
      <c r="E784" s="3" t="s">
        <v>1600</v>
      </c>
      <c r="F784" s="5" t="s">
        <v>1596</v>
      </c>
      <c r="G784" s="4" t="str">
        <f t="shared" si="49"/>
        <v>2nd</v>
      </c>
      <c r="H784" s="4" t="str">
        <f t="shared" si="50"/>
        <v>May</v>
      </c>
      <c r="I784" s="4" t="str">
        <f t="shared" si="51"/>
        <v>2023</v>
      </c>
      <c r="J784" s="10" t="s">
        <v>12</v>
      </c>
    </row>
    <row r="785" spans="1:10" x14ac:dyDescent="0.35">
      <c r="A785" s="9" t="s">
        <v>1593</v>
      </c>
      <c r="B785" s="3">
        <v>1</v>
      </c>
      <c r="C785" s="4" t="str">
        <f t="shared" si="48"/>
        <v>Bad</v>
      </c>
      <c r="D785" s="3" t="s">
        <v>1601</v>
      </c>
      <c r="E785" s="3" t="s">
        <v>1035</v>
      </c>
      <c r="F785" s="5" t="s">
        <v>1596</v>
      </c>
      <c r="G785" s="4" t="str">
        <f t="shared" si="49"/>
        <v>2nd</v>
      </c>
      <c r="H785" s="4" t="str">
        <f t="shared" si="50"/>
        <v>May</v>
      </c>
      <c r="I785" s="4" t="str">
        <f t="shared" si="51"/>
        <v>2023</v>
      </c>
      <c r="J785" s="10" t="s">
        <v>12</v>
      </c>
    </row>
    <row r="786" spans="1:10" x14ac:dyDescent="0.35">
      <c r="A786" s="9" t="s">
        <v>1593</v>
      </c>
      <c r="B786" s="3">
        <v>1</v>
      </c>
      <c r="C786" s="4" t="str">
        <f t="shared" si="48"/>
        <v>Bad</v>
      </c>
      <c r="D786" s="3" t="s">
        <v>1602</v>
      </c>
      <c r="E786" s="3" t="s">
        <v>1603</v>
      </c>
      <c r="F786" s="5" t="s">
        <v>1596</v>
      </c>
      <c r="G786" s="4" t="str">
        <f t="shared" si="49"/>
        <v>2nd</v>
      </c>
      <c r="H786" s="4" t="str">
        <f t="shared" si="50"/>
        <v>May</v>
      </c>
      <c r="I786" s="4" t="str">
        <f t="shared" si="51"/>
        <v>2023</v>
      </c>
      <c r="J786" s="10" t="s">
        <v>12</v>
      </c>
    </row>
    <row r="787" spans="1:10" x14ac:dyDescent="0.35">
      <c r="A787" s="9" t="s">
        <v>1593</v>
      </c>
      <c r="B787" s="3">
        <v>1</v>
      </c>
      <c r="C787" s="4" t="str">
        <f t="shared" si="48"/>
        <v>Bad</v>
      </c>
      <c r="D787" s="3" t="s">
        <v>1604</v>
      </c>
      <c r="E787" s="3" t="s">
        <v>1605</v>
      </c>
      <c r="F787" s="5" t="s">
        <v>1596</v>
      </c>
      <c r="G787" s="4" t="str">
        <f t="shared" si="49"/>
        <v>2nd</v>
      </c>
      <c r="H787" s="4" t="str">
        <f t="shared" si="50"/>
        <v>May</v>
      </c>
      <c r="I787" s="4" t="str">
        <f t="shared" si="51"/>
        <v>2023</v>
      </c>
      <c r="J787" s="10" t="s">
        <v>12</v>
      </c>
    </row>
    <row r="788" spans="1:10" x14ac:dyDescent="0.35">
      <c r="A788" s="9" t="s">
        <v>1593</v>
      </c>
      <c r="B788" s="3">
        <v>1</v>
      </c>
      <c r="C788" s="4" t="str">
        <f t="shared" si="48"/>
        <v>Bad</v>
      </c>
      <c r="D788" s="3" t="s">
        <v>1606</v>
      </c>
      <c r="E788" s="3" t="s">
        <v>1607</v>
      </c>
      <c r="F788" s="5" t="s">
        <v>1596</v>
      </c>
      <c r="G788" s="4" t="str">
        <f t="shared" si="49"/>
        <v>2nd</v>
      </c>
      <c r="H788" s="4" t="str">
        <f t="shared" si="50"/>
        <v>May</v>
      </c>
      <c r="I788" s="4" t="str">
        <f t="shared" si="51"/>
        <v>2023</v>
      </c>
      <c r="J788" s="10" t="s">
        <v>12</v>
      </c>
    </row>
    <row r="789" spans="1:10" x14ac:dyDescent="0.35">
      <c r="A789" s="9" t="s">
        <v>1593</v>
      </c>
      <c r="B789" s="3">
        <v>1</v>
      </c>
      <c r="C789" s="4" t="str">
        <f t="shared" si="48"/>
        <v>Bad</v>
      </c>
      <c r="D789" s="3" t="s">
        <v>1608</v>
      </c>
      <c r="E789" s="3" t="s">
        <v>1609</v>
      </c>
      <c r="F789" s="5" t="s">
        <v>1596</v>
      </c>
      <c r="G789" s="4" t="str">
        <f t="shared" si="49"/>
        <v>2nd</v>
      </c>
      <c r="H789" s="4" t="str">
        <f t="shared" si="50"/>
        <v>May</v>
      </c>
      <c r="I789" s="4" t="str">
        <f t="shared" si="51"/>
        <v>2023</v>
      </c>
      <c r="J789" s="10" t="s">
        <v>12</v>
      </c>
    </row>
    <row r="790" spans="1:10" x14ac:dyDescent="0.35">
      <c r="A790" s="9" t="s">
        <v>1593</v>
      </c>
      <c r="B790" s="3">
        <v>8</v>
      </c>
      <c r="C790" s="4" t="str">
        <f t="shared" si="48"/>
        <v>Good</v>
      </c>
      <c r="D790" s="3" t="s">
        <v>1610</v>
      </c>
      <c r="E790" s="3" t="s">
        <v>1611</v>
      </c>
      <c r="F790" s="5" t="s">
        <v>1596</v>
      </c>
      <c r="G790" s="4" t="str">
        <f t="shared" si="49"/>
        <v>2nd</v>
      </c>
      <c r="H790" s="4" t="str">
        <f t="shared" si="50"/>
        <v>May</v>
      </c>
      <c r="I790" s="4" t="str">
        <f t="shared" si="51"/>
        <v>2023</v>
      </c>
      <c r="J790" s="10" t="s">
        <v>9</v>
      </c>
    </row>
    <row r="791" spans="1:10" x14ac:dyDescent="0.35">
      <c r="A791" s="9" t="s">
        <v>1593</v>
      </c>
      <c r="B791" s="3">
        <v>8</v>
      </c>
      <c r="C791" s="4" t="str">
        <f t="shared" si="48"/>
        <v>Good</v>
      </c>
      <c r="D791" s="3" t="s">
        <v>1612</v>
      </c>
      <c r="E791" s="3" t="s">
        <v>1613</v>
      </c>
      <c r="F791" s="5" t="s">
        <v>1596</v>
      </c>
      <c r="G791" s="4" t="str">
        <f t="shared" si="49"/>
        <v>2nd</v>
      </c>
      <c r="H791" s="4" t="str">
        <f t="shared" si="50"/>
        <v>May</v>
      </c>
      <c r="I791" s="4" t="str">
        <f t="shared" si="51"/>
        <v>2023</v>
      </c>
      <c r="J791" s="10" t="s">
        <v>9</v>
      </c>
    </row>
    <row r="792" spans="1:10" x14ac:dyDescent="0.35">
      <c r="A792" s="9" t="s">
        <v>1593</v>
      </c>
      <c r="B792" s="3">
        <v>1</v>
      </c>
      <c r="C792" s="4" t="str">
        <f t="shared" si="48"/>
        <v>Bad</v>
      </c>
      <c r="D792" s="3" t="s">
        <v>1614</v>
      </c>
      <c r="E792" s="3" t="s">
        <v>1615</v>
      </c>
      <c r="F792" s="5" t="s">
        <v>1616</v>
      </c>
      <c r="G792" s="4" t="str">
        <f t="shared" si="49"/>
        <v>21st</v>
      </c>
      <c r="H792" s="4" t="str">
        <f t="shared" si="50"/>
        <v>April</v>
      </c>
      <c r="I792" s="4" t="str">
        <f t="shared" si="51"/>
        <v>2023</v>
      </c>
      <c r="J792" s="10" t="s">
        <v>12</v>
      </c>
    </row>
    <row r="793" spans="1:10" x14ac:dyDescent="0.35">
      <c r="A793" s="9" t="s">
        <v>1593</v>
      </c>
      <c r="B793" s="3">
        <v>1</v>
      </c>
      <c r="C793" s="4" t="str">
        <f t="shared" si="48"/>
        <v>Bad</v>
      </c>
      <c r="D793" s="3" t="s">
        <v>1617</v>
      </c>
      <c r="E793" s="3" t="s">
        <v>1618</v>
      </c>
      <c r="F793" s="5" t="s">
        <v>1616</v>
      </c>
      <c r="G793" s="4" t="str">
        <f t="shared" si="49"/>
        <v>21st</v>
      </c>
      <c r="H793" s="4" t="str">
        <f t="shared" si="50"/>
        <v>April</v>
      </c>
      <c r="I793" s="4" t="str">
        <f t="shared" si="51"/>
        <v>2023</v>
      </c>
      <c r="J793" s="10" t="s">
        <v>12</v>
      </c>
    </row>
    <row r="794" spans="1:10" x14ac:dyDescent="0.35">
      <c r="A794" s="9" t="s">
        <v>1593</v>
      </c>
      <c r="B794" s="3">
        <v>2</v>
      </c>
      <c r="C794" s="4" t="str">
        <f t="shared" si="48"/>
        <v>Bad</v>
      </c>
      <c r="D794" s="3" t="s">
        <v>1619</v>
      </c>
      <c r="E794" s="3" t="s">
        <v>1620</v>
      </c>
      <c r="F794" s="5" t="s">
        <v>1616</v>
      </c>
      <c r="G794" s="4" t="str">
        <f t="shared" si="49"/>
        <v>21st</v>
      </c>
      <c r="H794" s="4" t="str">
        <f t="shared" si="50"/>
        <v>April</v>
      </c>
      <c r="I794" s="4" t="str">
        <f t="shared" si="51"/>
        <v>2023</v>
      </c>
      <c r="J794" s="10" t="s">
        <v>12</v>
      </c>
    </row>
    <row r="795" spans="1:10" x14ac:dyDescent="0.35">
      <c r="A795" s="9" t="s">
        <v>1593</v>
      </c>
      <c r="B795" s="3">
        <v>1</v>
      </c>
      <c r="C795" s="4" t="str">
        <f t="shared" si="48"/>
        <v>Bad</v>
      </c>
      <c r="D795" s="3" t="s">
        <v>1621</v>
      </c>
      <c r="E795" s="3" t="s">
        <v>1622</v>
      </c>
      <c r="F795" s="5" t="s">
        <v>1616</v>
      </c>
      <c r="G795" s="4" t="str">
        <f t="shared" si="49"/>
        <v>21st</v>
      </c>
      <c r="H795" s="4" t="str">
        <f t="shared" si="50"/>
        <v>April</v>
      </c>
      <c r="I795" s="4" t="str">
        <f t="shared" si="51"/>
        <v>2023</v>
      </c>
      <c r="J795" s="10" t="s">
        <v>12</v>
      </c>
    </row>
    <row r="796" spans="1:10" x14ac:dyDescent="0.35">
      <c r="A796" s="9" t="s">
        <v>1593</v>
      </c>
      <c r="B796" s="3">
        <v>1</v>
      </c>
      <c r="C796" s="4" t="str">
        <f t="shared" si="48"/>
        <v>Bad</v>
      </c>
      <c r="D796" s="3" t="s">
        <v>1623</v>
      </c>
      <c r="E796" s="3" t="s">
        <v>1624</v>
      </c>
      <c r="F796" s="5" t="s">
        <v>1616</v>
      </c>
      <c r="G796" s="4" t="str">
        <f t="shared" si="49"/>
        <v>21st</v>
      </c>
      <c r="H796" s="4" t="str">
        <f t="shared" si="50"/>
        <v>April</v>
      </c>
      <c r="I796" s="4" t="str">
        <f t="shared" si="51"/>
        <v>2023</v>
      </c>
      <c r="J796" s="10" t="s">
        <v>12</v>
      </c>
    </row>
    <row r="797" spans="1:10" x14ac:dyDescent="0.35">
      <c r="A797" s="9" t="s">
        <v>1593</v>
      </c>
      <c r="B797" s="3">
        <v>1</v>
      </c>
      <c r="C797" s="4" t="str">
        <f t="shared" si="48"/>
        <v>Bad</v>
      </c>
      <c r="D797" s="3" t="s">
        <v>587</v>
      </c>
      <c r="E797" s="3" t="s">
        <v>1625</v>
      </c>
      <c r="F797" s="5" t="s">
        <v>1616</v>
      </c>
      <c r="G797" s="4" t="str">
        <f t="shared" si="49"/>
        <v>21st</v>
      </c>
      <c r="H797" s="4" t="str">
        <f t="shared" si="50"/>
        <v>April</v>
      </c>
      <c r="I797" s="4" t="str">
        <f t="shared" si="51"/>
        <v>2023</v>
      </c>
      <c r="J797" s="10" t="s">
        <v>12</v>
      </c>
    </row>
    <row r="798" spans="1:10" x14ac:dyDescent="0.35">
      <c r="A798" s="9" t="s">
        <v>1593</v>
      </c>
      <c r="B798" s="3">
        <v>2</v>
      </c>
      <c r="C798" s="4" t="str">
        <f t="shared" si="48"/>
        <v>Bad</v>
      </c>
      <c r="D798" s="3" t="s">
        <v>1626</v>
      </c>
      <c r="E798" s="3" t="s">
        <v>1627</v>
      </c>
      <c r="F798" s="5" t="s">
        <v>1616</v>
      </c>
      <c r="G798" s="4" t="str">
        <f t="shared" si="49"/>
        <v>21st</v>
      </c>
      <c r="H798" s="4" t="str">
        <f t="shared" si="50"/>
        <v>April</v>
      </c>
      <c r="I798" s="4" t="str">
        <f t="shared" si="51"/>
        <v>2023</v>
      </c>
      <c r="J798" s="10" t="s">
        <v>12</v>
      </c>
    </row>
    <row r="799" spans="1:10" x14ac:dyDescent="0.35">
      <c r="A799" s="9" t="s">
        <v>1593</v>
      </c>
      <c r="B799" s="3">
        <v>3</v>
      </c>
      <c r="C799" s="4" t="str">
        <f t="shared" si="48"/>
        <v>Bad</v>
      </c>
      <c r="D799" s="3" t="s">
        <v>1628</v>
      </c>
      <c r="E799" s="3" t="s">
        <v>1629</v>
      </c>
      <c r="F799" s="5" t="s">
        <v>1616</v>
      </c>
      <c r="G799" s="4" t="str">
        <f t="shared" si="49"/>
        <v>21st</v>
      </c>
      <c r="H799" s="4" t="str">
        <f t="shared" si="50"/>
        <v>April</v>
      </c>
      <c r="I799" s="4" t="str">
        <f t="shared" si="51"/>
        <v>2023</v>
      </c>
      <c r="J799" s="10" t="s">
        <v>12</v>
      </c>
    </row>
    <row r="800" spans="1:10" x14ac:dyDescent="0.35">
      <c r="A800" s="9" t="s">
        <v>1593</v>
      </c>
      <c r="B800" s="3">
        <v>1</v>
      </c>
      <c r="C800" s="4" t="str">
        <f t="shared" si="48"/>
        <v>Bad</v>
      </c>
      <c r="D800" s="3" t="s">
        <v>1630</v>
      </c>
      <c r="E800" s="3" t="s">
        <v>1631</v>
      </c>
      <c r="F800" s="5" t="s">
        <v>1616</v>
      </c>
      <c r="G800" s="4" t="str">
        <f t="shared" si="49"/>
        <v>21st</v>
      </c>
      <c r="H800" s="4" t="str">
        <f t="shared" si="50"/>
        <v>April</v>
      </c>
      <c r="I800" s="4" t="str">
        <f t="shared" si="51"/>
        <v>2023</v>
      </c>
      <c r="J800" s="10" t="s">
        <v>12</v>
      </c>
    </row>
    <row r="801" spans="1:10" x14ac:dyDescent="0.35">
      <c r="A801" s="9" t="s">
        <v>1593</v>
      </c>
      <c r="B801" s="3">
        <v>2</v>
      </c>
      <c r="C801" s="4" t="str">
        <f t="shared" si="48"/>
        <v>Bad</v>
      </c>
      <c r="D801" s="3" t="s">
        <v>1632</v>
      </c>
      <c r="E801" s="3" t="s">
        <v>1633</v>
      </c>
      <c r="F801" s="5" t="s">
        <v>1616</v>
      </c>
      <c r="G801" s="4" t="str">
        <f t="shared" si="49"/>
        <v>21st</v>
      </c>
      <c r="H801" s="4" t="str">
        <f t="shared" si="50"/>
        <v>April</v>
      </c>
      <c r="I801" s="4" t="str">
        <f t="shared" si="51"/>
        <v>2023</v>
      </c>
      <c r="J801" s="10" t="s">
        <v>12</v>
      </c>
    </row>
    <row r="802" spans="1:10" x14ac:dyDescent="0.35">
      <c r="A802" s="9" t="s">
        <v>1593</v>
      </c>
      <c r="B802" s="3">
        <v>1</v>
      </c>
      <c r="C802" s="4" t="str">
        <f t="shared" si="48"/>
        <v>Bad</v>
      </c>
      <c r="D802" s="3" t="s">
        <v>1634</v>
      </c>
      <c r="E802" s="3" t="s">
        <v>1635</v>
      </c>
      <c r="F802" s="5" t="s">
        <v>1636</v>
      </c>
      <c r="G802" s="4" t="str">
        <f t="shared" si="49"/>
        <v>12th</v>
      </c>
      <c r="H802" s="4" t="str">
        <f t="shared" si="50"/>
        <v>April</v>
      </c>
      <c r="I802" s="4" t="str">
        <f t="shared" si="51"/>
        <v>2023</v>
      </c>
      <c r="J802" s="10" t="s">
        <v>12</v>
      </c>
    </row>
    <row r="803" spans="1:10" x14ac:dyDescent="0.35">
      <c r="A803" s="9" t="s">
        <v>1593</v>
      </c>
      <c r="B803" s="3">
        <v>1</v>
      </c>
      <c r="C803" s="4" t="str">
        <f t="shared" si="48"/>
        <v>Bad</v>
      </c>
      <c r="D803" s="3" t="s">
        <v>1637</v>
      </c>
      <c r="E803" s="3" t="s">
        <v>1638</v>
      </c>
      <c r="F803" s="5" t="s">
        <v>1636</v>
      </c>
      <c r="G803" s="4" t="str">
        <f t="shared" si="49"/>
        <v>12th</v>
      </c>
      <c r="H803" s="4" t="str">
        <f t="shared" si="50"/>
        <v>April</v>
      </c>
      <c r="I803" s="4" t="str">
        <f t="shared" si="51"/>
        <v>2023</v>
      </c>
      <c r="J803" s="10" t="s">
        <v>12</v>
      </c>
    </row>
    <row r="804" spans="1:10" x14ac:dyDescent="0.35">
      <c r="A804" s="9" t="s">
        <v>1593</v>
      </c>
      <c r="B804" s="3">
        <v>1</v>
      </c>
      <c r="C804" s="4" t="str">
        <f t="shared" si="48"/>
        <v>Bad</v>
      </c>
      <c r="D804" s="3" t="s">
        <v>1639</v>
      </c>
      <c r="E804" s="3" t="s">
        <v>1640</v>
      </c>
      <c r="F804" s="5" t="s">
        <v>1636</v>
      </c>
      <c r="G804" s="4" t="str">
        <f t="shared" si="49"/>
        <v>12th</v>
      </c>
      <c r="H804" s="4" t="str">
        <f t="shared" si="50"/>
        <v>April</v>
      </c>
      <c r="I804" s="4" t="str">
        <f t="shared" si="51"/>
        <v>2023</v>
      </c>
      <c r="J804" s="10" t="s">
        <v>12</v>
      </c>
    </row>
    <row r="805" spans="1:10" x14ac:dyDescent="0.35">
      <c r="A805" s="9" t="s">
        <v>1593</v>
      </c>
      <c r="B805" s="3">
        <v>1</v>
      </c>
      <c r="C805" s="4" t="str">
        <f t="shared" si="48"/>
        <v>Bad</v>
      </c>
      <c r="D805" s="3" t="s">
        <v>1641</v>
      </c>
      <c r="E805" s="3" t="s">
        <v>1642</v>
      </c>
      <c r="F805" s="5" t="s">
        <v>1636</v>
      </c>
      <c r="G805" s="4" t="str">
        <f t="shared" si="49"/>
        <v>12th</v>
      </c>
      <c r="H805" s="4" t="str">
        <f t="shared" si="50"/>
        <v>April</v>
      </c>
      <c r="I805" s="4" t="str">
        <f t="shared" si="51"/>
        <v>2023</v>
      </c>
      <c r="J805" s="10" t="s">
        <v>12</v>
      </c>
    </row>
    <row r="806" spans="1:10" x14ac:dyDescent="0.35">
      <c r="A806" s="9" t="s">
        <v>1593</v>
      </c>
      <c r="B806" s="3">
        <v>1</v>
      </c>
      <c r="C806" s="4" t="str">
        <f t="shared" si="48"/>
        <v>Bad</v>
      </c>
      <c r="D806" s="3" t="s">
        <v>1643</v>
      </c>
      <c r="E806" s="3" t="s">
        <v>1644</v>
      </c>
      <c r="F806" s="5" t="s">
        <v>1636</v>
      </c>
      <c r="G806" s="4" t="str">
        <f t="shared" si="49"/>
        <v>12th</v>
      </c>
      <c r="H806" s="4" t="str">
        <f t="shared" si="50"/>
        <v>April</v>
      </c>
      <c r="I806" s="4" t="str">
        <f t="shared" si="51"/>
        <v>2023</v>
      </c>
      <c r="J806" s="10" t="s">
        <v>12</v>
      </c>
    </row>
    <row r="807" spans="1:10" x14ac:dyDescent="0.35">
      <c r="A807" s="9" t="s">
        <v>1593</v>
      </c>
      <c r="B807" s="3">
        <v>1</v>
      </c>
      <c r="C807" s="4" t="str">
        <f t="shared" si="48"/>
        <v>Bad</v>
      </c>
      <c r="D807" s="3" t="s">
        <v>1645</v>
      </c>
      <c r="E807" s="3" t="s">
        <v>1646</v>
      </c>
      <c r="F807" s="5" t="s">
        <v>1636</v>
      </c>
      <c r="G807" s="4" t="str">
        <f t="shared" si="49"/>
        <v>12th</v>
      </c>
      <c r="H807" s="4" t="str">
        <f t="shared" si="50"/>
        <v>April</v>
      </c>
      <c r="I807" s="4" t="str">
        <f t="shared" si="51"/>
        <v>2023</v>
      </c>
      <c r="J807" s="10" t="s">
        <v>12</v>
      </c>
    </row>
    <row r="808" spans="1:10" x14ac:dyDescent="0.35">
      <c r="A808" s="9" t="s">
        <v>1593</v>
      </c>
      <c r="B808" s="3">
        <v>1</v>
      </c>
      <c r="C808" s="4" t="str">
        <f t="shared" si="48"/>
        <v>Bad</v>
      </c>
      <c r="D808" s="3" t="s">
        <v>1043</v>
      </c>
      <c r="E808" s="3" t="s">
        <v>1647</v>
      </c>
      <c r="F808" s="5" t="s">
        <v>1636</v>
      </c>
      <c r="G808" s="4" t="str">
        <f t="shared" si="49"/>
        <v>12th</v>
      </c>
      <c r="H808" s="4" t="str">
        <f t="shared" si="50"/>
        <v>April</v>
      </c>
      <c r="I808" s="4" t="str">
        <f t="shared" si="51"/>
        <v>2023</v>
      </c>
      <c r="J808" s="10" t="s">
        <v>12</v>
      </c>
    </row>
    <row r="809" spans="1:10" x14ac:dyDescent="0.35">
      <c r="A809" s="9" t="s">
        <v>1593</v>
      </c>
      <c r="B809" s="3">
        <v>1</v>
      </c>
      <c r="C809" s="4" t="str">
        <f t="shared" si="48"/>
        <v>Bad</v>
      </c>
      <c r="D809" s="3" t="s">
        <v>1648</v>
      </c>
      <c r="E809" s="3" t="s">
        <v>1649</v>
      </c>
      <c r="F809" s="5" t="s">
        <v>1636</v>
      </c>
      <c r="G809" s="4" t="str">
        <f t="shared" si="49"/>
        <v>12th</v>
      </c>
      <c r="H809" s="4" t="str">
        <f t="shared" si="50"/>
        <v>April</v>
      </c>
      <c r="I809" s="4" t="str">
        <f t="shared" si="51"/>
        <v>2023</v>
      </c>
      <c r="J809" s="10" t="s">
        <v>12</v>
      </c>
    </row>
    <row r="810" spans="1:10" x14ac:dyDescent="0.35">
      <c r="A810" s="9" t="s">
        <v>1593</v>
      </c>
      <c r="B810" s="3">
        <v>1</v>
      </c>
      <c r="C810" s="4" t="str">
        <f t="shared" si="48"/>
        <v>Bad</v>
      </c>
      <c r="D810" s="3" t="s">
        <v>1650</v>
      </c>
      <c r="E810" s="3" t="s">
        <v>1651</v>
      </c>
      <c r="F810" s="5" t="s">
        <v>1636</v>
      </c>
      <c r="G810" s="4" t="str">
        <f t="shared" si="49"/>
        <v>12th</v>
      </c>
      <c r="H810" s="4" t="str">
        <f t="shared" si="50"/>
        <v>April</v>
      </c>
      <c r="I810" s="4" t="str">
        <f t="shared" si="51"/>
        <v>2023</v>
      </c>
      <c r="J810" s="10" t="s">
        <v>12</v>
      </c>
    </row>
    <row r="811" spans="1:10" x14ac:dyDescent="0.35">
      <c r="A811" s="9" t="s">
        <v>1593</v>
      </c>
      <c r="B811" s="3">
        <v>1</v>
      </c>
      <c r="C811" s="4" t="str">
        <f t="shared" si="48"/>
        <v>Bad</v>
      </c>
      <c r="D811" s="3" t="s">
        <v>1652</v>
      </c>
      <c r="E811" s="3" t="s">
        <v>1653</v>
      </c>
      <c r="F811" s="5" t="s">
        <v>1636</v>
      </c>
      <c r="G811" s="4" t="str">
        <f t="shared" si="49"/>
        <v>12th</v>
      </c>
      <c r="H811" s="4" t="str">
        <f t="shared" si="50"/>
        <v>April</v>
      </c>
      <c r="I811" s="4" t="str">
        <f t="shared" si="51"/>
        <v>2023</v>
      </c>
      <c r="J811" s="10" t="s">
        <v>12</v>
      </c>
    </row>
    <row r="812" spans="1:10" x14ac:dyDescent="0.35">
      <c r="A812" s="9" t="s">
        <v>1593</v>
      </c>
      <c r="B812" s="3">
        <v>1</v>
      </c>
      <c r="C812" s="4" t="str">
        <f t="shared" si="48"/>
        <v>Bad</v>
      </c>
      <c r="D812" s="3" t="s">
        <v>1654</v>
      </c>
      <c r="E812" s="3" t="s">
        <v>1655</v>
      </c>
      <c r="F812" s="5" t="s">
        <v>1656</v>
      </c>
      <c r="G812" s="4" t="str">
        <f t="shared" si="49"/>
        <v>25th</v>
      </c>
      <c r="H812" s="4" t="str">
        <f t="shared" si="50"/>
        <v>March</v>
      </c>
      <c r="I812" s="4" t="str">
        <f t="shared" si="51"/>
        <v>2023</v>
      </c>
      <c r="J812" s="10" t="s">
        <v>12</v>
      </c>
    </row>
    <row r="813" spans="1:10" x14ac:dyDescent="0.35">
      <c r="A813" s="9" t="s">
        <v>1593</v>
      </c>
      <c r="B813" s="3">
        <v>1</v>
      </c>
      <c r="C813" s="4" t="str">
        <f t="shared" si="48"/>
        <v>Bad</v>
      </c>
      <c r="D813" s="3" t="s">
        <v>1657</v>
      </c>
      <c r="E813" s="3" t="s">
        <v>1658</v>
      </c>
      <c r="F813" s="5" t="s">
        <v>1656</v>
      </c>
      <c r="G813" s="4" t="str">
        <f t="shared" si="49"/>
        <v>25th</v>
      </c>
      <c r="H813" s="4" t="str">
        <f t="shared" si="50"/>
        <v>March</v>
      </c>
      <c r="I813" s="4" t="str">
        <f t="shared" si="51"/>
        <v>2023</v>
      </c>
      <c r="J813" s="10" t="s">
        <v>12</v>
      </c>
    </row>
    <row r="814" spans="1:10" x14ac:dyDescent="0.35">
      <c r="A814" s="9" t="s">
        <v>1593</v>
      </c>
      <c r="B814" s="3">
        <v>1</v>
      </c>
      <c r="C814" s="4" t="str">
        <f t="shared" si="48"/>
        <v>Bad</v>
      </c>
      <c r="D814" s="3" t="s">
        <v>1659</v>
      </c>
      <c r="E814" s="3" t="s">
        <v>695</v>
      </c>
      <c r="F814" s="5" t="s">
        <v>1656</v>
      </c>
      <c r="G814" s="4" t="str">
        <f t="shared" si="49"/>
        <v>25th</v>
      </c>
      <c r="H814" s="4" t="str">
        <f t="shared" si="50"/>
        <v>March</v>
      </c>
      <c r="I814" s="4" t="str">
        <f t="shared" si="51"/>
        <v>2023</v>
      </c>
      <c r="J814" s="10" t="s">
        <v>12</v>
      </c>
    </row>
    <row r="815" spans="1:10" x14ac:dyDescent="0.35">
      <c r="A815" s="9" t="s">
        <v>1593</v>
      </c>
      <c r="B815" s="3">
        <v>1</v>
      </c>
      <c r="C815" s="4" t="str">
        <f t="shared" si="48"/>
        <v>Bad</v>
      </c>
      <c r="D815" s="3" t="s">
        <v>1660</v>
      </c>
      <c r="E815" s="3" t="s">
        <v>1661</v>
      </c>
      <c r="F815" s="5" t="s">
        <v>1656</v>
      </c>
      <c r="G815" s="4" t="str">
        <f t="shared" si="49"/>
        <v>25th</v>
      </c>
      <c r="H815" s="4" t="str">
        <f t="shared" si="50"/>
        <v>March</v>
      </c>
      <c r="I815" s="4" t="str">
        <f t="shared" si="51"/>
        <v>2023</v>
      </c>
      <c r="J815" s="10" t="s">
        <v>12</v>
      </c>
    </row>
    <row r="816" spans="1:10" x14ac:dyDescent="0.35">
      <c r="A816" s="9" t="s">
        <v>1593</v>
      </c>
      <c r="B816" s="3">
        <v>1</v>
      </c>
      <c r="C816" s="4" t="str">
        <f t="shared" si="48"/>
        <v>Bad</v>
      </c>
      <c r="D816" s="3" t="s">
        <v>1662</v>
      </c>
      <c r="E816" s="3" t="s">
        <v>1663</v>
      </c>
      <c r="F816" s="5" t="s">
        <v>1656</v>
      </c>
      <c r="G816" s="4" t="str">
        <f t="shared" si="49"/>
        <v>25th</v>
      </c>
      <c r="H816" s="4" t="str">
        <f t="shared" si="50"/>
        <v>March</v>
      </c>
      <c r="I816" s="4" t="str">
        <f t="shared" si="51"/>
        <v>2023</v>
      </c>
      <c r="J816" s="10" t="s">
        <v>12</v>
      </c>
    </row>
    <row r="817" spans="1:10" x14ac:dyDescent="0.35">
      <c r="A817" s="9" t="s">
        <v>1593</v>
      </c>
      <c r="B817" s="3">
        <v>8</v>
      </c>
      <c r="C817" s="4" t="str">
        <f t="shared" si="48"/>
        <v>Good</v>
      </c>
      <c r="D817" s="3" t="s">
        <v>1664</v>
      </c>
      <c r="E817" s="3" t="s">
        <v>1665</v>
      </c>
      <c r="F817" s="5" t="s">
        <v>1656</v>
      </c>
      <c r="G817" s="4" t="str">
        <f t="shared" si="49"/>
        <v>25th</v>
      </c>
      <c r="H817" s="4" t="str">
        <f t="shared" si="50"/>
        <v>March</v>
      </c>
      <c r="I817" s="4" t="str">
        <f t="shared" si="51"/>
        <v>2023</v>
      </c>
      <c r="J817" s="10" t="s">
        <v>9</v>
      </c>
    </row>
    <row r="818" spans="1:10" x14ac:dyDescent="0.35">
      <c r="A818" s="9" t="s">
        <v>1593</v>
      </c>
      <c r="B818" s="3">
        <v>2</v>
      </c>
      <c r="C818" s="4" t="str">
        <f t="shared" si="48"/>
        <v>Bad</v>
      </c>
      <c r="D818" s="3" t="s">
        <v>1666</v>
      </c>
      <c r="E818" s="3" t="s">
        <v>1667</v>
      </c>
      <c r="F818" s="5" t="s">
        <v>1656</v>
      </c>
      <c r="G818" s="4" t="str">
        <f t="shared" si="49"/>
        <v>25th</v>
      </c>
      <c r="H818" s="4" t="str">
        <f t="shared" si="50"/>
        <v>March</v>
      </c>
      <c r="I818" s="4" t="str">
        <f t="shared" si="51"/>
        <v>2023</v>
      </c>
      <c r="J818" s="10" t="s">
        <v>12</v>
      </c>
    </row>
    <row r="819" spans="1:10" x14ac:dyDescent="0.35">
      <c r="A819" s="9" t="s">
        <v>1593</v>
      </c>
      <c r="B819" s="3">
        <v>1</v>
      </c>
      <c r="C819" s="4" t="str">
        <f t="shared" si="48"/>
        <v>Bad</v>
      </c>
      <c r="D819" s="3" t="s">
        <v>1668</v>
      </c>
      <c r="E819" s="3" t="s">
        <v>1669</v>
      </c>
      <c r="F819" s="5" t="s">
        <v>1656</v>
      </c>
      <c r="G819" s="4" t="str">
        <f t="shared" si="49"/>
        <v>25th</v>
      </c>
      <c r="H819" s="4" t="str">
        <f t="shared" si="50"/>
        <v>March</v>
      </c>
      <c r="I819" s="4" t="str">
        <f t="shared" si="51"/>
        <v>2023</v>
      </c>
      <c r="J819" s="10" t="s">
        <v>12</v>
      </c>
    </row>
    <row r="820" spans="1:10" x14ac:dyDescent="0.35">
      <c r="A820" s="9" t="s">
        <v>1593</v>
      </c>
      <c r="B820" s="3">
        <v>1</v>
      </c>
      <c r="C820" s="4" t="str">
        <f t="shared" si="48"/>
        <v>Bad</v>
      </c>
      <c r="D820" s="3" t="s">
        <v>1670</v>
      </c>
      <c r="E820" s="3" t="s">
        <v>1671</v>
      </c>
      <c r="F820" s="5" t="s">
        <v>1656</v>
      </c>
      <c r="G820" s="4" t="str">
        <f t="shared" si="49"/>
        <v>25th</v>
      </c>
      <c r="H820" s="4" t="str">
        <f t="shared" si="50"/>
        <v>March</v>
      </c>
      <c r="I820" s="4" t="str">
        <f t="shared" si="51"/>
        <v>2023</v>
      </c>
      <c r="J820" s="10" t="s">
        <v>12</v>
      </c>
    </row>
    <row r="821" spans="1:10" x14ac:dyDescent="0.35">
      <c r="A821" s="9" t="s">
        <v>1593</v>
      </c>
      <c r="B821" s="3">
        <v>1</v>
      </c>
      <c r="C821" s="4" t="str">
        <f t="shared" si="48"/>
        <v>Bad</v>
      </c>
      <c r="D821" s="3" t="s">
        <v>1672</v>
      </c>
      <c r="E821" s="3" t="s">
        <v>1673</v>
      </c>
      <c r="F821" s="5" t="s">
        <v>1656</v>
      </c>
      <c r="G821" s="4" t="str">
        <f t="shared" si="49"/>
        <v>25th</v>
      </c>
      <c r="H821" s="4" t="str">
        <f t="shared" si="50"/>
        <v>March</v>
      </c>
      <c r="I821" s="4" t="str">
        <f t="shared" si="51"/>
        <v>2023</v>
      </c>
      <c r="J821" s="10" t="s">
        <v>12</v>
      </c>
    </row>
    <row r="822" spans="1:10" x14ac:dyDescent="0.35">
      <c r="A822" s="9" t="s">
        <v>1593</v>
      </c>
      <c r="B822" s="3">
        <v>1</v>
      </c>
      <c r="C822" s="4" t="str">
        <f t="shared" si="48"/>
        <v>Bad</v>
      </c>
      <c r="D822" s="3" t="s">
        <v>1674</v>
      </c>
      <c r="E822" s="3" t="s">
        <v>1675</v>
      </c>
      <c r="F822" s="5" t="s">
        <v>1676</v>
      </c>
      <c r="G822" s="4" t="str">
        <f t="shared" si="49"/>
        <v>19th</v>
      </c>
      <c r="H822" s="4" t="str">
        <f t="shared" si="50"/>
        <v>March</v>
      </c>
      <c r="I822" s="4" t="str">
        <f t="shared" si="51"/>
        <v>2023</v>
      </c>
      <c r="J822" s="10" t="s">
        <v>12</v>
      </c>
    </row>
    <row r="823" spans="1:10" x14ac:dyDescent="0.35">
      <c r="A823" s="9" t="s">
        <v>1593</v>
      </c>
      <c r="B823" s="3">
        <v>1</v>
      </c>
      <c r="C823" s="4" t="str">
        <f t="shared" si="48"/>
        <v>Bad</v>
      </c>
      <c r="D823" s="3" t="s">
        <v>1677</v>
      </c>
      <c r="E823" s="3" t="s">
        <v>1678</v>
      </c>
      <c r="F823" s="5" t="s">
        <v>1676</v>
      </c>
      <c r="G823" s="4" t="str">
        <f t="shared" si="49"/>
        <v>19th</v>
      </c>
      <c r="H823" s="4" t="str">
        <f t="shared" si="50"/>
        <v>March</v>
      </c>
      <c r="I823" s="4" t="str">
        <f t="shared" si="51"/>
        <v>2023</v>
      </c>
      <c r="J823" s="10" t="s">
        <v>12</v>
      </c>
    </row>
    <row r="824" spans="1:10" x14ac:dyDescent="0.35">
      <c r="A824" s="9" t="s">
        <v>1593</v>
      </c>
      <c r="B824" s="3">
        <v>3</v>
      </c>
      <c r="C824" s="4" t="str">
        <f t="shared" si="48"/>
        <v>Bad</v>
      </c>
      <c r="D824" s="3" t="s">
        <v>1679</v>
      </c>
      <c r="E824" s="3" t="s">
        <v>1680</v>
      </c>
      <c r="F824" s="5" t="s">
        <v>1676</v>
      </c>
      <c r="G824" s="4" t="str">
        <f t="shared" si="49"/>
        <v>19th</v>
      </c>
      <c r="H824" s="4" t="str">
        <f t="shared" si="50"/>
        <v>March</v>
      </c>
      <c r="I824" s="4" t="str">
        <f t="shared" si="51"/>
        <v>2023</v>
      </c>
      <c r="J824" s="10" t="s">
        <v>12</v>
      </c>
    </row>
    <row r="825" spans="1:10" x14ac:dyDescent="0.35">
      <c r="A825" s="9" t="s">
        <v>1593</v>
      </c>
      <c r="B825" s="3">
        <v>1</v>
      </c>
      <c r="C825" s="4" t="str">
        <f t="shared" si="48"/>
        <v>Bad</v>
      </c>
      <c r="D825" s="3" t="s">
        <v>1681</v>
      </c>
      <c r="E825" s="3" t="s">
        <v>1682</v>
      </c>
      <c r="F825" s="5" t="s">
        <v>1676</v>
      </c>
      <c r="G825" s="4" t="str">
        <f t="shared" si="49"/>
        <v>19th</v>
      </c>
      <c r="H825" s="4" t="str">
        <f t="shared" si="50"/>
        <v>March</v>
      </c>
      <c r="I825" s="4" t="str">
        <f t="shared" si="51"/>
        <v>2023</v>
      </c>
      <c r="J825" s="10" t="s">
        <v>12</v>
      </c>
    </row>
    <row r="826" spans="1:10" x14ac:dyDescent="0.35">
      <c r="A826" s="9" t="s">
        <v>1593</v>
      </c>
      <c r="B826" s="3">
        <v>1</v>
      </c>
      <c r="C826" s="4" t="str">
        <f t="shared" si="48"/>
        <v>Bad</v>
      </c>
      <c r="D826" s="3" t="s">
        <v>1683</v>
      </c>
      <c r="E826" s="3" t="s">
        <v>1684</v>
      </c>
      <c r="F826" s="5" t="s">
        <v>1676</v>
      </c>
      <c r="G826" s="4" t="str">
        <f t="shared" si="49"/>
        <v>19th</v>
      </c>
      <c r="H826" s="4" t="str">
        <f t="shared" si="50"/>
        <v>March</v>
      </c>
      <c r="I826" s="4" t="str">
        <f t="shared" si="51"/>
        <v>2023</v>
      </c>
      <c r="J826" s="10" t="s">
        <v>12</v>
      </c>
    </row>
    <row r="827" spans="1:10" x14ac:dyDescent="0.35">
      <c r="A827" s="9" t="s">
        <v>1593</v>
      </c>
      <c r="B827" s="3">
        <v>1</v>
      </c>
      <c r="C827" s="4" t="str">
        <f t="shared" si="48"/>
        <v>Bad</v>
      </c>
      <c r="D827" s="3" t="s">
        <v>1685</v>
      </c>
      <c r="E827" s="3" t="s">
        <v>1686</v>
      </c>
      <c r="F827" s="5" t="s">
        <v>1676</v>
      </c>
      <c r="G827" s="4" t="str">
        <f t="shared" si="49"/>
        <v>19th</v>
      </c>
      <c r="H827" s="4" t="str">
        <f t="shared" si="50"/>
        <v>March</v>
      </c>
      <c r="I827" s="4" t="str">
        <f t="shared" si="51"/>
        <v>2023</v>
      </c>
      <c r="J827" s="10" t="s">
        <v>12</v>
      </c>
    </row>
    <row r="828" spans="1:10" x14ac:dyDescent="0.35">
      <c r="A828" s="9" t="s">
        <v>1593</v>
      </c>
      <c r="B828" s="3">
        <v>1</v>
      </c>
      <c r="C828" s="4" t="str">
        <f t="shared" si="48"/>
        <v>Bad</v>
      </c>
      <c r="D828" s="3" t="s">
        <v>1687</v>
      </c>
      <c r="E828" s="3" t="s">
        <v>1688</v>
      </c>
      <c r="F828" s="5" t="s">
        <v>1676</v>
      </c>
      <c r="G828" s="4" t="str">
        <f t="shared" si="49"/>
        <v>19th</v>
      </c>
      <c r="H828" s="4" t="str">
        <f t="shared" si="50"/>
        <v>March</v>
      </c>
      <c r="I828" s="4" t="str">
        <f t="shared" si="51"/>
        <v>2023</v>
      </c>
      <c r="J828" s="10" t="s">
        <v>12</v>
      </c>
    </row>
    <row r="829" spans="1:10" x14ac:dyDescent="0.35">
      <c r="A829" s="9" t="s">
        <v>1593</v>
      </c>
      <c r="B829" s="3">
        <v>1</v>
      </c>
      <c r="C829" s="4" t="str">
        <f t="shared" si="48"/>
        <v>Bad</v>
      </c>
      <c r="D829" s="3" t="s">
        <v>1689</v>
      </c>
      <c r="E829" s="3" t="s">
        <v>1690</v>
      </c>
      <c r="F829" s="5" t="s">
        <v>1676</v>
      </c>
      <c r="G829" s="4" t="str">
        <f t="shared" si="49"/>
        <v>19th</v>
      </c>
      <c r="H829" s="4" t="str">
        <f t="shared" si="50"/>
        <v>March</v>
      </c>
      <c r="I829" s="4" t="str">
        <f t="shared" si="51"/>
        <v>2023</v>
      </c>
      <c r="J829" s="10" t="s">
        <v>12</v>
      </c>
    </row>
    <row r="830" spans="1:10" x14ac:dyDescent="0.35">
      <c r="A830" s="9" t="s">
        <v>1593</v>
      </c>
      <c r="B830" s="3">
        <v>1</v>
      </c>
      <c r="C830" s="4" t="str">
        <f t="shared" si="48"/>
        <v>Bad</v>
      </c>
      <c r="D830" s="3" t="s">
        <v>1691</v>
      </c>
      <c r="E830" s="3" t="s">
        <v>1692</v>
      </c>
      <c r="F830" s="5" t="s">
        <v>1676</v>
      </c>
      <c r="G830" s="4" t="str">
        <f t="shared" si="49"/>
        <v>19th</v>
      </c>
      <c r="H830" s="4" t="str">
        <f t="shared" si="50"/>
        <v>March</v>
      </c>
      <c r="I830" s="4" t="str">
        <f t="shared" si="51"/>
        <v>2023</v>
      </c>
      <c r="J830" s="10" t="s">
        <v>12</v>
      </c>
    </row>
    <row r="831" spans="1:10" x14ac:dyDescent="0.35">
      <c r="A831" s="9" t="s">
        <v>1593</v>
      </c>
      <c r="B831" s="3">
        <v>1</v>
      </c>
      <c r="C831" s="4" t="str">
        <f t="shared" si="48"/>
        <v>Bad</v>
      </c>
      <c r="D831" s="3" t="s">
        <v>1693</v>
      </c>
      <c r="E831" s="3" t="s">
        <v>1694</v>
      </c>
      <c r="F831" s="5" t="s">
        <v>1676</v>
      </c>
      <c r="G831" s="4" t="str">
        <f t="shared" si="49"/>
        <v>19th</v>
      </c>
      <c r="H831" s="4" t="str">
        <f t="shared" si="50"/>
        <v>March</v>
      </c>
      <c r="I831" s="4" t="str">
        <f t="shared" si="51"/>
        <v>2023</v>
      </c>
      <c r="J831" s="10" t="s">
        <v>12</v>
      </c>
    </row>
    <row r="832" spans="1:10" x14ac:dyDescent="0.35">
      <c r="A832" s="9" t="s">
        <v>1593</v>
      </c>
      <c r="B832" s="3">
        <v>1</v>
      </c>
      <c r="C832" s="4" t="str">
        <f t="shared" si="48"/>
        <v>Bad</v>
      </c>
      <c r="D832" s="3" t="s">
        <v>1695</v>
      </c>
      <c r="E832" s="3" t="s">
        <v>1696</v>
      </c>
      <c r="F832" s="5" t="s">
        <v>1697</v>
      </c>
      <c r="G832" s="4" t="str">
        <f t="shared" si="49"/>
        <v>11th</v>
      </c>
      <c r="H832" s="4" t="str">
        <f t="shared" si="50"/>
        <v>February</v>
      </c>
      <c r="I832" s="4" t="str">
        <f t="shared" si="51"/>
        <v>2023</v>
      </c>
      <c r="J832" s="10" t="s">
        <v>12</v>
      </c>
    </row>
    <row r="833" spans="1:10" x14ac:dyDescent="0.35">
      <c r="A833" s="9" t="s">
        <v>1593</v>
      </c>
      <c r="B833" s="3">
        <v>1</v>
      </c>
      <c r="C833" s="4" t="str">
        <f t="shared" si="48"/>
        <v>Bad</v>
      </c>
      <c r="D833" s="3" t="s">
        <v>1698</v>
      </c>
      <c r="E833" s="3" t="s">
        <v>1699</v>
      </c>
      <c r="F833" s="5" t="s">
        <v>1697</v>
      </c>
      <c r="G833" s="4" t="str">
        <f t="shared" si="49"/>
        <v>11th</v>
      </c>
      <c r="H833" s="4" t="str">
        <f t="shared" si="50"/>
        <v>February</v>
      </c>
      <c r="I833" s="4" t="str">
        <f t="shared" si="51"/>
        <v>2023</v>
      </c>
      <c r="J833" s="10" t="s">
        <v>12</v>
      </c>
    </row>
    <row r="834" spans="1:10" x14ac:dyDescent="0.35">
      <c r="A834" s="9" t="s">
        <v>1593</v>
      </c>
      <c r="B834" s="3">
        <v>1</v>
      </c>
      <c r="C834" s="4" t="str">
        <f t="shared" si="48"/>
        <v>Bad</v>
      </c>
      <c r="D834" s="3" t="s">
        <v>1700</v>
      </c>
      <c r="E834" s="3" t="s">
        <v>1701</v>
      </c>
      <c r="F834" s="5" t="s">
        <v>1697</v>
      </c>
      <c r="G834" s="4" t="str">
        <f t="shared" si="49"/>
        <v>11th</v>
      </c>
      <c r="H834" s="4" t="str">
        <f t="shared" si="50"/>
        <v>February</v>
      </c>
      <c r="I834" s="4" t="str">
        <f t="shared" si="51"/>
        <v>2023</v>
      </c>
      <c r="J834" s="10" t="s">
        <v>12</v>
      </c>
    </row>
    <row r="835" spans="1:10" x14ac:dyDescent="0.35">
      <c r="A835" s="9" t="s">
        <v>1593</v>
      </c>
      <c r="B835" s="3">
        <v>2</v>
      </c>
      <c r="C835" s="4" t="str">
        <f t="shared" ref="C835:C898" si="52">IF(B835&gt;=8,"Good",IF(B835&gt;=5,"Neutral","Bad"))</f>
        <v>Bad</v>
      </c>
      <c r="D835" s="3" t="s">
        <v>1702</v>
      </c>
      <c r="E835" s="3" t="s">
        <v>1703</v>
      </c>
      <c r="F835" s="5" t="s">
        <v>1697</v>
      </c>
      <c r="G835" s="4" t="str">
        <f t="shared" ref="G835:G898" si="53">LEFT(F835, FIND(" ", F835)-1)</f>
        <v>11th</v>
      </c>
      <c r="H835" s="4" t="str">
        <f t="shared" ref="H835:H898" si="54">TRIM(MID(F835, FIND(" ", F835)+1, FIND(" ", F835, FIND(" ", F835)+1) - FIND(" ", F835)-1))</f>
        <v>February</v>
      </c>
      <c r="I835" s="4" t="str">
        <f t="shared" ref="I835:I898" si="55">RIGHT(F835, 4)</f>
        <v>2023</v>
      </c>
      <c r="J835" s="10" t="s">
        <v>12</v>
      </c>
    </row>
    <row r="836" spans="1:10" x14ac:dyDescent="0.35">
      <c r="A836" s="9" t="s">
        <v>1593</v>
      </c>
      <c r="B836" s="3">
        <v>1</v>
      </c>
      <c r="C836" s="4" t="str">
        <f t="shared" si="52"/>
        <v>Bad</v>
      </c>
      <c r="D836" s="3" t="s">
        <v>1704</v>
      </c>
      <c r="E836" s="3" t="s">
        <v>1705</v>
      </c>
      <c r="F836" s="5" t="s">
        <v>1697</v>
      </c>
      <c r="G836" s="4" t="str">
        <f t="shared" si="53"/>
        <v>11th</v>
      </c>
      <c r="H836" s="4" t="str">
        <f t="shared" si="54"/>
        <v>February</v>
      </c>
      <c r="I836" s="4" t="str">
        <f t="shared" si="55"/>
        <v>2023</v>
      </c>
      <c r="J836" s="10" t="s">
        <v>12</v>
      </c>
    </row>
    <row r="837" spans="1:10" x14ac:dyDescent="0.35">
      <c r="A837" s="9" t="s">
        <v>1593</v>
      </c>
      <c r="B837" s="3">
        <v>1</v>
      </c>
      <c r="C837" s="4" t="str">
        <f t="shared" si="52"/>
        <v>Bad</v>
      </c>
      <c r="D837" s="3" t="s">
        <v>1706</v>
      </c>
      <c r="E837" s="3" t="s">
        <v>1707</v>
      </c>
      <c r="F837" s="5" t="s">
        <v>1697</v>
      </c>
      <c r="G837" s="4" t="str">
        <f t="shared" si="53"/>
        <v>11th</v>
      </c>
      <c r="H837" s="4" t="str">
        <f t="shared" si="54"/>
        <v>February</v>
      </c>
      <c r="I837" s="4" t="str">
        <f t="shared" si="55"/>
        <v>2023</v>
      </c>
      <c r="J837" s="10" t="s">
        <v>12</v>
      </c>
    </row>
    <row r="838" spans="1:10" x14ac:dyDescent="0.35">
      <c r="A838" s="9" t="s">
        <v>1593</v>
      </c>
      <c r="B838" s="3">
        <v>1</v>
      </c>
      <c r="C838" s="4" t="str">
        <f t="shared" si="52"/>
        <v>Bad</v>
      </c>
      <c r="D838" s="3" t="s">
        <v>1708</v>
      </c>
      <c r="E838" s="3" t="s">
        <v>1709</v>
      </c>
      <c r="F838" s="5" t="s">
        <v>1697</v>
      </c>
      <c r="G838" s="4" t="str">
        <f t="shared" si="53"/>
        <v>11th</v>
      </c>
      <c r="H838" s="4" t="str">
        <f t="shared" si="54"/>
        <v>February</v>
      </c>
      <c r="I838" s="4" t="str">
        <f t="shared" si="55"/>
        <v>2023</v>
      </c>
      <c r="J838" s="10" t="s">
        <v>12</v>
      </c>
    </row>
    <row r="839" spans="1:10" x14ac:dyDescent="0.35">
      <c r="A839" s="9" t="s">
        <v>1593</v>
      </c>
      <c r="B839" s="3">
        <v>1</v>
      </c>
      <c r="C839" s="4" t="str">
        <f t="shared" si="52"/>
        <v>Bad</v>
      </c>
      <c r="D839" s="3" t="s">
        <v>1710</v>
      </c>
      <c r="E839" s="3" t="s">
        <v>1711</v>
      </c>
      <c r="F839" s="5" t="s">
        <v>1697</v>
      </c>
      <c r="G839" s="4" t="str">
        <f t="shared" si="53"/>
        <v>11th</v>
      </c>
      <c r="H839" s="4" t="str">
        <f t="shared" si="54"/>
        <v>February</v>
      </c>
      <c r="I839" s="4" t="str">
        <f t="shared" si="55"/>
        <v>2023</v>
      </c>
      <c r="J839" s="10" t="s">
        <v>12</v>
      </c>
    </row>
    <row r="840" spans="1:10" x14ac:dyDescent="0.35">
      <c r="A840" s="9" t="s">
        <v>1593</v>
      </c>
      <c r="B840" s="3">
        <v>6</v>
      </c>
      <c r="C840" s="4" t="str">
        <f t="shared" si="52"/>
        <v>Neutral</v>
      </c>
      <c r="D840" s="3" t="s">
        <v>1712</v>
      </c>
      <c r="E840" s="3" t="s">
        <v>1713</v>
      </c>
      <c r="F840" s="5" t="s">
        <v>1697</v>
      </c>
      <c r="G840" s="4" t="str">
        <f t="shared" si="53"/>
        <v>11th</v>
      </c>
      <c r="H840" s="4" t="str">
        <f t="shared" si="54"/>
        <v>February</v>
      </c>
      <c r="I840" s="4" t="str">
        <f t="shared" si="55"/>
        <v>2023</v>
      </c>
      <c r="J840" s="10" t="s">
        <v>12</v>
      </c>
    </row>
    <row r="841" spans="1:10" x14ac:dyDescent="0.35">
      <c r="A841" s="9" t="s">
        <v>1593</v>
      </c>
      <c r="B841" s="3">
        <v>1</v>
      </c>
      <c r="C841" s="4" t="str">
        <f t="shared" si="52"/>
        <v>Bad</v>
      </c>
      <c r="D841" s="3" t="s">
        <v>1480</v>
      </c>
      <c r="E841" s="3" t="s">
        <v>1714</v>
      </c>
      <c r="F841" s="5" t="s">
        <v>1697</v>
      </c>
      <c r="G841" s="4" t="str">
        <f t="shared" si="53"/>
        <v>11th</v>
      </c>
      <c r="H841" s="4" t="str">
        <f t="shared" si="54"/>
        <v>February</v>
      </c>
      <c r="I841" s="4" t="str">
        <f t="shared" si="55"/>
        <v>2023</v>
      </c>
      <c r="J841" s="10" t="s">
        <v>12</v>
      </c>
    </row>
    <row r="842" spans="1:10" x14ac:dyDescent="0.35">
      <c r="A842" s="9" t="s">
        <v>1593</v>
      </c>
      <c r="B842" s="3">
        <v>1</v>
      </c>
      <c r="C842" s="4" t="str">
        <f t="shared" si="52"/>
        <v>Bad</v>
      </c>
      <c r="D842" s="3" t="s">
        <v>1715</v>
      </c>
      <c r="E842" s="3" t="s">
        <v>1716</v>
      </c>
      <c r="F842" s="5" t="s">
        <v>1717</v>
      </c>
      <c r="G842" s="4" t="str">
        <f t="shared" si="53"/>
        <v>8th</v>
      </c>
      <c r="H842" s="4" t="str">
        <f t="shared" si="54"/>
        <v>December</v>
      </c>
      <c r="I842" s="4" t="str">
        <f t="shared" si="55"/>
        <v>2022</v>
      </c>
      <c r="J842" s="10" t="s">
        <v>12</v>
      </c>
    </row>
    <row r="843" spans="1:10" x14ac:dyDescent="0.35">
      <c r="A843" s="9" t="s">
        <v>1593</v>
      </c>
      <c r="B843" s="3">
        <v>1</v>
      </c>
      <c r="C843" s="4" t="str">
        <f t="shared" si="52"/>
        <v>Bad</v>
      </c>
      <c r="D843" s="3" t="s">
        <v>587</v>
      </c>
      <c r="E843" s="3" t="s">
        <v>1718</v>
      </c>
      <c r="F843" s="5" t="s">
        <v>1717</v>
      </c>
      <c r="G843" s="4" t="str">
        <f t="shared" si="53"/>
        <v>8th</v>
      </c>
      <c r="H843" s="4" t="str">
        <f t="shared" si="54"/>
        <v>December</v>
      </c>
      <c r="I843" s="4" t="str">
        <f t="shared" si="55"/>
        <v>2022</v>
      </c>
      <c r="J843" s="10" t="s">
        <v>12</v>
      </c>
    </row>
    <row r="844" spans="1:10" x14ac:dyDescent="0.35">
      <c r="A844" s="9" t="s">
        <v>1593</v>
      </c>
      <c r="B844" s="3">
        <v>1</v>
      </c>
      <c r="C844" s="4" t="str">
        <f t="shared" si="52"/>
        <v>Bad</v>
      </c>
      <c r="D844" s="3" t="s">
        <v>1719</v>
      </c>
      <c r="E844" s="3" t="s">
        <v>1720</v>
      </c>
      <c r="F844" s="5" t="s">
        <v>1717</v>
      </c>
      <c r="G844" s="4" t="str">
        <f t="shared" si="53"/>
        <v>8th</v>
      </c>
      <c r="H844" s="4" t="str">
        <f t="shared" si="54"/>
        <v>December</v>
      </c>
      <c r="I844" s="4" t="str">
        <f t="shared" si="55"/>
        <v>2022</v>
      </c>
      <c r="J844" s="10" t="s">
        <v>12</v>
      </c>
    </row>
    <row r="845" spans="1:10" x14ac:dyDescent="0.35">
      <c r="A845" s="9" t="s">
        <v>1593</v>
      </c>
      <c r="B845" s="3">
        <v>1</v>
      </c>
      <c r="C845" s="4" t="str">
        <f t="shared" si="52"/>
        <v>Bad</v>
      </c>
      <c r="D845" s="3" t="s">
        <v>1721</v>
      </c>
      <c r="E845" s="3" t="s">
        <v>1722</v>
      </c>
      <c r="F845" s="5" t="s">
        <v>1717</v>
      </c>
      <c r="G845" s="4" t="str">
        <f t="shared" si="53"/>
        <v>8th</v>
      </c>
      <c r="H845" s="4" t="str">
        <f t="shared" si="54"/>
        <v>December</v>
      </c>
      <c r="I845" s="4" t="str">
        <f t="shared" si="55"/>
        <v>2022</v>
      </c>
      <c r="J845" s="10" t="s">
        <v>12</v>
      </c>
    </row>
    <row r="846" spans="1:10" x14ac:dyDescent="0.35">
      <c r="A846" s="9" t="s">
        <v>1593</v>
      </c>
      <c r="B846" s="3">
        <v>1</v>
      </c>
      <c r="C846" s="4" t="str">
        <f t="shared" si="52"/>
        <v>Bad</v>
      </c>
      <c r="D846" s="3" t="s">
        <v>587</v>
      </c>
      <c r="E846" s="3" t="s">
        <v>1723</v>
      </c>
      <c r="F846" s="5" t="s">
        <v>1717</v>
      </c>
      <c r="G846" s="4" t="str">
        <f t="shared" si="53"/>
        <v>8th</v>
      </c>
      <c r="H846" s="4" t="str">
        <f t="shared" si="54"/>
        <v>December</v>
      </c>
      <c r="I846" s="4" t="str">
        <f t="shared" si="55"/>
        <v>2022</v>
      </c>
      <c r="J846" s="10" t="s">
        <v>12</v>
      </c>
    </row>
    <row r="847" spans="1:10" x14ac:dyDescent="0.35">
      <c r="A847" s="9" t="s">
        <v>1593</v>
      </c>
      <c r="B847" s="3">
        <v>1</v>
      </c>
      <c r="C847" s="4" t="str">
        <f t="shared" si="52"/>
        <v>Bad</v>
      </c>
      <c r="D847" s="3" t="s">
        <v>1724</v>
      </c>
      <c r="E847" s="3" t="s">
        <v>1725</v>
      </c>
      <c r="F847" s="5" t="s">
        <v>1717</v>
      </c>
      <c r="G847" s="4" t="str">
        <f t="shared" si="53"/>
        <v>8th</v>
      </c>
      <c r="H847" s="4" t="str">
        <f t="shared" si="54"/>
        <v>December</v>
      </c>
      <c r="I847" s="4" t="str">
        <f t="shared" si="55"/>
        <v>2022</v>
      </c>
      <c r="J847" s="10" t="s">
        <v>12</v>
      </c>
    </row>
    <row r="848" spans="1:10" x14ac:dyDescent="0.35">
      <c r="A848" s="9" t="s">
        <v>1593</v>
      </c>
      <c r="B848" s="3">
        <v>1</v>
      </c>
      <c r="C848" s="4" t="str">
        <f t="shared" si="52"/>
        <v>Bad</v>
      </c>
      <c r="D848" s="3" t="s">
        <v>1726</v>
      </c>
      <c r="E848" s="3" t="s">
        <v>1727</v>
      </c>
      <c r="F848" s="5" t="s">
        <v>1717</v>
      </c>
      <c r="G848" s="4" t="str">
        <f t="shared" si="53"/>
        <v>8th</v>
      </c>
      <c r="H848" s="4" t="str">
        <f t="shared" si="54"/>
        <v>December</v>
      </c>
      <c r="I848" s="4" t="str">
        <f t="shared" si="55"/>
        <v>2022</v>
      </c>
      <c r="J848" s="10" t="s">
        <v>12</v>
      </c>
    </row>
    <row r="849" spans="1:10" x14ac:dyDescent="0.35">
      <c r="A849" s="9" t="s">
        <v>1593</v>
      </c>
      <c r="B849" s="3">
        <v>1</v>
      </c>
      <c r="C849" s="4" t="str">
        <f t="shared" si="52"/>
        <v>Bad</v>
      </c>
      <c r="D849" s="3" t="s">
        <v>1728</v>
      </c>
      <c r="E849" s="3" t="s">
        <v>1729</v>
      </c>
      <c r="F849" s="5" t="s">
        <v>1717</v>
      </c>
      <c r="G849" s="4" t="str">
        <f t="shared" si="53"/>
        <v>8th</v>
      </c>
      <c r="H849" s="4" t="str">
        <f t="shared" si="54"/>
        <v>December</v>
      </c>
      <c r="I849" s="4" t="str">
        <f t="shared" si="55"/>
        <v>2022</v>
      </c>
      <c r="J849" s="10" t="s">
        <v>12</v>
      </c>
    </row>
    <row r="850" spans="1:10" x14ac:dyDescent="0.35">
      <c r="A850" s="9" t="s">
        <v>1593</v>
      </c>
      <c r="B850" s="3">
        <v>1</v>
      </c>
      <c r="C850" s="4" t="str">
        <f t="shared" si="52"/>
        <v>Bad</v>
      </c>
      <c r="D850" s="3" t="s">
        <v>1730</v>
      </c>
      <c r="E850" s="3" t="s">
        <v>1731</v>
      </c>
      <c r="F850" s="5" t="s">
        <v>1717</v>
      </c>
      <c r="G850" s="4" t="str">
        <f t="shared" si="53"/>
        <v>8th</v>
      </c>
      <c r="H850" s="4" t="str">
        <f t="shared" si="54"/>
        <v>December</v>
      </c>
      <c r="I850" s="4" t="str">
        <f t="shared" si="55"/>
        <v>2022</v>
      </c>
      <c r="J850" s="10" t="s">
        <v>12</v>
      </c>
    </row>
    <row r="851" spans="1:10" x14ac:dyDescent="0.35">
      <c r="A851" s="9" t="s">
        <v>1593</v>
      </c>
      <c r="B851" s="3">
        <v>1</v>
      </c>
      <c r="C851" s="4" t="str">
        <f t="shared" si="52"/>
        <v>Bad</v>
      </c>
      <c r="D851" s="3" t="s">
        <v>1732</v>
      </c>
      <c r="E851" s="3" t="s">
        <v>1733</v>
      </c>
      <c r="F851" s="5" t="s">
        <v>1717</v>
      </c>
      <c r="G851" s="4" t="str">
        <f t="shared" si="53"/>
        <v>8th</v>
      </c>
      <c r="H851" s="4" t="str">
        <f t="shared" si="54"/>
        <v>December</v>
      </c>
      <c r="I851" s="4" t="str">
        <f t="shared" si="55"/>
        <v>2022</v>
      </c>
      <c r="J851" s="10" t="s">
        <v>12</v>
      </c>
    </row>
    <row r="852" spans="1:10" x14ac:dyDescent="0.35">
      <c r="A852" s="9" t="s">
        <v>1593</v>
      </c>
      <c r="B852" s="3">
        <v>1</v>
      </c>
      <c r="C852" s="4" t="str">
        <f t="shared" si="52"/>
        <v>Bad</v>
      </c>
      <c r="D852" s="3" t="s">
        <v>1734</v>
      </c>
      <c r="E852" s="3" t="s">
        <v>1735</v>
      </c>
      <c r="F852" s="5" t="s">
        <v>1736</v>
      </c>
      <c r="G852" s="4" t="str">
        <f t="shared" si="53"/>
        <v>12th</v>
      </c>
      <c r="H852" s="4" t="str">
        <f t="shared" si="54"/>
        <v>November</v>
      </c>
      <c r="I852" s="4" t="str">
        <f t="shared" si="55"/>
        <v>2022</v>
      </c>
      <c r="J852" s="10" t="s">
        <v>12</v>
      </c>
    </row>
    <row r="853" spans="1:10" x14ac:dyDescent="0.35">
      <c r="A853" s="9" t="s">
        <v>1593</v>
      </c>
      <c r="B853" s="3">
        <v>1</v>
      </c>
      <c r="C853" s="4" t="str">
        <f t="shared" si="52"/>
        <v>Bad</v>
      </c>
      <c r="D853" s="3" t="s">
        <v>1737</v>
      </c>
      <c r="E853" s="3" t="s">
        <v>1738</v>
      </c>
      <c r="F853" s="5" t="s">
        <v>1736</v>
      </c>
      <c r="G853" s="4" t="str">
        <f t="shared" si="53"/>
        <v>12th</v>
      </c>
      <c r="H853" s="4" t="str">
        <f t="shared" si="54"/>
        <v>November</v>
      </c>
      <c r="I853" s="4" t="str">
        <f t="shared" si="55"/>
        <v>2022</v>
      </c>
      <c r="J853" s="10" t="s">
        <v>12</v>
      </c>
    </row>
    <row r="854" spans="1:10" x14ac:dyDescent="0.35">
      <c r="A854" s="9" t="s">
        <v>1593</v>
      </c>
      <c r="B854" s="3">
        <v>3</v>
      </c>
      <c r="C854" s="4" t="str">
        <f t="shared" si="52"/>
        <v>Bad</v>
      </c>
      <c r="D854" s="3" t="s">
        <v>1739</v>
      </c>
      <c r="E854" s="3" t="s">
        <v>1740</v>
      </c>
      <c r="F854" s="5" t="s">
        <v>1736</v>
      </c>
      <c r="G854" s="4" t="str">
        <f t="shared" si="53"/>
        <v>12th</v>
      </c>
      <c r="H854" s="4" t="str">
        <f t="shared" si="54"/>
        <v>November</v>
      </c>
      <c r="I854" s="4" t="str">
        <f t="shared" si="55"/>
        <v>2022</v>
      </c>
      <c r="J854" s="10" t="s">
        <v>12</v>
      </c>
    </row>
    <row r="855" spans="1:10" x14ac:dyDescent="0.35">
      <c r="A855" s="9" t="s">
        <v>1593</v>
      </c>
      <c r="B855" s="3">
        <v>1</v>
      </c>
      <c r="C855" s="4" t="str">
        <f t="shared" si="52"/>
        <v>Bad</v>
      </c>
      <c r="D855" s="3" t="s">
        <v>1741</v>
      </c>
      <c r="E855" s="3" t="s">
        <v>1742</v>
      </c>
      <c r="F855" s="5" t="s">
        <v>1736</v>
      </c>
      <c r="G855" s="4" t="str">
        <f t="shared" si="53"/>
        <v>12th</v>
      </c>
      <c r="H855" s="4" t="str">
        <f t="shared" si="54"/>
        <v>November</v>
      </c>
      <c r="I855" s="4" t="str">
        <f t="shared" si="55"/>
        <v>2022</v>
      </c>
      <c r="J855" s="10" t="s">
        <v>12</v>
      </c>
    </row>
    <row r="856" spans="1:10" x14ac:dyDescent="0.35">
      <c r="A856" s="9" t="s">
        <v>1593</v>
      </c>
      <c r="B856" s="3">
        <v>1</v>
      </c>
      <c r="C856" s="4" t="str">
        <f t="shared" si="52"/>
        <v>Bad</v>
      </c>
      <c r="D856" s="3" t="s">
        <v>1743</v>
      </c>
      <c r="E856" s="3" t="s">
        <v>1744</v>
      </c>
      <c r="F856" s="5" t="s">
        <v>1736</v>
      </c>
      <c r="G856" s="4" t="str">
        <f t="shared" si="53"/>
        <v>12th</v>
      </c>
      <c r="H856" s="4" t="str">
        <f t="shared" si="54"/>
        <v>November</v>
      </c>
      <c r="I856" s="4" t="str">
        <f t="shared" si="55"/>
        <v>2022</v>
      </c>
      <c r="J856" s="10" t="s">
        <v>12</v>
      </c>
    </row>
    <row r="857" spans="1:10" x14ac:dyDescent="0.35">
      <c r="A857" s="9" t="s">
        <v>1593</v>
      </c>
      <c r="B857" s="3">
        <v>1</v>
      </c>
      <c r="C857" s="4" t="str">
        <f t="shared" si="52"/>
        <v>Bad</v>
      </c>
      <c r="D857" s="3" t="s">
        <v>1745</v>
      </c>
      <c r="E857" s="3" t="s">
        <v>1746</v>
      </c>
      <c r="F857" s="5" t="s">
        <v>1736</v>
      </c>
      <c r="G857" s="4" t="str">
        <f t="shared" si="53"/>
        <v>12th</v>
      </c>
      <c r="H857" s="4" t="str">
        <f t="shared" si="54"/>
        <v>November</v>
      </c>
      <c r="I857" s="4" t="str">
        <f t="shared" si="55"/>
        <v>2022</v>
      </c>
      <c r="J857" s="10" t="s">
        <v>12</v>
      </c>
    </row>
    <row r="858" spans="1:10" x14ac:dyDescent="0.35">
      <c r="A858" s="9" t="s">
        <v>1593</v>
      </c>
      <c r="B858" s="3">
        <v>7</v>
      </c>
      <c r="C858" s="4" t="str">
        <f t="shared" si="52"/>
        <v>Neutral</v>
      </c>
      <c r="D858" s="3" t="s">
        <v>1747</v>
      </c>
      <c r="E858" s="3" t="s">
        <v>35</v>
      </c>
      <c r="F858" s="5" t="s">
        <v>1736</v>
      </c>
      <c r="G858" s="4" t="str">
        <f t="shared" si="53"/>
        <v>12th</v>
      </c>
      <c r="H858" s="4" t="str">
        <f t="shared" si="54"/>
        <v>November</v>
      </c>
      <c r="I858" s="4" t="str">
        <f t="shared" si="55"/>
        <v>2022</v>
      </c>
      <c r="J858" s="10" t="s">
        <v>9</v>
      </c>
    </row>
    <row r="859" spans="1:10" x14ac:dyDescent="0.35">
      <c r="A859" s="9" t="s">
        <v>1593</v>
      </c>
      <c r="B859" s="3">
        <v>7</v>
      </c>
      <c r="C859" s="4" t="str">
        <f t="shared" si="52"/>
        <v>Neutral</v>
      </c>
      <c r="D859" s="3" t="s">
        <v>1748</v>
      </c>
      <c r="E859" s="3" t="s">
        <v>35</v>
      </c>
      <c r="F859" s="5" t="s">
        <v>1736</v>
      </c>
      <c r="G859" s="4" t="str">
        <f t="shared" si="53"/>
        <v>12th</v>
      </c>
      <c r="H859" s="4" t="str">
        <f t="shared" si="54"/>
        <v>November</v>
      </c>
      <c r="I859" s="4" t="str">
        <f t="shared" si="55"/>
        <v>2022</v>
      </c>
      <c r="J859" s="10" t="s">
        <v>9</v>
      </c>
    </row>
    <row r="860" spans="1:10" x14ac:dyDescent="0.35">
      <c r="A860" s="9" t="s">
        <v>1593</v>
      </c>
      <c r="B860" s="3">
        <v>1</v>
      </c>
      <c r="C860" s="4" t="str">
        <f t="shared" si="52"/>
        <v>Bad</v>
      </c>
      <c r="D860" s="3" t="s">
        <v>1749</v>
      </c>
      <c r="E860" s="3" t="s">
        <v>1750</v>
      </c>
      <c r="F860" s="5" t="s">
        <v>1736</v>
      </c>
      <c r="G860" s="4" t="str">
        <f t="shared" si="53"/>
        <v>12th</v>
      </c>
      <c r="H860" s="4" t="str">
        <f t="shared" si="54"/>
        <v>November</v>
      </c>
      <c r="I860" s="4" t="str">
        <f t="shared" si="55"/>
        <v>2022</v>
      </c>
      <c r="J860" s="10" t="s">
        <v>12</v>
      </c>
    </row>
    <row r="861" spans="1:10" x14ac:dyDescent="0.35">
      <c r="A861" s="9" t="s">
        <v>1593</v>
      </c>
      <c r="B861" s="3">
        <v>1</v>
      </c>
      <c r="C861" s="4" t="str">
        <f t="shared" si="52"/>
        <v>Bad</v>
      </c>
      <c r="D861" s="3" t="s">
        <v>1751</v>
      </c>
      <c r="E861" s="3" t="s">
        <v>1752</v>
      </c>
      <c r="F861" s="5" t="s">
        <v>1736</v>
      </c>
      <c r="G861" s="4" t="str">
        <f t="shared" si="53"/>
        <v>12th</v>
      </c>
      <c r="H861" s="4" t="str">
        <f t="shared" si="54"/>
        <v>November</v>
      </c>
      <c r="I861" s="4" t="str">
        <f t="shared" si="55"/>
        <v>2022</v>
      </c>
      <c r="J861" s="10" t="s">
        <v>12</v>
      </c>
    </row>
    <row r="862" spans="1:10" x14ac:dyDescent="0.35">
      <c r="A862" s="9" t="s">
        <v>1593</v>
      </c>
      <c r="B862" s="3">
        <v>7</v>
      </c>
      <c r="C862" s="4" t="str">
        <f t="shared" si="52"/>
        <v>Neutral</v>
      </c>
      <c r="D862" s="3" t="s">
        <v>1753</v>
      </c>
      <c r="E862" s="3" t="s">
        <v>35</v>
      </c>
      <c r="F862" s="5" t="s">
        <v>1754</v>
      </c>
      <c r="G862" s="4" t="str">
        <f t="shared" si="53"/>
        <v>19th</v>
      </c>
      <c r="H862" s="4" t="str">
        <f t="shared" si="54"/>
        <v>October</v>
      </c>
      <c r="I862" s="4" t="str">
        <f t="shared" si="55"/>
        <v>2022</v>
      </c>
      <c r="J862" s="10" t="s">
        <v>9</v>
      </c>
    </row>
    <row r="863" spans="1:10" x14ac:dyDescent="0.35">
      <c r="A863" s="9" t="s">
        <v>1593</v>
      </c>
      <c r="B863" s="3">
        <v>1</v>
      </c>
      <c r="C863" s="4" t="str">
        <f t="shared" si="52"/>
        <v>Bad</v>
      </c>
      <c r="D863" s="3" t="s">
        <v>1755</v>
      </c>
      <c r="E863" s="3" t="s">
        <v>1756</v>
      </c>
      <c r="F863" s="5" t="s">
        <v>1754</v>
      </c>
      <c r="G863" s="4" t="str">
        <f t="shared" si="53"/>
        <v>19th</v>
      </c>
      <c r="H863" s="4" t="str">
        <f t="shared" si="54"/>
        <v>October</v>
      </c>
      <c r="I863" s="4" t="str">
        <f t="shared" si="55"/>
        <v>2022</v>
      </c>
      <c r="J863" s="10" t="s">
        <v>12</v>
      </c>
    </row>
    <row r="864" spans="1:10" x14ac:dyDescent="0.35">
      <c r="A864" s="9" t="s">
        <v>1593</v>
      </c>
      <c r="B864" s="3">
        <v>2</v>
      </c>
      <c r="C864" s="4" t="str">
        <f t="shared" si="52"/>
        <v>Bad</v>
      </c>
      <c r="D864" s="3" t="s">
        <v>1757</v>
      </c>
      <c r="E864" s="3" t="s">
        <v>1758</v>
      </c>
      <c r="F864" s="5" t="s">
        <v>1754</v>
      </c>
      <c r="G864" s="4" t="str">
        <f t="shared" si="53"/>
        <v>19th</v>
      </c>
      <c r="H864" s="4" t="str">
        <f t="shared" si="54"/>
        <v>October</v>
      </c>
      <c r="I864" s="4" t="str">
        <f t="shared" si="55"/>
        <v>2022</v>
      </c>
      <c r="J864" s="10" t="s">
        <v>12</v>
      </c>
    </row>
    <row r="865" spans="1:10" x14ac:dyDescent="0.35">
      <c r="A865" s="9" t="s">
        <v>1593</v>
      </c>
      <c r="B865" s="3">
        <v>1</v>
      </c>
      <c r="C865" s="4" t="str">
        <f t="shared" si="52"/>
        <v>Bad</v>
      </c>
      <c r="D865" s="3" t="s">
        <v>1759</v>
      </c>
      <c r="E865" s="3" t="s">
        <v>1760</v>
      </c>
      <c r="F865" s="5" t="s">
        <v>1754</v>
      </c>
      <c r="G865" s="4" t="str">
        <f t="shared" si="53"/>
        <v>19th</v>
      </c>
      <c r="H865" s="4" t="str">
        <f t="shared" si="54"/>
        <v>October</v>
      </c>
      <c r="I865" s="4" t="str">
        <f t="shared" si="55"/>
        <v>2022</v>
      </c>
      <c r="J865" s="10" t="s">
        <v>12</v>
      </c>
    </row>
    <row r="866" spans="1:10" x14ac:dyDescent="0.35">
      <c r="A866" s="9" t="s">
        <v>1593</v>
      </c>
      <c r="B866" s="3">
        <v>1</v>
      </c>
      <c r="C866" s="4" t="str">
        <f t="shared" si="52"/>
        <v>Bad</v>
      </c>
      <c r="D866" s="3" t="s">
        <v>1761</v>
      </c>
      <c r="E866" s="3" t="s">
        <v>1762</v>
      </c>
      <c r="F866" s="5" t="s">
        <v>1754</v>
      </c>
      <c r="G866" s="4" t="str">
        <f t="shared" si="53"/>
        <v>19th</v>
      </c>
      <c r="H866" s="4" t="str">
        <f t="shared" si="54"/>
        <v>October</v>
      </c>
      <c r="I866" s="4" t="str">
        <f t="shared" si="55"/>
        <v>2022</v>
      </c>
      <c r="J866" s="10" t="s">
        <v>12</v>
      </c>
    </row>
    <row r="867" spans="1:10" x14ac:dyDescent="0.35">
      <c r="A867" s="9" t="s">
        <v>1593</v>
      </c>
      <c r="B867" s="3">
        <v>1</v>
      </c>
      <c r="C867" s="4" t="str">
        <f t="shared" si="52"/>
        <v>Bad</v>
      </c>
      <c r="D867" s="3" t="s">
        <v>1172</v>
      </c>
      <c r="E867" s="3" t="s">
        <v>1763</v>
      </c>
      <c r="F867" s="5" t="s">
        <v>1754</v>
      </c>
      <c r="G867" s="4" t="str">
        <f t="shared" si="53"/>
        <v>19th</v>
      </c>
      <c r="H867" s="4" t="str">
        <f t="shared" si="54"/>
        <v>October</v>
      </c>
      <c r="I867" s="4" t="str">
        <f t="shared" si="55"/>
        <v>2022</v>
      </c>
      <c r="J867" s="10" t="s">
        <v>12</v>
      </c>
    </row>
    <row r="868" spans="1:10" x14ac:dyDescent="0.35">
      <c r="A868" s="9" t="s">
        <v>1593</v>
      </c>
      <c r="B868" s="3">
        <v>1</v>
      </c>
      <c r="C868" s="4" t="str">
        <f t="shared" si="52"/>
        <v>Bad</v>
      </c>
      <c r="D868" s="3" t="s">
        <v>1764</v>
      </c>
      <c r="E868" s="3" t="s">
        <v>1765</v>
      </c>
      <c r="F868" s="5" t="s">
        <v>1754</v>
      </c>
      <c r="G868" s="4" t="str">
        <f t="shared" si="53"/>
        <v>19th</v>
      </c>
      <c r="H868" s="4" t="str">
        <f t="shared" si="54"/>
        <v>October</v>
      </c>
      <c r="I868" s="4" t="str">
        <f t="shared" si="55"/>
        <v>2022</v>
      </c>
      <c r="J868" s="10" t="s">
        <v>12</v>
      </c>
    </row>
    <row r="869" spans="1:10" x14ac:dyDescent="0.35">
      <c r="A869" s="9" t="s">
        <v>1593</v>
      </c>
      <c r="B869" s="3">
        <v>1</v>
      </c>
      <c r="C869" s="4" t="str">
        <f t="shared" si="52"/>
        <v>Bad</v>
      </c>
      <c r="D869" s="3" t="s">
        <v>1766</v>
      </c>
      <c r="E869" s="3" t="s">
        <v>1767</v>
      </c>
      <c r="F869" s="5" t="s">
        <v>1754</v>
      </c>
      <c r="G869" s="4" t="str">
        <f t="shared" si="53"/>
        <v>19th</v>
      </c>
      <c r="H869" s="4" t="str">
        <f t="shared" si="54"/>
        <v>October</v>
      </c>
      <c r="I869" s="4" t="str">
        <f t="shared" si="55"/>
        <v>2022</v>
      </c>
      <c r="J869" s="10" t="s">
        <v>12</v>
      </c>
    </row>
    <row r="870" spans="1:10" x14ac:dyDescent="0.35">
      <c r="A870" s="9" t="s">
        <v>1593</v>
      </c>
      <c r="B870" s="3">
        <v>7</v>
      </c>
      <c r="C870" s="4" t="str">
        <f t="shared" si="52"/>
        <v>Neutral</v>
      </c>
      <c r="D870" s="3" t="s">
        <v>1768</v>
      </c>
      <c r="E870" s="3" t="s">
        <v>35</v>
      </c>
      <c r="F870" s="5" t="s">
        <v>1754</v>
      </c>
      <c r="G870" s="4" t="str">
        <f t="shared" si="53"/>
        <v>19th</v>
      </c>
      <c r="H870" s="4" t="str">
        <f t="shared" si="54"/>
        <v>October</v>
      </c>
      <c r="I870" s="4" t="str">
        <f t="shared" si="55"/>
        <v>2022</v>
      </c>
      <c r="J870" s="10" t="s">
        <v>9</v>
      </c>
    </row>
    <row r="871" spans="1:10" x14ac:dyDescent="0.35">
      <c r="A871" s="9" t="s">
        <v>1593</v>
      </c>
      <c r="B871" s="3">
        <v>4</v>
      </c>
      <c r="C871" s="4" t="str">
        <f t="shared" si="52"/>
        <v>Bad</v>
      </c>
      <c r="D871" s="3" t="s">
        <v>1769</v>
      </c>
      <c r="E871" s="3" t="s">
        <v>1770</v>
      </c>
      <c r="F871" s="5" t="s">
        <v>1754</v>
      </c>
      <c r="G871" s="4" t="str">
        <f t="shared" si="53"/>
        <v>19th</v>
      </c>
      <c r="H871" s="4" t="str">
        <f t="shared" si="54"/>
        <v>October</v>
      </c>
      <c r="I871" s="4" t="str">
        <f t="shared" si="55"/>
        <v>2022</v>
      </c>
      <c r="J871" s="10" t="s">
        <v>12</v>
      </c>
    </row>
    <row r="872" spans="1:10" x14ac:dyDescent="0.35">
      <c r="A872" s="9" t="s">
        <v>1593</v>
      </c>
      <c r="B872" s="3">
        <v>1</v>
      </c>
      <c r="C872" s="4" t="str">
        <f t="shared" si="52"/>
        <v>Bad</v>
      </c>
      <c r="D872" s="3" t="s">
        <v>1771</v>
      </c>
      <c r="E872" s="3" t="s">
        <v>1772</v>
      </c>
      <c r="F872" s="5" t="s">
        <v>1100</v>
      </c>
      <c r="G872" s="4" t="str">
        <f t="shared" si="53"/>
        <v>15th</v>
      </c>
      <c r="H872" s="4" t="str">
        <f t="shared" si="54"/>
        <v>September</v>
      </c>
      <c r="I872" s="4" t="str">
        <f t="shared" si="55"/>
        <v>2022</v>
      </c>
      <c r="J872" s="10" t="s">
        <v>12</v>
      </c>
    </row>
    <row r="873" spans="1:10" x14ac:dyDescent="0.35">
      <c r="A873" s="9" t="s">
        <v>1593</v>
      </c>
      <c r="B873" s="3">
        <v>1</v>
      </c>
      <c r="C873" s="4" t="str">
        <f t="shared" si="52"/>
        <v>Bad</v>
      </c>
      <c r="D873" s="3" t="s">
        <v>1773</v>
      </c>
      <c r="E873" s="3" t="s">
        <v>1774</v>
      </c>
      <c r="F873" s="5" t="s">
        <v>1100</v>
      </c>
      <c r="G873" s="4" t="str">
        <f t="shared" si="53"/>
        <v>15th</v>
      </c>
      <c r="H873" s="4" t="str">
        <f t="shared" si="54"/>
        <v>September</v>
      </c>
      <c r="I873" s="4" t="str">
        <f t="shared" si="55"/>
        <v>2022</v>
      </c>
      <c r="J873" s="10" t="s">
        <v>12</v>
      </c>
    </row>
    <row r="874" spans="1:10" x14ac:dyDescent="0.35">
      <c r="A874" s="9" t="s">
        <v>1593</v>
      </c>
      <c r="B874" s="3">
        <v>1</v>
      </c>
      <c r="C874" s="4" t="str">
        <f t="shared" si="52"/>
        <v>Bad</v>
      </c>
      <c r="D874" s="3" t="s">
        <v>1775</v>
      </c>
      <c r="E874" s="3" t="s">
        <v>1776</v>
      </c>
      <c r="F874" s="5" t="s">
        <v>1100</v>
      </c>
      <c r="G874" s="4" t="str">
        <f t="shared" si="53"/>
        <v>15th</v>
      </c>
      <c r="H874" s="4" t="str">
        <f t="shared" si="54"/>
        <v>September</v>
      </c>
      <c r="I874" s="4" t="str">
        <f t="shared" si="55"/>
        <v>2022</v>
      </c>
      <c r="J874" s="10" t="s">
        <v>12</v>
      </c>
    </row>
    <row r="875" spans="1:10" x14ac:dyDescent="0.35">
      <c r="A875" s="9" t="s">
        <v>1593</v>
      </c>
      <c r="B875" s="3">
        <v>1</v>
      </c>
      <c r="C875" s="4" t="str">
        <f t="shared" si="52"/>
        <v>Bad</v>
      </c>
      <c r="D875" s="3" t="s">
        <v>1777</v>
      </c>
      <c r="E875" s="3" t="s">
        <v>1778</v>
      </c>
      <c r="F875" s="5" t="s">
        <v>1100</v>
      </c>
      <c r="G875" s="4" t="str">
        <f t="shared" si="53"/>
        <v>15th</v>
      </c>
      <c r="H875" s="4" t="str">
        <f t="shared" si="54"/>
        <v>September</v>
      </c>
      <c r="I875" s="4" t="str">
        <f t="shared" si="55"/>
        <v>2022</v>
      </c>
      <c r="J875" s="10" t="s">
        <v>12</v>
      </c>
    </row>
    <row r="876" spans="1:10" x14ac:dyDescent="0.35">
      <c r="A876" s="9" t="s">
        <v>1593</v>
      </c>
      <c r="B876" s="3">
        <v>1</v>
      </c>
      <c r="C876" s="4" t="str">
        <f t="shared" si="52"/>
        <v>Bad</v>
      </c>
      <c r="D876" s="3" t="s">
        <v>1779</v>
      </c>
      <c r="E876" s="3" t="s">
        <v>1780</v>
      </c>
      <c r="F876" s="5" t="s">
        <v>1100</v>
      </c>
      <c r="G876" s="4" t="str">
        <f t="shared" si="53"/>
        <v>15th</v>
      </c>
      <c r="H876" s="4" t="str">
        <f t="shared" si="54"/>
        <v>September</v>
      </c>
      <c r="I876" s="4" t="str">
        <f t="shared" si="55"/>
        <v>2022</v>
      </c>
      <c r="J876" s="10" t="s">
        <v>12</v>
      </c>
    </row>
    <row r="877" spans="1:10" x14ac:dyDescent="0.35">
      <c r="A877" s="9" t="s">
        <v>1593</v>
      </c>
      <c r="B877" s="3">
        <v>1</v>
      </c>
      <c r="C877" s="4" t="str">
        <f t="shared" si="52"/>
        <v>Bad</v>
      </c>
      <c r="D877" s="3" t="s">
        <v>1781</v>
      </c>
      <c r="E877" s="3" t="s">
        <v>1782</v>
      </c>
      <c r="F877" s="5" t="s">
        <v>1100</v>
      </c>
      <c r="G877" s="4" t="str">
        <f t="shared" si="53"/>
        <v>15th</v>
      </c>
      <c r="H877" s="4" t="str">
        <f t="shared" si="54"/>
        <v>September</v>
      </c>
      <c r="I877" s="4" t="str">
        <f t="shared" si="55"/>
        <v>2022</v>
      </c>
      <c r="J877" s="10" t="s">
        <v>12</v>
      </c>
    </row>
    <row r="878" spans="1:10" x14ac:dyDescent="0.35">
      <c r="A878" s="9" t="s">
        <v>1593</v>
      </c>
      <c r="B878" s="3">
        <v>1</v>
      </c>
      <c r="C878" s="4" t="str">
        <f t="shared" si="52"/>
        <v>Bad</v>
      </c>
      <c r="D878" s="3" t="s">
        <v>914</v>
      </c>
      <c r="E878" s="3" t="s">
        <v>1783</v>
      </c>
      <c r="F878" s="5" t="s">
        <v>1100</v>
      </c>
      <c r="G878" s="4" t="str">
        <f t="shared" si="53"/>
        <v>15th</v>
      </c>
      <c r="H878" s="4" t="str">
        <f t="shared" si="54"/>
        <v>September</v>
      </c>
      <c r="I878" s="4" t="str">
        <f t="shared" si="55"/>
        <v>2022</v>
      </c>
      <c r="J878" s="10" t="s">
        <v>12</v>
      </c>
    </row>
    <row r="879" spans="1:10" x14ac:dyDescent="0.35">
      <c r="A879" s="9" t="s">
        <v>1593</v>
      </c>
      <c r="B879" s="3">
        <v>9</v>
      </c>
      <c r="C879" s="4" t="str">
        <f t="shared" si="52"/>
        <v>Good</v>
      </c>
      <c r="D879" s="3" t="s">
        <v>1784</v>
      </c>
      <c r="E879" s="3" t="s">
        <v>35</v>
      </c>
      <c r="F879" s="5" t="s">
        <v>1100</v>
      </c>
      <c r="G879" s="4" t="str">
        <f t="shared" si="53"/>
        <v>15th</v>
      </c>
      <c r="H879" s="4" t="str">
        <f t="shared" si="54"/>
        <v>September</v>
      </c>
      <c r="I879" s="4" t="str">
        <f t="shared" si="55"/>
        <v>2022</v>
      </c>
      <c r="J879" s="10" t="s">
        <v>9</v>
      </c>
    </row>
    <row r="880" spans="1:10" x14ac:dyDescent="0.35">
      <c r="A880" s="9" t="s">
        <v>1593</v>
      </c>
      <c r="B880" s="3">
        <v>1</v>
      </c>
      <c r="C880" s="4" t="str">
        <f t="shared" si="52"/>
        <v>Bad</v>
      </c>
      <c r="D880" s="3" t="s">
        <v>914</v>
      </c>
      <c r="E880" s="3" t="s">
        <v>1785</v>
      </c>
      <c r="F880" s="5" t="s">
        <v>1100</v>
      </c>
      <c r="G880" s="4" t="str">
        <f t="shared" si="53"/>
        <v>15th</v>
      </c>
      <c r="H880" s="4" t="str">
        <f t="shared" si="54"/>
        <v>September</v>
      </c>
      <c r="I880" s="4" t="str">
        <f t="shared" si="55"/>
        <v>2022</v>
      </c>
      <c r="J880" s="10" t="s">
        <v>12</v>
      </c>
    </row>
    <row r="881" spans="1:10" x14ac:dyDescent="0.35">
      <c r="A881" s="9" t="s">
        <v>1593</v>
      </c>
      <c r="B881" s="3">
        <v>2</v>
      </c>
      <c r="C881" s="4" t="str">
        <f t="shared" si="52"/>
        <v>Bad</v>
      </c>
      <c r="D881" s="3" t="s">
        <v>1786</v>
      </c>
      <c r="E881" s="3" t="s">
        <v>1787</v>
      </c>
      <c r="F881" s="5" t="s">
        <v>1100</v>
      </c>
      <c r="G881" s="4" t="str">
        <f t="shared" si="53"/>
        <v>15th</v>
      </c>
      <c r="H881" s="4" t="str">
        <f t="shared" si="54"/>
        <v>September</v>
      </c>
      <c r="I881" s="4" t="str">
        <f t="shared" si="55"/>
        <v>2022</v>
      </c>
      <c r="J881" s="10" t="s">
        <v>12</v>
      </c>
    </row>
    <row r="882" spans="1:10" x14ac:dyDescent="0.35">
      <c r="A882" s="9" t="s">
        <v>1593</v>
      </c>
      <c r="B882" s="3">
        <v>1</v>
      </c>
      <c r="C882" s="4" t="str">
        <f t="shared" si="52"/>
        <v>Bad</v>
      </c>
      <c r="D882" s="3" t="s">
        <v>708</v>
      </c>
      <c r="E882" s="3" t="s">
        <v>1788</v>
      </c>
      <c r="F882" s="5" t="s">
        <v>1789</v>
      </c>
      <c r="G882" s="4" t="str">
        <f t="shared" si="53"/>
        <v>15th</v>
      </c>
      <c r="H882" s="4" t="str">
        <f t="shared" si="54"/>
        <v>August</v>
      </c>
      <c r="I882" s="4" t="str">
        <f t="shared" si="55"/>
        <v>2022</v>
      </c>
      <c r="J882" s="10" t="s">
        <v>12</v>
      </c>
    </row>
    <row r="883" spans="1:10" x14ac:dyDescent="0.35">
      <c r="A883" s="9" t="s">
        <v>1593</v>
      </c>
      <c r="B883" s="3">
        <v>1</v>
      </c>
      <c r="C883" s="4" t="str">
        <f t="shared" si="52"/>
        <v>Bad</v>
      </c>
      <c r="D883" s="3" t="s">
        <v>1790</v>
      </c>
      <c r="E883" s="3" t="s">
        <v>1791</v>
      </c>
      <c r="F883" s="5" t="s">
        <v>1789</v>
      </c>
      <c r="G883" s="4" t="str">
        <f t="shared" si="53"/>
        <v>15th</v>
      </c>
      <c r="H883" s="4" t="str">
        <f t="shared" si="54"/>
        <v>August</v>
      </c>
      <c r="I883" s="4" t="str">
        <f t="shared" si="55"/>
        <v>2022</v>
      </c>
      <c r="J883" s="10" t="s">
        <v>12</v>
      </c>
    </row>
    <row r="884" spans="1:10" x14ac:dyDescent="0.35">
      <c r="A884" s="9" t="s">
        <v>1593</v>
      </c>
      <c r="B884" s="3">
        <v>1</v>
      </c>
      <c r="C884" s="4" t="str">
        <f t="shared" si="52"/>
        <v>Bad</v>
      </c>
      <c r="D884" s="3" t="s">
        <v>1792</v>
      </c>
      <c r="E884" s="3" t="s">
        <v>1793</v>
      </c>
      <c r="F884" s="5" t="s">
        <v>1789</v>
      </c>
      <c r="G884" s="4" t="str">
        <f t="shared" si="53"/>
        <v>15th</v>
      </c>
      <c r="H884" s="4" t="str">
        <f t="shared" si="54"/>
        <v>August</v>
      </c>
      <c r="I884" s="4" t="str">
        <f t="shared" si="55"/>
        <v>2022</v>
      </c>
      <c r="J884" s="10" t="s">
        <v>12</v>
      </c>
    </row>
    <row r="885" spans="1:10" x14ac:dyDescent="0.35">
      <c r="A885" s="9" t="s">
        <v>1593</v>
      </c>
      <c r="B885" s="3">
        <v>4</v>
      </c>
      <c r="C885" s="4" t="str">
        <f t="shared" si="52"/>
        <v>Bad</v>
      </c>
      <c r="D885" s="3" t="s">
        <v>1794</v>
      </c>
      <c r="E885" s="3" t="s">
        <v>35</v>
      </c>
      <c r="F885" s="5" t="s">
        <v>1789</v>
      </c>
      <c r="G885" s="4" t="str">
        <f t="shared" si="53"/>
        <v>15th</v>
      </c>
      <c r="H885" s="4" t="str">
        <f t="shared" si="54"/>
        <v>August</v>
      </c>
      <c r="I885" s="4" t="str">
        <f t="shared" si="55"/>
        <v>2022</v>
      </c>
      <c r="J885" s="10" t="s">
        <v>12</v>
      </c>
    </row>
    <row r="886" spans="1:10" x14ac:dyDescent="0.35">
      <c r="A886" s="9" t="s">
        <v>1593</v>
      </c>
      <c r="B886" s="3">
        <v>1</v>
      </c>
      <c r="C886" s="4" t="str">
        <f t="shared" si="52"/>
        <v>Bad</v>
      </c>
      <c r="D886" s="3" t="s">
        <v>1795</v>
      </c>
      <c r="E886" s="3" t="s">
        <v>1796</v>
      </c>
      <c r="F886" s="5" t="s">
        <v>1789</v>
      </c>
      <c r="G886" s="4" t="str">
        <f t="shared" si="53"/>
        <v>15th</v>
      </c>
      <c r="H886" s="4" t="str">
        <f t="shared" si="54"/>
        <v>August</v>
      </c>
      <c r="I886" s="4" t="str">
        <f t="shared" si="55"/>
        <v>2022</v>
      </c>
      <c r="J886" s="10" t="s">
        <v>12</v>
      </c>
    </row>
    <row r="887" spans="1:10" x14ac:dyDescent="0.35">
      <c r="A887" s="9" t="s">
        <v>1593</v>
      </c>
      <c r="B887" s="3">
        <v>1</v>
      </c>
      <c r="C887" s="4" t="str">
        <f t="shared" si="52"/>
        <v>Bad</v>
      </c>
      <c r="D887" s="3" t="s">
        <v>1797</v>
      </c>
      <c r="E887" s="3" t="s">
        <v>1798</v>
      </c>
      <c r="F887" s="5" t="s">
        <v>1789</v>
      </c>
      <c r="G887" s="4" t="str">
        <f t="shared" si="53"/>
        <v>15th</v>
      </c>
      <c r="H887" s="4" t="str">
        <f t="shared" si="54"/>
        <v>August</v>
      </c>
      <c r="I887" s="4" t="str">
        <f t="shared" si="55"/>
        <v>2022</v>
      </c>
      <c r="J887" s="10" t="s">
        <v>12</v>
      </c>
    </row>
    <row r="888" spans="1:10" x14ac:dyDescent="0.35">
      <c r="A888" s="9" t="s">
        <v>1593</v>
      </c>
      <c r="B888" s="3">
        <v>7</v>
      </c>
      <c r="C888" s="4" t="str">
        <f t="shared" si="52"/>
        <v>Neutral</v>
      </c>
      <c r="D888" s="3" t="s">
        <v>1799</v>
      </c>
      <c r="E888" s="3" t="s">
        <v>35</v>
      </c>
      <c r="F888" s="5" t="s">
        <v>1789</v>
      </c>
      <c r="G888" s="4" t="str">
        <f t="shared" si="53"/>
        <v>15th</v>
      </c>
      <c r="H888" s="4" t="str">
        <f t="shared" si="54"/>
        <v>August</v>
      </c>
      <c r="I888" s="4" t="str">
        <f t="shared" si="55"/>
        <v>2022</v>
      </c>
      <c r="J888" s="10" t="s">
        <v>9</v>
      </c>
    </row>
    <row r="889" spans="1:10" x14ac:dyDescent="0.35">
      <c r="A889" s="9" t="s">
        <v>1593</v>
      </c>
      <c r="B889" s="3">
        <v>1</v>
      </c>
      <c r="C889" s="4" t="str">
        <f t="shared" si="52"/>
        <v>Bad</v>
      </c>
      <c r="D889" s="3" t="s">
        <v>1800</v>
      </c>
      <c r="E889" s="3" t="s">
        <v>1801</v>
      </c>
      <c r="F889" s="5" t="s">
        <v>1789</v>
      </c>
      <c r="G889" s="4" t="str">
        <f t="shared" si="53"/>
        <v>15th</v>
      </c>
      <c r="H889" s="4" t="str">
        <f t="shared" si="54"/>
        <v>August</v>
      </c>
      <c r="I889" s="4" t="str">
        <f t="shared" si="55"/>
        <v>2022</v>
      </c>
      <c r="J889" s="10" t="s">
        <v>12</v>
      </c>
    </row>
    <row r="890" spans="1:10" x14ac:dyDescent="0.35">
      <c r="A890" s="9" t="s">
        <v>1593</v>
      </c>
      <c r="B890" s="3">
        <v>1</v>
      </c>
      <c r="C890" s="4" t="str">
        <f t="shared" si="52"/>
        <v>Bad</v>
      </c>
      <c r="D890" s="3" t="s">
        <v>1802</v>
      </c>
      <c r="E890" s="3" t="s">
        <v>1803</v>
      </c>
      <c r="F890" s="5" t="s">
        <v>1789</v>
      </c>
      <c r="G890" s="4" t="str">
        <f t="shared" si="53"/>
        <v>15th</v>
      </c>
      <c r="H890" s="4" t="str">
        <f t="shared" si="54"/>
        <v>August</v>
      </c>
      <c r="I890" s="4" t="str">
        <f t="shared" si="55"/>
        <v>2022</v>
      </c>
      <c r="J890" s="10" t="s">
        <v>12</v>
      </c>
    </row>
    <row r="891" spans="1:10" x14ac:dyDescent="0.35">
      <c r="A891" s="9" t="s">
        <v>1593</v>
      </c>
      <c r="B891" s="3">
        <v>1</v>
      </c>
      <c r="C891" s="4" t="str">
        <f t="shared" si="52"/>
        <v>Bad</v>
      </c>
      <c r="D891" s="3" t="s">
        <v>1804</v>
      </c>
      <c r="E891" s="3" t="s">
        <v>1805</v>
      </c>
      <c r="F891" s="5" t="s">
        <v>1789</v>
      </c>
      <c r="G891" s="4" t="str">
        <f t="shared" si="53"/>
        <v>15th</v>
      </c>
      <c r="H891" s="4" t="str">
        <f t="shared" si="54"/>
        <v>August</v>
      </c>
      <c r="I891" s="4" t="str">
        <f t="shared" si="55"/>
        <v>2022</v>
      </c>
      <c r="J891" s="10" t="s">
        <v>12</v>
      </c>
    </row>
    <row r="892" spans="1:10" x14ac:dyDescent="0.35">
      <c r="A892" s="9" t="s">
        <v>1593</v>
      </c>
      <c r="B892" s="3">
        <v>1</v>
      </c>
      <c r="C892" s="4" t="str">
        <f t="shared" si="52"/>
        <v>Bad</v>
      </c>
      <c r="D892" s="3" t="s">
        <v>1806</v>
      </c>
      <c r="E892" s="3" t="s">
        <v>1807</v>
      </c>
      <c r="F892" s="5" t="s">
        <v>1200</v>
      </c>
      <c r="G892" s="4" t="str">
        <f t="shared" si="53"/>
        <v>30th</v>
      </c>
      <c r="H892" s="4" t="str">
        <f t="shared" si="54"/>
        <v>April</v>
      </c>
      <c r="I892" s="4" t="str">
        <f t="shared" si="55"/>
        <v>2022</v>
      </c>
      <c r="J892" s="10" t="s">
        <v>12</v>
      </c>
    </row>
    <row r="893" spans="1:10" x14ac:dyDescent="0.35">
      <c r="A893" s="9" t="s">
        <v>1593</v>
      </c>
      <c r="B893" s="3">
        <v>1</v>
      </c>
      <c r="C893" s="4" t="str">
        <f t="shared" si="52"/>
        <v>Bad</v>
      </c>
      <c r="D893" s="3" t="s">
        <v>1808</v>
      </c>
      <c r="E893" s="3" t="s">
        <v>1809</v>
      </c>
      <c r="F893" s="5" t="s">
        <v>1200</v>
      </c>
      <c r="G893" s="4" t="str">
        <f t="shared" si="53"/>
        <v>30th</v>
      </c>
      <c r="H893" s="4" t="str">
        <f t="shared" si="54"/>
        <v>April</v>
      </c>
      <c r="I893" s="4" t="str">
        <f t="shared" si="55"/>
        <v>2022</v>
      </c>
      <c r="J893" s="10" t="s">
        <v>12</v>
      </c>
    </row>
    <row r="894" spans="1:10" x14ac:dyDescent="0.35">
      <c r="A894" s="9" t="s">
        <v>1593</v>
      </c>
      <c r="B894" s="3">
        <v>1</v>
      </c>
      <c r="C894" s="4" t="str">
        <f t="shared" si="52"/>
        <v>Bad</v>
      </c>
      <c r="D894" s="3" t="s">
        <v>1810</v>
      </c>
      <c r="E894" s="3" t="s">
        <v>1811</v>
      </c>
      <c r="F894" s="5" t="s">
        <v>1200</v>
      </c>
      <c r="G894" s="4" t="str">
        <f t="shared" si="53"/>
        <v>30th</v>
      </c>
      <c r="H894" s="4" t="str">
        <f t="shared" si="54"/>
        <v>April</v>
      </c>
      <c r="I894" s="4" t="str">
        <f t="shared" si="55"/>
        <v>2022</v>
      </c>
      <c r="J894" s="10" t="s">
        <v>12</v>
      </c>
    </row>
    <row r="895" spans="1:10" x14ac:dyDescent="0.35">
      <c r="A895" s="9" t="s">
        <v>1593</v>
      </c>
      <c r="B895" s="3">
        <v>1</v>
      </c>
      <c r="C895" s="4" t="str">
        <f t="shared" si="52"/>
        <v>Bad</v>
      </c>
      <c r="D895" s="3" t="s">
        <v>1812</v>
      </c>
      <c r="E895" s="3" t="s">
        <v>1813</v>
      </c>
      <c r="F895" s="5" t="s">
        <v>1200</v>
      </c>
      <c r="G895" s="4" t="str">
        <f t="shared" si="53"/>
        <v>30th</v>
      </c>
      <c r="H895" s="4" t="str">
        <f t="shared" si="54"/>
        <v>April</v>
      </c>
      <c r="I895" s="4" t="str">
        <f t="shared" si="55"/>
        <v>2022</v>
      </c>
      <c r="J895" s="10" t="s">
        <v>12</v>
      </c>
    </row>
    <row r="896" spans="1:10" x14ac:dyDescent="0.35">
      <c r="A896" s="9" t="s">
        <v>1593</v>
      </c>
      <c r="B896" s="3">
        <v>1</v>
      </c>
      <c r="C896" s="4" t="str">
        <f t="shared" si="52"/>
        <v>Bad</v>
      </c>
      <c r="D896" s="3" t="s">
        <v>1215</v>
      </c>
      <c r="E896" s="3" t="s">
        <v>1814</v>
      </c>
      <c r="F896" s="5" t="s">
        <v>1200</v>
      </c>
      <c r="G896" s="4" t="str">
        <f t="shared" si="53"/>
        <v>30th</v>
      </c>
      <c r="H896" s="4" t="str">
        <f t="shared" si="54"/>
        <v>April</v>
      </c>
      <c r="I896" s="4" t="str">
        <f t="shared" si="55"/>
        <v>2022</v>
      </c>
      <c r="J896" s="10" t="s">
        <v>12</v>
      </c>
    </row>
    <row r="897" spans="1:10" x14ac:dyDescent="0.35">
      <c r="A897" s="9" t="s">
        <v>1593</v>
      </c>
      <c r="B897" s="3">
        <v>1</v>
      </c>
      <c r="C897" s="4" t="str">
        <f t="shared" si="52"/>
        <v>Bad</v>
      </c>
      <c r="D897" s="3" t="s">
        <v>1815</v>
      </c>
      <c r="E897" s="3" t="s">
        <v>1816</v>
      </c>
      <c r="F897" s="5" t="s">
        <v>1200</v>
      </c>
      <c r="G897" s="4" t="str">
        <f t="shared" si="53"/>
        <v>30th</v>
      </c>
      <c r="H897" s="4" t="str">
        <f t="shared" si="54"/>
        <v>April</v>
      </c>
      <c r="I897" s="4" t="str">
        <f t="shared" si="55"/>
        <v>2022</v>
      </c>
      <c r="J897" s="10" t="s">
        <v>12</v>
      </c>
    </row>
    <row r="898" spans="1:10" x14ac:dyDescent="0.35">
      <c r="A898" s="9" t="s">
        <v>1593</v>
      </c>
      <c r="B898" s="3">
        <v>8</v>
      </c>
      <c r="C898" s="4" t="str">
        <f t="shared" si="52"/>
        <v>Good</v>
      </c>
      <c r="D898" s="3" t="s">
        <v>1817</v>
      </c>
      <c r="E898" s="3" t="s">
        <v>1818</v>
      </c>
      <c r="F898" s="5" t="s">
        <v>1200</v>
      </c>
      <c r="G898" s="4" t="str">
        <f t="shared" si="53"/>
        <v>30th</v>
      </c>
      <c r="H898" s="4" t="str">
        <f t="shared" si="54"/>
        <v>April</v>
      </c>
      <c r="I898" s="4" t="str">
        <f t="shared" si="55"/>
        <v>2022</v>
      </c>
      <c r="J898" s="10" t="s">
        <v>9</v>
      </c>
    </row>
    <row r="899" spans="1:10" x14ac:dyDescent="0.35">
      <c r="A899" s="9" t="s">
        <v>1593</v>
      </c>
      <c r="B899" s="3">
        <v>1</v>
      </c>
      <c r="C899" s="4" t="str">
        <f t="shared" ref="C899:C962" si="56">IF(B899&gt;=8,"Good",IF(B899&gt;=5,"Neutral","Bad"))</f>
        <v>Bad</v>
      </c>
      <c r="D899" s="3" t="s">
        <v>1047</v>
      </c>
      <c r="E899" s="3" t="s">
        <v>1819</v>
      </c>
      <c r="F899" s="5" t="s">
        <v>1200</v>
      </c>
      <c r="G899" s="4" t="str">
        <f t="shared" ref="G899:G962" si="57">LEFT(F899, FIND(" ", F899)-1)</f>
        <v>30th</v>
      </c>
      <c r="H899" s="4" t="str">
        <f t="shared" ref="H899:H962" si="58">TRIM(MID(F899, FIND(" ", F899)+1, FIND(" ", F899, FIND(" ", F899)+1) - FIND(" ", F899)-1))</f>
        <v>April</v>
      </c>
      <c r="I899" s="4" t="str">
        <f t="shared" ref="I899:I962" si="59">RIGHT(F899, 4)</f>
        <v>2022</v>
      </c>
      <c r="J899" s="10" t="s">
        <v>12</v>
      </c>
    </row>
    <row r="900" spans="1:10" x14ac:dyDescent="0.35">
      <c r="A900" s="9" t="s">
        <v>1593</v>
      </c>
      <c r="B900" s="3">
        <v>1</v>
      </c>
      <c r="C900" s="4" t="str">
        <f t="shared" si="56"/>
        <v>Bad</v>
      </c>
      <c r="D900" s="3" t="s">
        <v>1820</v>
      </c>
      <c r="E900" s="3" t="s">
        <v>1603</v>
      </c>
      <c r="F900" s="5" t="s">
        <v>1200</v>
      </c>
      <c r="G900" s="4" t="str">
        <f t="shared" si="57"/>
        <v>30th</v>
      </c>
      <c r="H900" s="4" t="str">
        <f t="shared" si="58"/>
        <v>April</v>
      </c>
      <c r="I900" s="4" t="str">
        <f t="shared" si="59"/>
        <v>2022</v>
      </c>
      <c r="J900" s="10" t="s">
        <v>12</v>
      </c>
    </row>
    <row r="901" spans="1:10" x14ac:dyDescent="0.35">
      <c r="A901" s="9" t="s">
        <v>1593</v>
      </c>
      <c r="B901" s="3">
        <v>1</v>
      </c>
      <c r="C901" s="4" t="str">
        <f t="shared" si="56"/>
        <v>Bad</v>
      </c>
      <c r="D901" s="3" t="s">
        <v>914</v>
      </c>
      <c r="E901" s="3" t="s">
        <v>1821</v>
      </c>
      <c r="F901" s="5" t="s">
        <v>1200</v>
      </c>
      <c r="G901" s="4" t="str">
        <f t="shared" si="57"/>
        <v>30th</v>
      </c>
      <c r="H901" s="4" t="str">
        <f t="shared" si="58"/>
        <v>April</v>
      </c>
      <c r="I901" s="4" t="str">
        <f t="shared" si="59"/>
        <v>2022</v>
      </c>
      <c r="J901" s="10" t="s">
        <v>12</v>
      </c>
    </row>
    <row r="902" spans="1:10" x14ac:dyDescent="0.35">
      <c r="A902" s="9" t="s">
        <v>1593</v>
      </c>
      <c r="B902" s="3">
        <v>1</v>
      </c>
      <c r="C902" s="4" t="str">
        <f t="shared" si="56"/>
        <v>Bad</v>
      </c>
      <c r="D902" s="3" t="s">
        <v>1822</v>
      </c>
      <c r="E902" s="3" t="s">
        <v>1823</v>
      </c>
      <c r="F902" s="5" t="s">
        <v>1824</v>
      </c>
      <c r="G902" s="4" t="str">
        <f t="shared" si="57"/>
        <v>7th</v>
      </c>
      <c r="H902" s="4" t="str">
        <f t="shared" si="58"/>
        <v>April</v>
      </c>
      <c r="I902" s="4" t="str">
        <f t="shared" si="59"/>
        <v>2022</v>
      </c>
      <c r="J902" s="10" t="s">
        <v>12</v>
      </c>
    </row>
    <row r="903" spans="1:10" x14ac:dyDescent="0.35">
      <c r="A903" s="9" t="s">
        <v>1593</v>
      </c>
      <c r="B903" s="3">
        <v>1</v>
      </c>
      <c r="C903" s="4" t="str">
        <f t="shared" si="56"/>
        <v>Bad</v>
      </c>
      <c r="D903" s="3" t="s">
        <v>1825</v>
      </c>
      <c r="E903" s="3" t="s">
        <v>1826</v>
      </c>
      <c r="F903" s="5" t="s">
        <v>1824</v>
      </c>
      <c r="G903" s="4" t="str">
        <f t="shared" si="57"/>
        <v>7th</v>
      </c>
      <c r="H903" s="4" t="str">
        <f t="shared" si="58"/>
        <v>April</v>
      </c>
      <c r="I903" s="4" t="str">
        <f t="shared" si="59"/>
        <v>2022</v>
      </c>
      <c r="J903" s="10" t="s">
        <v>12</v>
      </c>
    </row>
    <row r="904" spans="1:10" x14ac:dyDescent="0.35">
      <c r="A904" s="9" t="s">
        <v>1593</v>
      </c>
      <c r="B904" s="3">
        <v>1</v>
      </c>
      <c r="C904" s="4" t="str">
        <f t="shared" si="56"/>
        <v>Bad</v>
      </c>
      <c r="D904" s="3" t="s">
        <v>1827</v>
      </c>
      <c r="E904" s="3" t="s">
        <v>1828</v>
      </c>
      <c r="F904" s="5" t="s">
        <v>1824</v>
      </c>
      <c r="G904" s="4" t="str">
        <f t="shared" si="57"/>
        <v>7th</v>
      </c>
      <c r="H904" s="4" t="str">
        <f t="shared" si="58"/>
        <v>April</v>
      </c>
      <c r="I904" s="4" t="str">
        <f t="shared" si="59"/>
        <v>2022</v>
      </c>
      <c r="J904" s="10" t="s">
        <v>12</v>
      </c>
    </row>
    <row r="905" spans="1:10" x14ac:dyDescent="0.35">
      <c r="A905" s="9" t="s">
        <v>1593</v>
      </c>
      <c r="B905" s="3">
        <v>1</v>
      </c>
      <c r="C905" s="4" t="str">
        <f t="shared" si="56"/>
        <v>Bad</v>
      </c>
      <c r="D905" s="3" t="s">
        <v>1829</v>
      </c>
      <c r="E905" s="3" t="s">
        <v>1830</v>
      </c>
      <c r="F905" s="5" t="s">
        <v>1824</v>
      </c>
      <c r="G905" s="4" t="str">
        <f t="shared" si="57"/>
        <v>7th</v>
      </c>
      <c r="H905" s="4" t="str">
        <f t="shared" si="58"/>
        <v>April</v>
      </c>
      <c r="I905" s="4" t="str">
        <f t="shared" si="59"/>
        <v>2022</v>
      </c>
      <c r="J905" s="10" t="s">
        <v>12</v>
      </c>
    </row>
    <row r="906" spans="1:10" x14ac:dyDescent="0.35">
      <c r="A906" s="9" t="s">
        <v>1593</v>
      </c>
      <c r="B906" s="3">
        <v>1</v>
      </c>
      <c r="C906" s="4" t="str">
        <f t="shared" si="56"/>
        <v>Bad</v>
      </c>
      <c r="D906" s="3" t="s">
        <v>1831</v>
      </c>
      <c r="E906" s="3" t="s">
        <v>1832</v>
      </c>
      <c r="F906" s="5" t="s">
        <v>1824</v>
      </c>
      <c r="G906" s="4" t="str">
        <f t="shared" si="57"/>
        <v>7th</v>
      </c>
      <c r="H906" s="4" t="str">
        <f t="shared" si="58"/>
        <v>April</v>
      </c>
      <c r="I906" s="4" t="str">
        <f t="shared" si="59"/>
        <v>2022</v>
      </c>
      <c r="J906" s="10" t="s">
        <v>12</v>
      </c>
    </row>
    <row r="907" spans="1:10" x14ac:dyDescent="0.35">
      <c r="A907" s="9" t="s">
        <v>1593</v>
      </c>
      <c r="B907" s="3">
        <v>1</v>
      </c>
      <c r="C907" s="4" t="str">
        <f t="shared" si="56"/>
        <v>Bad</v>
      </c>
      <c r="D907" s="3" t="s">
        <v>1712</v>
      </c>
      <c r="E907" s="3" t="s">
        <v>1833</v>
      </c>
      <c r="F907" s="5" t="s">
        <v>1824</v>
      </c>
      <c r="G907" s="4" t="str">
        <f t="shared" si="57"/>
        <v>7th</v>
      </c>
      <c r="H907" s="4" t="str">
        <f t="shared" si="58"/>
        <v>April</v>
      </c>
      <c r="I907" s="4" t="str">
        <f t="shared" si="59"/>
        <v>2022</v>
      </c>
      <c r="J907" s="10" t="s">
        <v>12</v>
      </c>
    </row>
    <row r="908" spans="1:10" x14ac:dyDescent="0.35">
      <c r="A908" s="9" t="s">
        <v>1593</v>
      </c>
      <c r="B908" s="3">
        <v>1</v>
      </c>
      <c r="C908" s="4" t="str">
        <f t="shared" si="56"/>
        <v>Bad</v>
      </c>
      <c r="D908" s="3" t="s">
        <v>1834</v>
      </c>
      <c r="E908" s="3" t="s">
        <v>1835</v>
      </c>
      <c r="F908" s="5" t="s">
        <v>1824</v>
      </c>
      <c r="G908" s="4" t="str">
        <f t="shared" si="57"/>
        <v>7th</v>
      </c>
      <c r="H908" s="4" t="str">
        <f t="shared" si="58"/>
        <v>April</v>
      </c>
      <c r="I908" s="4" t="str">
        <f t="shared" si="59"/>
        <v>2022</v>
      </c>
      <c r="J908" s="10" t="s">
        <v>12</v>
      </c>
    </row>
    <row r="909" spans="1:10" x14ac:dyDescent="0.35">
      <c r="A909" s="9" t="s">
        <v>1593</v>
      </c>
      <c r="B909" s="3">
        <v>1</v>
      </c>
      <c r="C909" s="4" t="str">
        <f t="shared" si="56"/>
        <v>Bad</v>
      </c>
      <c r="D909" s="3" t="s">
        <v>1836</v>
      </c>
      <c r="E909" s="3" t="s">
        <v>1837</v>
      </c>
      <c r="F909" s="5" t="s">
        <v>1824</v>
      </c>
      <c r="G909" s="4" t="str">
        <f t="shared" si="57"/>
        <v>7th</v>
      </c>
      <c r="H909" s="4" t="str">
        <f t="shared" si="58"/>
        <v>April</v>
      </c>
      <c r="I909" s="4" t="str">
        <f t="shared" si="59"/>
        <v>2022</v>
      </c>
      <c r="J909" s="10" t="s">
        <v>12</v>
      </c>
    </row>
    <row r="910" spans="1:10" x14ac:dyDescent="0.35">
      <c r="A910" s="9" t="s">
        <v>1593</v>
      </c>
      <c r="B910" s="3">
        <v>1</v>
      </c>
      <c r="C910" s="4" t="str">
        <f t="shared" si="56"/>
        <v>Bad</v>
      </c>
      <c r="D910" s="3" t="s">
        <v>1838</v>
      </c>
      <c r="E910" s="3" t="s">
        <v>1839</v>
      </c>
      <c r="F910" s="5" t="s">
        <v>1824</v>
      </c>
      <c r="G910" s="4" t="str">
        <f t="shared" si="57"/>
        <v>7th</v>
      </c>
      <c r="H910" s="4" t="str">
        <f t="shared" si="58"/>
        <v>April</v>
      </c>
      <c r="I910" s="4" t="str">
        <f t="shared" si="59"/>
        <v>2022</v>
      </c>
      <c r="J910" s="10" t="s">
        <v>12</v>
      </c>
    </row>
    <row r="911" spans="1:10" x14ac:dyDescent="0.35">
      <c r="A911" s="9" t="s">
        <v>1593</v>
      </c>
      <c r="B911" s="3">
        <v>1</v>
      </c>
      <c r="C911" s="4" t="str">
        <f t="shared" si="56"/>
        <v>Bad</v>
      </c>
      <c r="D911" s="3" t="s">
        <v>1840</v>
      </c>
      <c r="E911" s="3" t="s">
        <v>1841</v>
      </c>
      <c r="F911" s="5" t="s">
        <v>1824</v>
      </c>
      <c r="G911" s="4" t="str">
        <f t="shared" si="57"/>
        <v>7th</v>
      </c>
      <c r="H911" s="4" t="str">
        <f t="shared" si="58"/>
        <v>April</v>
      </c>
      <c r="I911" s="4" t="str">
        <f t="shared" si="59"/>
        <v>2022</v>
      </c>
      <c r="J911" s="10" t="s">
        <v>12</v>
      </c>
    </row>
    <row r="912" spans="1:10" x14ac:dyDescent="0.35">
      <c r="A912" s="9" t="s">
        <v>1593</v>
      </c>
      <c r="B912" s="3">
        <v>1</v>
      </c>
      <c r="C912" s="4" t="str">
        <f t="shared" si="56"/>
        <v>Bad</v>
      </c>
      <c r="D912" s="3" t="s">
        <v>1842</v>
      </c>
      <c r="E912" s="3" t="s">
        <v>1843</v>
      </c>
      <c r="F912" s="5" t="s">
        <v>1844</v>
      </c>
      <c r="G912" s="4" t="str">
        <f t="shared" si="57"/>
        <v>21st</v>
      </c>
      <c r="H912" s="4" t="str">
        <f t="shared" si="58"/>
        <v>March</v>
      </c>
      <c r="I912" s="4" t="str">
        <f t="shared" si="59"/>
        <v>2022</v>
      </c>
      <c r="J912" s="10" t="s">
        <v>12</v>
      </c>
    </row>
    <row r="913" spans="1:10" x14ac:dyDescent="0.35">
      <c r="A913" s="9" t="s">
        <v>1593</v>
      </c>
      <c r="B913" s="3">
        <v>1</v>
      </c>
      <c r="C913" s="4" t="str">
        <f t="shared" si="56"/>
        <v>Bad</v>
      </c>
      <c r="D913" s="3" t="s">
        <v>1652</v>
      </c>
      <c r="E913" s="3" t="s">
        <v>1845</v>
      </c>
      <c r="F913" s="5" t="s">
        <v>1844</v>
      </c>
      <c r="G913" s="4" t="str">
        <f t="shared" si="57"/>
        <v>21st</v>
      </c>
      <c r="H913" s="4" t="str">
        <f t="shared" si="58"/>
        <v>March</v>
      </c>
      <c r="I913" s="4" t="str">
        <f t="shared" si="59"/>
        <v>2022</v>
      </c>
      <c r="J913" s="10" t="s">
        <v>12</v>
      </c>
    </row>
    <row r="914" spans="1:10" x14ac:dyDescent="0.35">
      <c r="A914" s="9" t="s">
        <v>1593</v>
      </c>
      <c r="B914" s="3">
        <v>1</v>
      </c>
      <c r="C914" s="4" t="str">
        <f t="shared" si="56"/>
        <v>Bad</v>
      </c>
      <c r="D914" s="3" t="s">
        <v>1846</v>
      </c>
      <c r="E914" s="3" t="s">
        <v>1847</v>
      </c>
      <c r="F914" s="5" t="s">
        <v>1844</v>
      </c>
      <c r="G914" s="4" t="str">
        <f t="shared" si="57"/>
        <v>21st</v>
      </c>
      <c r="H914" s="4" t="str">
        <f t="shared" si="58"/>
        <v>March</v>
      </c>
      <c r="I914" s="4" t="str">
        <f t="shared" si="59"/>
        <v>2022</v>
      </c>
      <c r="J914" s="10" t="s">
        <v>12</v>
      </c>
    </row>
    <row r="915" spans="1:10" x14ac:dyDescent="0.35">
      <c r="A915" s="9" t="s">
        <v>1593</v>
      </c>
      <c r="B915" s="3">
        <v>1</v>
      </c>
      <c r="C915" s="4" t="str">
        <f t="shared" si="56"/>
        <v>Bad</v>
      </c>
      <c r="D915" s="3" t="s">
        <v>1848</v>
      </c>
      <c r="E915" s="3" t="s">
        <v>1849</v>
      </c>
      <c r="F915" s="5" t="s">
        <v>1844</v>
      </c>
      <c r="G915" s="4" t="str">
        <f t="shared" si="57"/>
        <v>21st</v>
      </c>
      <c r="H915" s="4" t="str">
        <f t="shared" si="58"/>
        <v>March</v>
      </c>
      <c r="I915" s="4" t="str">
        <f t="shared" si="59"/>
        <v>2022</v>
      </c>
      <c r="J915" s="10" t="s">
        <v>12</v>
      </c>
    </row>
    <row r="916" spans="1:10" x14ac:dyDescent="0.35">
      <c r="A916" s="9" t="s">
        <v>1593</v>
      </c>
      <c r="B916" s="3">
        <v>1</v>
      </c>
      <c r="C916" s="4" t="str">
        <f t="shared" si="56"/>
        <v>Bad</v>
      </c>
      <c r="D916" s="3" t="s">
        <v>1850</v>
      </c>
      <c r="E916" s="3" t="s">
        <v>1851</v>
      </c>
      <c r="F916" s="5" t="s">
        <v>1844</v>
      </c>
      <c r="G916" s="4" t="str">
        <f t="shared" si="57"/>
        <v>21st</v>
      </c>
      <c r="H916" s="4" t="str">
        <f t="shared" si="58"/>
        <v>March</v>
      </c>
      <c r="I916" s="4" t="str">
        <f t="shared" si="59"/>
        <v>2022</v>
      </c>
      <c r="J916" s="10" t="s">
        <v>12</v>
      </c>
    </row>
    <row r="917" spans="1:10" x14ac:dyDescent="0.35">
      <c r="A917" s="9" t="s">
        <v>1593</v>
      </c>
      <c r="B917" s="3">
        <v>1</v>
      </c>
      <c r="C917" s="4" t="str">
        <f t="shared" si="56"/>
        <v>Bad</v>
      </c>
      <c r="D917" s="3" t="s">
        <v>1852</v>
      </c>
      <c r="E917" s="3" t="s">
        <v>1853</v>
      </c>
      <c r="F917" s="5" t="s">
        <v>1844</v>
      </c>
      <c r="G917" s="4" t="str">
        <f t="shared" si="57"/>
        <v>21st</v>
      </c>
      <c r="H917" s="4" t="str">
        <f t="shared" si="58"/>
        <v>March</v>
      </c>
      <c r="I917" s="4" t="str">
        <f t="shared" si="59"/>
        <v>2022</v>
      </c>
      <c r="J917" s="10" t="s">
        <v>12</v>
      </c>
    </row>
    <row r="918" spans="1:10" x14ac:dyDescent="0.35">
      <c r="A918" s="9" t="s">
        <v>1593</v>
      </c>
      <c r="B918" s="3">
        <v>2</v>
      </c>
      <c r="C918" s="4" t="str">
        <f t="shared" si="56"/>
        <v>Bad</v>
      </c>
      <c r="D918" s="3" t="s">
        <v>1854</v>
      </c>
      <c r="E918" s="3" t="s">
        <v>1855</v>
      </c>
      <c r="F918" s="5" t="s">
        <v>1844</v>
      </c>
      <c r="G918" s="4" t="str">
        <f t="shared" si="57"/>
        <v>21st</v>
      </c>
      <c r="H918" s="4" t="str">
        <f t="shared" si="58"/>
        <v>March</v>
      </c>
      <c r="I918" s="4" t="str">
        <f t="shared" si="59"/>
        <v>2022</v>
      </c>
      <c r="J918" s="10" t="s">
        <v>12</v>
      </c>
    </row>
    <row r="919" spans="1:10" x14ac:dyDescent="0.35">
      <c r="A919" s="9" t="s">
        <v>1593</v>
      </c>
      <c r="B919" s="3">
        <v>1</v>
      </c>
      <c r="C919" s="4" t="str">
        <f t="shared" si="56"/>
        <v>Bad</v>
      </c>
      <c r="D919" s="3" t="s">
        <v>1856</v>
      </c>
      <c r="E919" s="3" t="s">
        <v>1857</v>
      </c>
      <c r="F919" s="5" t="s">
        <v>1844</v>
      </c>
      <c r="G919" s="4" t="str">
        <f t="shared" si="57"/>
        <v>21st</v>
      </c>
      <c r="H919" s="4" t="str">
        <f t="shared" si="58"/>
        <v>March</v>
      </c>
      <c r="I919" s="4" t="str">
        <f t="shared" si="59"/>
        <v>2022</v>
      </c>
      <c r="J919" s="10" t="s">
        <v>12</v>
      </c>
    </row>
    <row r="920" spans="1:10" x14ac:dyDescent="0.35">
      <c r="A920" s="9" t="s">
        <v>1593</v>
      </c>
      <c r="B920" s="3">
        <v>1</v>
      </c>
      <c r="C920" s="4" t="str">
        <f t="shared" si="56"/>
        <v>Bad</v>
      </c>
      <c r="D920" s="3" t="s">
        <v>1858</v>
      </c>
      <c r="E920" s="3" t="s">
        <v>1450</v>
      </c>
      <c r="F920" s="5" t="s">
        <v>1844</v>
      </c>
      <c r="G920" s="4" t="str">
        <f t="shared" si="57"/>
        <v>21st</v>
      </c>
      <c r="H920" s="4" t="str">
        <f t="shared" si="58"/>
        <v>March</v>
      </c>
      <c r="I920" s="4" t="str">
        <f t="shared" si="59"/>
        <v>2022</v>
      </c>
      <c r="J920" s="10" t="s">
        <v>12</v>
      </c>
    </row>
    <row r="921" spans="1:10" x14ac:dyDescent="0.35">
      <c r="A921" s="9" t="s">
        <v>1593</v>
      </c>
      <c r="B921" s="3">
        <v>7</v>
      </c>
      <c r="C921" s="4" t="str">
        <f t="shared" si="56"/>
        <v>Neutral</v>
      </c>
      <c r="D921" s="3" t="s">
        <v>1859</v>
      </c>
      <c r="E921" s="3" t="s">
        <v>83</v>
      </c>
      <c r="F921" s="5" t="s">
        <v>1844</v>
      </c>
      <c r="G921" s="4" t="str">
        <f t="shared" si="57"/>
        <v>21st</v>
      </c>
      <c r="H921" s="4" t="str">
        <f t="shared" si="58"/>
        <v>March</v>
      </c>
      <c r="I921" s="4" t="str">
        <f t="shared" si="59"/>
        <v>2022</v>
      </c>
      <c r="J921" s="10" t="s">
        <v>9</v>
      </c>
    </row>
    <row r="922" spans="1:10" x14ac:dyDescent="0.35">
      <c r="A922" s="9" t="s">
        <v>1593</v>
      </c>
      <c r="B922" s="3">
        <v>1</v>
      </c>
      <c r="C922" s="4" t="str">
        <f t="shared" si="56"/>
        <v>Bad</v>
      </c>
      <c r="D922" s="3" t="s">
        <v>1860</v>
      </c>
      <c r="E922" s="3" t="s">
        <v>1861</v>
      </c>
      <c r="F922" s="5" t="s">
        <v>1862</v>
      </c>
      <c r="G922" s="4" t="str">
        <f t="shared" si="57"/>
        <v>21st</v>
      </c>
      <c r="H922" s="4" t="str">
        <f t="shared" si="58"/>
        <v>February</v>
      </c>
      <c r="I922" s="4" t="str">
        <f t="shared" si="59"/>
        <v>2022</v>
      </c>
      <c r="J922" s="10" t="s">
        <v>12</v>
      </c>
    </row>
    <row r="923" spans="1:10" x14ac:dyDescent="0.35">
      <c r="A923" s="9" t="s">
        <v>1593</v>
      </c>
      <c r="B923" s="3">
        <v>1</v>
      </c>
      <c r="C923" s="4" t="str">
        <f t="shared" si="56"/>
        <v>Bad</v>
      </c>
      <c r="D923" s="3" t="s">
        <v>1863</v>
      </c>
      <c r="E923" s="3" t="s">
        <v>1864</v>
      </c>
      <c r="F923" s="5" t="s">
        <v>1862</v>
      </c>
      <c r="G923" s="4" t="str">
        <f t="shared" si="57"/>
        <v>21st</v>
      </c>
      <c r="H923" s="4" t="str">
        <f t="shared" si="58"/>
        <v>February</v>
      </c>
      <c r="I923" s="4" t="str">
        <f t="shared" si="59"/>
        <v>2022</v>
      </c>
      <c r="J923" s="10" t="s">
        <v>12</v>
      </c>
    </row>
    <row r="924" spans="1:10" x14ac:dyDescent="0.35">
      <c r="A924" s="9" t="s">
        <v>1593</v>
      </c>
      <c r="B924" s="3">
        <v>2</v>
      </c>
      <c r="C924" s="4" t="str">
        <f t="shared" si="56"/>
        <v>Bad</v>
      </c>
      <c r="D924" s="3" t="s">
        <v>1865</v>
      </c>
      <c r="E924" s="3" t="s">
        <v>1866</v>
      </c>
      <c r="F924" s="5" t="s">
        <v>1862</v>
      </c>
      <c r="G924" s="4" t="str">
        <f t="shared" si="57"/>
        <v>21st</v>
      </c>
      <c r="H924" s="4" t="str">
        <f t="shared" si="58"/>
        <v>February</v>
      </c>
      <c r="I924" s="4" t="str">
        <f t="shared" si="59"/>
        <v>2022</v>
      </c>
      <c r="J924" s="10" t="s">
        <v>12</v>
      </c>
    </row>
    <row r="925" spans="1:10" x14ac:dyDescent="0.35">
      <c r="A925" s="9" t="s">
        <v>1593</v>
      </c>
      <c r="B925" s="3">
        <v>1</v>
      </c>
      <c r="C925" s="4" t="str">
        <f t="shared" si="56"/>
        <v>Bad</v>
      </c>
      <c r="D925" s="3" t="s">
        <v>1043</v>
      </c>
      <c r="E925" s="3" t="s">
        <v>1867</v>
      </c>
      <c r="F925" s="5" t="s">
        <v>1862</v>
      </c>
      <c r="G925" s="4" t="str">
        <f t="shared" si="57"/>
        <v>21st</v>
      </c>
      <c r="H925" s="4" t="str">
        <f t="shared" si="58"/>
        <v>February</v>
      </c>
      <c r="I925" s="4" t="str">
        <f t="shared" si="59"/>
        <v>2022</v>
      </c>
      <c r="J925" s="10" t="s">
        <v>12</v>
      </c>
    </row>
    <row r="926" spans="1:10" x14ac:dyDescent="0.35">
      <c r="A926" s="9" t="s">
        <v>1593</v>
      </c>
      <c r="B926" s="3">
        <v>1</v>
      </c>
      <c r="C926" s="4" t="str">
        <f t="shared" si="56"/>
        <v>Bad</v>
      </c>
      <c r="D926" s="3" t="s">
        <v>1868</v>
      </c>
      <c r="E926" s="3" t="s">
        <v>1869</v>
      </c>
      <c r="F926" s="5" t="s">
        <v>1862</v>
      </c>
      <c r="G926" s="4" t="str">
        <f t="shared" si="57"/>
        <v>21st</v>
      </c>
      <c r="H926" s="4" t="str">
        <f t="shared" si="58"/>
        <v>February</v>
      </c>
      <c r="I926" s="4" t="str">
        <f t="shared" si="59"/>
        <v>2022</v>
      </c>
      <c r="J926" s="10" t="s">
        <v>12</v>
      </c>
    </row>
    <row r="927" spans="1:10" x14ac:dyDescent="0.35">
      <c r="A927" s="9" t="s">
        <v>1593</v>
      </c>
      <c r="B927" s="3">
        <v>2</v>
      </c>
      <c r="C927" s="4" t="str">
        <f t="shared" si="56"/>
        <v>Bad</v>
      </c>
      <c r="D927" s="3" t="s">
        <v>1870</v>
      </c>
      <c r="E927" s="3" t="s">
        <v>1871</v>
      </c>
      <c r="F927" s="5" t="s">
        <v>1862</v>
      </c>
      <c r="G927" s="4" t="str">
        <f t="shared" si="57"/>
        <v>21st</v>
      </c>
      <c r="H927" s="4" t="str">
        <f t="shared" si="58"/>
        <v>February</v>
      </c>
      <c r="I927" s="4" t="str">
        <f t="shared" si="59"/>
        <v>2022</v>
      </c>
      <c r="J927" s="10" t="s">
        <v>12</v>
      </c>
    </row>
    <row r="928" spans="1:10" x14ac:dyDescent="0.35">
      <c r="A928" s="9" t="s">
        <v>1593</v>
      </c>
      <c r="B928" s="3">
        <v>1</v>
      </c>
      <c r="C928" s="4" t="str">
        <f t="shared" si="56"/>
        <v>Bad</v>
      </c>
      <c r="D928" s="3" t="s">
        <v>1872</v>
      </c>
      <c r="E928" s="3" t="s">
        <v>1873</v>
      </c>
      <c r="F928" s="5" t="s">
        <v>1862</v>
      </c>
      <c r="G928" s="4" t="str">
        <f t="shared" si="57"/>
        <v>21st</v>
      </c>
      <c r="H928" s="4" t="str">
        <f t="shared" si="58"/>
        <v>February</v>
      </c>
      <c r="I928" s="4" t="str">
        <f t="shared" si="59"/>
        <v>2022</v>
      </c>
      <c r="J928" s="10" t="s">
        <v>12</v>
      </c>
    </row>
    <row r="929" spans="1:10" x14ac:dyDescent="0.35">
      <c r="A929" s="9" t="s">
        <v>1593</v>
      </c>
      <c r="B929" s="3">
        <v>2</v>
      </c>
      <c r="C929" s="4" t="str">
        <f t="shared" si="56"/>
        <v>Bad</v>
      </c>
      <c r="D929" s="3" t="s">
        <v>1874</v>
      </c>
      <c r="E929" s="3" t="s">
        <v>1875</v>
      </c>
      <c r="F929" s="5" t="s">
        <v>1862</v>
      </c>
      <c r="G929" s="4" t="str">
        <f t="shared" si="57"/>
        <v>21st</v>
      </c>
      <c r="H929" s="4" t="str">
        <f t="shared" si="58"/>
        <v>February</v>
      </c>
      <c r="I929" s="4" t="str">
        <f t="shared" si="59"/>
        <v>2022</v>
      </c>
      <c r="J929" s="10" t="s">
        <v>12</v>
      </c>
    </row>
    <row r="930" spans="1:10" x14ac:dyDescent="0.35">
      <c r="A930" s="9" t="s">
        <v>1593</v>
      </c>
      <c r="B930" s="3">
        <v>1</v>
      </c>
      <c r="C930" s="4" t="str">
        <f t="shared" si="56"/>
        <v>Bad</v>
      </c>
      <c r="D930" s="3" t="s">
        <v>1775</v>
      </c>
      <c r="E930" s="3" t="s">
        <v>1876</v>
      </c>
      <c r="F930" s="5" t="s">
        <v>1862</v>
      </c>
      <c r="G930" s="4" t="str">
        <f t="shared" si="57"/>
        <v>21st</v>
      </c>
      <c r="H930" s="4" t="str">
        <f t="shared" si="58"/>
        <v>February</v>
      </c>
      <c r="I930" s="4" t="str">
        <f t="shared" si="59"/>
        <v>2022</v>
      </c>
      <c r="J930" s="10" t="s">
        <v>12</v>
      </c>
    </row>
    <row r="931" spans="1:10" x14ac:dyDescent="0.35">
      <c r="A931" s="9" t="s">
        <v>1593</v>
      </c>
      <c r="B931" s="3">
        <v>1</v>
      </c>
      <c r="C931" s="4" t="str">
        <f t="shared" si="56"/>
        <v>Bad</v>
      </c>
      <c r="D931" s="3" t="s">
        <v>1877</v>
      </c>
      <c r="E931" s="3" t="s">
        <v>1878</v>
      </c>
      <c r="F931" s="5" t="s">
        <v>1862</v>
      </c>
      <c r="G931" s="4" t="str">
        <f t="shared" si="57"/>
        <v>21st</v>
      </c>
      <c r="H931" s="4" t="str">
        <f t="shared" si="58"/>
        <v>February</v>
      </c>
      <c r="I931" s="4" t="str">
        <f t="shared" si="59"/>
        <v>2022</v>
      </c>
      <c r="J931" s="10" t="s">
        <v>12</v>
      </c>
    </row>
    <row r="932" spans="1:10" x14ac:dyDescent="0.35">
      <c r="A932" s="9" t="s">
        <v>1593</v>
      </c>
      <c r="B932" s="3">
        <v>1</v>
      </c>
      <c r="C932" s="4" t="str">
        <f t="shared" si="56"/>
        <v>Bad</v>
      </c>
      <c r="D932" s="3" t="s">
        <v>1879</v>
      </c>
      <c r="E932" s="3" t="s">
        <v>1880</v>
      </c>
      <c r="F932" s="5" t="s">
        <v>1881</v>
      </c>
      <c r="G932" s="4" t="str">
        <f t="shared" si="57"/>
        <v>23rd</v>
      </c>
      <c r="H932" s="4" t="str">
        <f t="shared" si="58"/>
        <v>January</v>
      </c>
      <c r="I932" s="4" t="str">
        <f t="shared" si="59"/>
        <v>2022</v>
      </c>
      <c r="J932" s="10" t="s">
        <v>12</v>
      </c>
    </row>
    <row r="933" spans="1:10" x14ac:dyDescent="0.35">
      <c r="A933" s="9" t="s">
        <v>1593</v>
      </c>
      <c r="B933" s="3">
        <v>1</v>
      </c>
      <c r="C933" s="4" t="str">
        <f t="shared" si="56"/>
        <v>Bad</v>
      </c>
      <c r="D933" s="3" t="s">
        <v>1882</v>
      </c>
      <c r="E933" s="3" t="s">
        <v>1883</v>
      </c>
      <c r="F933" s="5" t="s">
        <v>1881</v>
      </c>
      <c r="G933" s="4" t="str">
        <f t="shared" si="57"/>
        <v>23rd</v>
      </c>
      <c r="H933" s="4" t="str">
        <f t="shared" si="58"/>
        <v>January</v>
      </c>
      <c r="I933" s="4" t="str">
        <f t="shared" si="59"/>
        <v>2022</v>
      </c>
      <c r="J933" s="10" t="s">
        <v>12</v>
      </c>
    </row>
    <row r="934" spans="1:10" x14ac:dyDescent="0.35">
      <c r="A934" s="9" t="s">
        <v>1593</v>
      </c>
      <c r="B934" s="3">
        <v>3</v>
      </c>
      <c r="C934" s="4" t="str">
        <f t="shared" si="56"/>
        <v>Bad</v>
      </c>
      <c r="D934" s="3" t="s">
        <v>1884</v>
      </c>
      <c r="E934" s="3" t="s">
        <v>1885</v>
      </c>
      <c r="F934" s="5" t="s">
        <v>1881</v>
      </c>
      <c r="G934" s="4" t="str">
        <f t="shared" si="57"/>
        <v>23rd</v>
      </c>
      <c r="H934" s="4" t="str">
        <f t="shared" si="58"/>
        <v>January</v>
      </c>
      <c r="I934" s="4" t="str">
        <f t="shared" si="59"/>
        <v>2022</v>
      </c>
      <c r="J934" s="10" t="s">
        <v>12</v>
      </c>
    </row>
    <row r="935" spans="1:10" x14ac:dyDescent="0.35">
      <c r="A935" s="9" t="s">
        <v>1593</v>
      </c>
      <c r="B935" s="3">
        <v>10</v>
      </c>
      <c r="C935" s="4" t="str">
        <f t="shared" si="56"/>
        <v>Good</v>
      </c>
      <c r="D935" s="3" t="s">
        <v>1886</v>
      </c>
      <c r="E935" s="3" t="s">
        <v>1887</v>
      </c>
      <c r="F935" s="5" t="s">
        <v>1881</v>
      </c>
      <c r="G935" s="4" t="str">
        <f t="shared" si="57"/>
        <v>23rd</v>
      </c>
      <c r="H935" s="4" t="str">
        <f t="shared" si="58"/>
        <v>January</v>
      </c>
      <c r="I935" s="4" t="str">
        <f t="shared" si="59"/>
        <v>2022</v>
      </c>
      <c r="J935" s="10" t="s">
        <v>9</v>
      </c>
    </row>
    <row r="936" spans="1:10" x14ac:dyDescent="0.35">
      <c r="A936" s="9" t="s">
        <v>1593</v>
      </c>
      <c r="B936" s="3">
        <v>1</v>
      </c>
      <c r="C936" s="4" t="str">
        <f t="shared" si="56"/>
        <v>Bad</v>
      </c>
      <c r="D936" s="3" t="s">
        <v>1888</v>
      </c>
      <c r="E936" s="3" t="s">
        <v>1889</v>
      </c>
      <c r="F936" s="5" t="s">
        <v>1881</v>
      </c>
      <c r="G936" s="4" t="str">
        <f t="shared" si="57"/>
        <v>23rd</v>
      </c>
      <c r="H936" s="4" t="str">
        <f t="shared" si="58"/>
        <v>January</v>
      </c>
      <c r="I936" s="4" t="str">
        <f t="shared" si="59"/>
        <v>2022</v>
      </c>
      <c r="J936" s="10" t="s">
        <v>12</v>
      </c>
    </row>
    <row r="937" spans="1:10" x14ac:dyDescent="0.35">
      <c r="A937" s="9" t="s">
        <v>1593</v>
      </c>
      <c r="B937" s="3">
        <v>1</v>
      </c>
      <c r="C937" s="4" t="str">
        <f t="shared" si="56"/>
        <v>Bad</v>
      </c>
      <c r="D937" s="3" t="s">
        <v>1890</v>
      </c>
      <c r="E937" s="3" t="s">
        <v>1891</v>
      </c>
      <c r="F937" s="5" t="s">
        <v>1881</v>
      </c>
      <c r="G937" s="4" t="str">
        <f t="shared" si="57"/>
        <v>23rd</v>
      </c>
      <c r="H937" s="4" t="str">
        <f t="shared" si="58"/>
        <v>January</v>
      </c>
      <c r="I937" s="4" t="str">
        <f t="shared" si="59"/>
        <v>2022</v>
      </c>
      <c r="J937" s="10" t="s">
        <v>12</v>
      </c>
    </row>
    <row r="938" spans="1:10" x14ac:dyDescent="0.35">
      <c r="A938" s="9" t="s">
        <v>1593</v>
      </c>
      <c r="B938" s="3">
        <v>1</v>
      </c>
      <c r="C938" s="4" t="str">
        <f t="shared" si="56"/>
        <v>Bad</v>
      </c>
      <c r="D938" s="3" t="s">
        <v>1892</v>
      </c>
      <c r="E938" s="3" t="s">
        <v>1893</v>
      </c>
      <c r="F938" s="5" t="s">
        <v>1881</v>
      </c>
      <c r="G938" s="4" t="str">
        <f t="shared" si="57"/>
        <v>23rd</v>
      </c>
      <c r="H938" s="4" t="str">
        <f t="shared" si="58"/>
        <v>January</v>
      </c>
      <c r="I938" s="4" t="str">
        <f t="shared" si="59"/>
        <v>2022</v>
      </c>
      <c r="J938" s="10" t="s">
        <v>12</v>
      </c>
    </row>
    <row r="939" spans="1:10" x14ac:dyDescent="0.35">
      <c r="A939" s="9" t="s">
        <v>1593</v>
      </c>
      <c r="B939" s="3">
        <v>1</v>
      </c>
      <c r="C939" s="4" t="str">
        <f t="shared" si="56"/>
        <v>Bad</v>
      </c>
      <c r="D939" s="3" t="s">
        <v>708</v>
      </c>
      <c r="E939" s="3" t="s">
        <v>1894</v>
      </c>
      <c r="F939" s="5" t="s">
        <v>1881</v>
      </c>
      <c r="G939" s="4" t="str">
        <f t="shared" si="57"/>
        <v>23rd</v>
      </c>
      <c r="H939" s="4" t="str">
        <f t="shared" si="58"/>
        <v>January</v>
      </c>
      <c r="I939" s="4" t="str">
        <f t="shared" si="59"/>
        <v>2022</v>
      </c>
      <c r="J939" s="10" t="s">
        <v>12</v>
      </c>
    </row>
    <row r="940" spans="1:10" x14ac:dyDescent="0.35">
      <c r="A940" s="9" t="s">
        <v>1593</v>
      </c>
      <c r="B940" s="3">
        <v>1</v>
      </c>
      <c r="C940" s="4" t="str">
        <f t="shared" si="56"/>
        <v>Bad</v>
      </c>
      <c r="D940" s="3" t="s">
        <v>40</v>
      </c>
      <c r="E940" s="3" t="s">
        <v>1895</v>
      </c>
      <c r="F940" s="5" t="s">
        <v>1881</v>
      </c>
      <c r="G940" s="4" t="str">
        <f t="shared" si="57"/>
        <v>23rd</v>
      </c>
      <c r="H940" s="4" t="str">
        <f t="shared" si="58"/>
        <v>January</v>
      </c>
      <c r="I940" s="4" t="str">
        <f t="shared" si="59"/>
        <v>2022</v>
      </c>
      <c r="J940" s="10" t="s">
        <v>12</v>
      </c>
    </row>
    <row r="941" spans="1:10" x14ac:dyDescent="0.35">
      <c r="A941" s="9" t="s">
        <v>1593</v>
      </c>
      <c r="B941" s="3">
        <v>1</v>
      </c>
      <c r="C941" s="4" t="str">
        <f t="shared" si="56"/>
        <v>Bad</v>
      </c>
      <c r="D941" s="3" t="s">
        <v>1896</v>
      </c>
      <c r="E941" s="3" t="s">
        <v>1897</v>
      </c>
      <c r="F941" s="5" t="s">
        <v>1881</v>
      </c>
      <c r="G941" s="4" t="str">
        <f t="shared" si="57"/>
        <v>23rd</v>
      </c>
      <c r="H941" s="4" t="str">
        <f t="shared" si="58"/>
        <v>January</v>
      </c>
      <c r="I941" s="4" t="str">
        <f t="shared" si="59"/>
        <v>2022</v>
      </c>
      <c r="J941" s="10" t="s">
        <v>12</v>
      </c>
    </row>
    <row r="942" spans="1:10" x14ac:dyDescent="0.35">
      <c r="A942" s="9" t="s">
        <v>1593</v>
      </c>
      <c r="B942" s="3">
        <v>1</v>
      </c>
      <c r="C942" s="4" t="str">
        <f t="shared" si="56"/>
        <v>Bad</v>
      </c>
      <c r="D942" s="3" t="s">
        <v>1898</v>
      </c>
      <c r="E942" s="3" t="s">
        <v>1899</v>
      </c>
      <c r="F942" s="5" t="s">
        <v>1900</v>
      </c>
      <c r="G942" s="4" t="str">
        <f t="shared" si="57"/>
        <v>23rd</v>
      </c>
      <c r="H942" s="4" t="str">
        <f t="shared" si="58"/>
        <v>December</v>
      </c>
      <c r="I942" s="4" t="str">
        <f t="shared" si="59"/>
        <v>2021</v>
      </c>
      <c r="J942" s="10" t="s">
        <v>12</v>
      </c>
    </row>
    <row r="943" spans="1:10" x14ac:dyDescent="0.35">
      <c r="A943" s="9" t="s">
        <v>1593</v>
      </c>
      <c r="B943" s="3">
        <v>7</v>
      </c>
      <c r="C943" s="4" t="str">
        <f t="shared" si="56"/>
        <v>Neutral</v>
      </c>
      <c r="D943" s="3" t="s">
        <v>1901</v>
      </c>
      <c r="E943" s="3" t="s">
        <v>1902</v>
      </c>
      <c r="F943" s="5" t="s">
        <v>1900</v>
      </c>
      <c r="G943" s="4" t="str">
        <f t="shared" si="57"/>
        <v>23rd</v>
      </c>
      <c r="H943" s="4" t="str">
        <f t="shared" si="58"/>
        <v>December</v>
      </c>
      <c r="I943" s="4" t="str">
        <f t="shared" si="59"/>
        <v>2021</v>
      </c>
      <c r="J943" s="10" t="s">
        <v>9</v>
      </c>
    </row>
    <row r="944" spans="1:10" x14ac:dyDescent="0.35">
      <c r="A944" s="9" t="s">
        <v>1593</v>
      </c>
      <c r="B944" s="3">
        <v>1</v>
      </c>
      <c r="C944" s="4" t="str">
        <f t="shared" si="56"/>
        <v>Bad</v>
      </c>
      <c r="D944" s="3" t="s">
        <v>1901</v>
      </c>
      <c r="E944" s="3" t="s">
        <v>1903</v>
      </c>
      <c r="F944" s="5" t="s">
        <v>1900</v>
      </c>
      <c r="G944" s="4" t="str">
        <f t="shared" si="57"/>
        <v>23rd</v>
      </c>
      <c r="H944" s="4" t="str">
        <f t="shared" si="58"/>
        <v>December</v>
      </c>
      <c r="I944" s="4" t="str">
        <f t="shared" si="59"/>
        <v>2021</v>
      </c>
      <c r="J944" s="10" t="s">
        <v>12</v>
      </c>
    </row>
    <row r="945" spans="1:10" x14ac:dyDescent="0.35">
      <c r="A945" s="9" t="s">
        <v>1593</v>
      </c>
      <c r="B945" s="3">
        <v>1</v>
      </c>
      <c r="C945" s="4" t="str">
        <f t="shared" si="56"/>
        <v>Bad</v>
      </c>
      <c r="D945" s="3" t="s">
        <v>1904</v>
      </c>
      <c r="E945" s="3" t="s">
        <v>1905</v>
      </c>
      <c r="F945" s="5" t="s">
        <v>1900</v>
      </c>
      <c r="G945" s="4" t="str">
        <f t="shared" si="57"/>
        <v>23rd</v>
      </c>
      <c r="H945" s="4" t="str">
        <f t="shared" si="58"/>
        <v>December</v>
      </c>
      <c r="I945" s="4" t="str">
        <f t="shared" si="59"/>
        <v>2021</v>
      </c>
      <c r="J945" s="10" t="s">
        <v>12</v>
      </c>
    </row>
    <row r="946" spans="1:10" x14ac:dyDescent="0.35">
      <c r="A946" s="9" t="s">
        <v>1593</v>
      </c>
      <c r="B946" s="3">
        <v>1</v>
      </c>
      <c r="C946" s="4" t="str">
        <f t="shared" si="56"/>
        <v>Bad</v>
      </c>
      <c r="D946" s="3" t="s">
        <v>1906</v>
      </c>
      <c r="E946" s="3" t="s">
        <v>1907</v>
      </c>
      <c r="F946" s="5" t="s">
        <v>1900</v>
      </c>
      <c r="G946" s="4" t="str">
        <f t="shared" si="57"/>
        <v>23rd</v>
      </c>
      <c r="H946" s="4" t="str">
        <f t="shared" si="58"/>
        <v>December</v>
      </c>
      <c r="I946" s="4" t="str">
        <f t="shared" si="59"/>
        <v>2021</v>
      </c>
      <c r="J946" s="10" t="s">
        <v>12</v>
      </c>
    </row>
    <row r="947" spans="1:10" x14ac:dyDescent="0.35">
      <c r="A947" s="9" t="s">
        <v>1593</v>
      </c>
      <c r="B947" s="3">
        <v>1</v>
      </c>
      <c r="C947" s="4" t="str">
        <f t="shared" si="56"/>
        <v>Bad</v>
      </c>
      <c r="D947" s="3" t="s">
        <v>1908</v>
      </c>
      <c r="E947" s="3" t="s">
        <v>1909</v>
      </c>
      <c r="F947" s="5" t="s">
        <v>1900</v>
      </c>
      <c r="G947" s="4" t="str">
        <f t="shared" si="57"/>
        <v>23rd</v>
      </c>
      <c r="H947" s="4" t="str">
        <f t="shared" si="58"/>
        <v>December</v>
      </c>
      <c r="I947" s="4" t="str">
        <f t="shared" si="59"/>
        <v>2021</v>
      </c>
      <c r="J947" s="10" t="s">
        <v>12</v>
      </c>
    </row>
    <row r="948" spans="1:10" x14ac:dyDescent="0.35">
      <c r="A948" s="9" t="s">
        <v>1593</v>
      </c>
      <c r="B948" s="3">
        <v>1</v>
      </c>
      <c r="C948" s="4" t="str">
        <f t="shared" si="56"/>
        <v>Bad</v>
      </c>
      <c r="D948" s="3" t="s">
        <v>1910</v>
      </c>
      <c r="E948" s="3" t="s">
        <v>1911</v>
      </c>
      <c r="F948" s="5" t="s">
        <v>1900</v>
      </c>
      <c r="G948" s="4" t="str">
        <f t="shared" si="57"/>
        <v>23rd</v>
      </c>
      <c r="H948" s="4" t="str">
        <f t="shared" si="58"/>
        <v>December</v>
      </c>
      <c r="I948" s="4" t="str">
        <f t="shared" si="59"/>
        <v>2021</v>
      </c>
      <c r="J948" s="10" t="s">
        <v>12</v>
      </c>
    </row>
    <row r="949" spans="1:10" x14ac:dyDescent="0.35">
      <c r="A949" s="9" t="s">
        <v>1593</v>
      </c>
      <c r="B949" s="3">
        <v>1</v>
      </c>
      <c r="C949" s="4" t="str">
        <f t="shared" si="56"/>
        <v>Bad</v>
      </c>
      <c r="D949" s="3" t="s">
        <v>1912</v>
      </c>
      <c r="E949" s="3" t="s">
        <v>1913</v>
      </c>
      <c r="F949" s="5" t="s">
        <v>1900</v>
      </c>
      <c r="G949" s="4" t="str">
        <f t="shared" si="57"/>
        <v>23rd</v>
      </c>
      <c r="H949" s="4" t="str">
        <f t="shared" si="58"/>
        <v>December</v>
      </c>
      <c r="I949" s="4" t="str">
        <f t="shared" si="59"/>
        <v>2021</v>
      </c>
      <c r="J949" s="10" t="s">
        <v>12</v>
      </c>
    </row>
    <row r="950" spans="1:10" x14ac:dyDescent="0.35">
      <c r="A950" s="9" t="s">
        <v>1593</v>
      </c>
      <c r="B950" s="3">
        <v>1</v>
      </c>
      <c r="C950" s="4" t="str">
        <f t="shared" si="56"/>
        <v>Bad</v>
      </c>
      <c r="D950" s="3" t="s">
        <v>1726</v>
      </c>
      <c r="E950" s="3" t="s">
        <v>1914</v>
      </c>
      <c r="F950" s="5" t="s">
        <v>1900</v>
      </c>
      <c r="G950" s="4" t="str">
        <f t="shared" si="57"/>
        <v>23rd</v>
      </c>
      <c r="H950" s="4" t="str">
        <f t="shared" si="58"/>
        <v>December</v>
      </c>
      <c r="I950" s="4" t="str">
        <f t="shared" si="59"/>
        <v>2021</v>
      </c>
      <c r="J950" s="10" t="s">
        <v>12</v>
      </c>
    </row>
    <row r="951" spans="1:10" x14ac:dyDescent="0.35">
      <c r="A951" s="9" t="s">
        <v>1593</v>
      </c>
      <c r="B951" s="3">
        <v>1</v>
      </c>
      <c r="C951" s="4" t="str">
        <f t="shared" si="56"/>
        <v>Bad</v>
      </c>
      <c r="D951" s="3" t="s">
        <v>1915</v>
      </c>
      <c r="E951" s="3" t="s">
        <v>1916</v>
      </c>
      <c r="F951" s="5" t="s">
        <v>1900</v>
      </c>
      <c r="G951" s="4" t="str">
        <f t="shared" si="57"/>
        <v>23rd</v>
      </c>
      <c r="H951" s="4" t="str">
        <f t="shared" si="58"/>
        <v>December</v>
      </c>
      <c r="I951" s="4" t="str">
        <f t="shared" si="59"/>
        <v>2021</v>
      </c>
      <c r="J951" s="10" t="s">
        <v>12</v>
      </c>
    </row>
    <row r="952" spans="1:10" x14ac:dyDescent="0.35">
      <c r="A952" s="9" t="s">
        <v>1593</v>
      </c>
      <c r="B952" s="3">
        <v>1</v>
      </c>
      <c r="C952" s="4" t="str">
        <f t="shared" si="56"/>
        <v>Bad</v>
      </c>
      <c r="D952" s="3" t="s">
        <v>1917</v>
      </c>
      <c r="E952" s="3" t="s">
        <v>1918</v>
      </c>
      <c r="F952" s="5" t="s">
        <v>1919</v>
      </c>
      <c r="G952" s="4" t="str">
        <f t="shared" si="57"/>
        <v>27th</v>
      </c>
      <c r="H952" s="4" t="str">
        <f t="shared" si="58"/>
        <v>November</v>
      </c>
      <c r="I952" s="4" t="str">
        <f t="shared" si="59"/>
        <v>2021</v>
      </c>
      <c r="J952" s="10" t="s">
        <v>12</v>
      </c>
    </row>
    <row r="953" spans="1:10" x14ac:dyDescent="0.35">
      <c r="A953" s="9" t="s">
        <v>1593</v>
      </c>
      <c r="B953" s="3">
        <v>3</v>
      </c>
      <c r="C953" s="4" t="str">
        <f t="shared" si="56"/>
        <v>Bad</v>
      </c>
      <c r="D953" s="3" t="s">
        <v>1920</v>
      </c>
      <c r="E953" s="3" t="s">
        <v>1921</v>
      </c>
      <c r="F953" s="5" t="s">
        <v>1919</v>
      </c>
      <c r="G953" s="4" t="str">
        <f t="shared" si="57"/>
        <v>27th</v>
      </c>
      <c r="H953" s="4" t="str">
        <f t="shared" si="58"/>
        <v>November</v>
      </c>
      <c r="I953" s="4" t="str">
        <f t="shared" si="59"/>
        <v>2021</v>
      </c>
      <c r="J953" s="10" t="s">
        <v>12</v>
      </c>
    </row>
    <row r="954" spans="1:10" x14ac:dyDescent="0.35">
      <c r="A954" s="9" t="s">
        <v>1593</v>
      </c>
      <c r="B954" s="3">
        <v>1</v>
      </c>
      <c r="C954" s="4" t="str">
        <f t="shared" si="56"/>
        <v>Bad</v>
      </c>
      <c r="D954" s="3" t="s">
        <v>1922</v>
      </c>
      <c r="E954" s="3" t="s">
        <v>1923</v>
      </c>
      <c r="F954" s="5" t="s">
        <v>1919</v>
      </c>
      <c r="G954" s="4" t="str">
        <f t="shared" si="57"/>
        <v>27th</v>
      </c>
      <c r="H954" s="4" t="str">
        <f t="shared" si="58"/>
        <v>November</v>
      </c>
      <c r="I954" s="4" t="str">
        <f t="shared" si="59"/>
        <v>2021</v>
      </c>
      <c r="J954" s="10" t="s">
        <v>12</v>
      </c>
    </row>
    <row r="955" spans="1:10" x14ac:dyDescent="0.35">
      <c r="A955" s="9" t="s">
        <v>1593</v>
      </c>
      <c r="B955" s="3">
        <v>1</v>
      </c>
      <c r="C955" s="4" t="str">
        <f t="shared" si="56"/>
        <v>Bad</v>
      </c>
      <c r="D955" s="3" t="s">
        <v>1924</v>
      </c>
      <c r="E955" s="3" t="s">
        <v>1925</v>
      </c>
      <c r="F955" s="5" t="s">
        <v>1919</v>
      </c>
      <c r="G955" s="4" t="str">
        <f t="shared" si="57"/>
        <v>27th</v>
      </c>
      <c r="H955" s="4" t="str">
        <f t="shared" si="58"/>
        <v>November</v>
      </c>
      <c r="I955" s="4" t="str">
        <f t="shared" si="59"/>
        <v>2021</v>
      </c>
      <c r="J955" s="10" t="s">
        <v>12</v>
      </c>
    </row>
    <row r="956" spans="1:10" x14ac:dyDescent="0.35">
      <c r="A956" s="9" t="s">
        <v>1593</v>
      </c>
      <c r="B956" s="3">
        <v>1</v>
      </c>
      <c r="C956" s="4" t="str">
        <f t="shared" si="56"/>
        <v>Bad</v>
      </c>
      <c r="D956" s="3" t="s">
        <v>1926</v>
      </c>
      <c r="E956" s="3" t="s">
        <v>1927</v>
      </c>
      <c r="F956" s="5" t="s">
        <v>1919</v>
      </c>
      <c r="G956" s="4" t="str">
        <f t="shared" si="57"/>
        <v>27th</v>
      </c>
      <c r="H956" s="4" t="str">
        <f t="shared" si="58"/>
        <v>November</v>
      </c>
      <c r="I956" s="4" t="str">
        <f t="shared" si="59"/>
        <v>2021</v>
      </c>
      <c r="J956" s="10" t="s">
        <v>12</v>
      </c>
    </row>
    <row r="957" spans="1:10" x14ac:dyDescent="0.35">
      <c r="A957" s="9" t="s">
        <v>1593</v>
      </c>
      <c r="B957" s="3">
        <v>1</v>
      </c>
      <c r="C957" s="4" t="str">
        <f t="shared" si="56"/>
        <v>Bad</v>
      </c>
      <c r="D957" s="3" t="s">
        <v>1928</v>
      </c>
      <c r="E957" s="3" t="s">
        <v>1929</v>
      </c>
      <c r="F957" s="5" t="s">
        <v>1919</v>
      </c>
      <c r="G957" s="4" t="str">
        <f t="shared" si="57"/>
        <v>27th</v>
      </c>
      <c r="H957" s="4" t="str">
        <f t="shared" si="58"/>
        <v>November</v>
      </c>
      <c r="I957" s="4" t="str">
        <f t="shared" si="59"/>
        <v>2021</v>
      </c>
      <c r="J957" s="10" t="s">
        <v>12</v>
      </c>
    </row>
    <row r="958" spans="1:10" x14ac:dyDescent="0.35">
      <c r="A958" s="9" t="s">
        <v>1593</v>
      </c>
      <c r="B958" s="3">
        <v>1</v>
      </c>
      <c r="C958" s="4" t="str">
        <f t="shared" si="56"/>
        <v>Bad</v>
      </c>
      <c r="D958" s="3" t="s">
        <v>1660</v>
      </c>
      <c r="E958" s="3" t="s">
        <v>1930</v>
      </c>
      <c r="F958" s="5" t="s">
        <v>1919</v>
      </c>
      <c r="G958" s="4" t="str">
        <f t="shared" si="57"/>
        <v>27th</v>
      </c>
      <c r="H958" s="4" t="str">
        <f t="shared" si="58"/>
        <v>November</v>
      </c>
      <c r="I958" s="4" t="str">
        <f t="shared" si="59"/>
        <v>2021</v>
      </c>
      <c r="J958" s="10" t="s">
        <v>12</v>
      </c>
    </row>
    <row r="959" spans="1:10" x14ac:dyDescent="0.35">
      <c r="A959" s="9" t="s">
        <v>1593</v>
      </c>
      <c r="B959" s="3">
        <v>1</v>
      </c>
      <c r="C959" s="4" t="str">
        <f t="shared" si="56"/>
        <v>Bad</v>
      </c>
      <c r="D959" s="3" t="s">
        <v>1931</v>
      </c>
      <c r="E959" s="3" t="s">
        <v>1932</v>
      </c>
      <c r="F959" s="5" t="s">
        <v>1919</v>
      </c>
      <c r="G959" s="4" t="str">
        <f t="shared" si="57"/>
        <v>27th</v>
      </c>
      <c r="H959" s="4" t="str">
        <f t="shared" si="58"/>
        <v>November</v>
      </c>
      <c r="I959" s="4" t="str">
        <f t="shared" si="59"/>
        <v>2021</v>
      </c>
      <c r="J959" s="10" t="s">
        <v>12</v>
      </c>
    </row>
    <row r="960" spans="1:10" x14ac:dyDescent="0.35">
      <c r="A960" s="9" t="s">
        <v>1593</v>
      </c>
      <c r="B960" s="3">
        <v>2</v>
      </c>
      <c r="C960" s="4" t="str">
        <f t="shared" si="56"/>
        <v>Bad</v>
      </c>
      <c r="D960" s="3" t="s">
        <v>1933</v>
      </c>
      <c r="E960" s="3" t="s">
        <v>1934</v>
      </c>
      <c r="F960" s="5" t="s">
        <v>1919</v>
      </c>
      <c r="G960" s="4" t="str">
        <f t="shared" si="57"/>
        <v>27th</v>
      </c>
      <c r="H960" s="4" t="str">
        <f t="shared" si="58"/>
        <v>November</v>
      </c>
      <c r="I960" s="4" t="str">
        <f t="shared" si="59"/>
        <v>2021</v>
      </c>
      <c r="J960" s="10" t="s">
        <v>12</v>
      </c>
    </row>
    <row r="961" spans="1:10" x14ac:dyDescent="0.35">
      <c r="A961" s="9" t="s">
        <v>1593</v>
      </c>
      <c r="B961" s="3">
        <v>1</v>
      </c>
      <c r="C961" s="4" t="str">
        <f t="shared" si="56"/>
        <v>Bad</v>
      </c>
      <c r="D961" s="3" t="s">
        <v>1935</v>
      </c>
      <c r="E961" s="3" t="s">
        <v>1936</v>
      </c>
      <c r="F961" s="5" t="s">
        <v>1919</v>
      </c>
      <c r="G961" s="4" t="str">
        <f t="shared" si="57"/>
        <v>27th</v>
      </c>
      <c r="H961" s="4" t="str">
        <f t="shared" si="58"/>
        <v>November</v>
      </c>
      <c r="I961" s="4" t="str">
        <f t="shared" si="59"/>
        <v>2021</v>
      </c>
      <c r="J961" s="10" t="s">
        <v>12</v>
      </c>
    </row>
    <row r="962" spans="1:10" x14ac:dyDescent="0.35">
      <c r="A962" s="9" t="s">
        <v>1937</v>
      </c>
      <c r="B962" s="3">
        <v>2</v>
      </c>
      <c r="C962" s="4" t="str">
        <f t="shared" si="56"/>
        <v>Bad</v>
      </c>
      <c r="D962" s="3" t="s">
        <v>1938</v>
      </c>
      <c r="E962" s="3" t="s">
        <v>1939</v>
      </c>
      <c r="F962" s="5" t="s">
        <v>1940</v>
      </c>
      <c r="G962" s="4" t="str">
        <f t="shared" si="57"/>
        <v>23rd</v>
      </c>
      <c r="H962" s="4" t="str">
        <f t="shared" si="58"/>
        <v>September</v>
      </c>
      <c r="I962" s="4" t="str">
        <f t="shared" si="59"/>
        <v>2024</v>
      </c>
      <c r="J962" s="10" t="s">
        <v>12</v>
      </c>
    </row>
    <row r="963" spans="1:10" x14ac:dyDescent="0.35">
      <c r="A963" s="9" t="s">
        <v>1937</v>
      </c>
      <c r="B963" s="3">
        <v>2</v>
      </c>
      <c r="C963" s="4" t="str">
        <f t="shared" ref="C963:C1026" si="60">IF(B963&gt;=8,"Good",IF(B963&gt;=5,"Neutral","Bad"))</f>
        <v>Bad</v>
      </c>
      <c r="D963" s="3" t="s">
        <v>1941</v>
      </c>
      <c r="E963" s="3" t="s">
        <v>1942</v>
      </c>
      <c r="F963" s="5" t="s">
        <v>1940</v>
      </c>
      <c r="G963" s="4" t="str">
        <f t="shared" ref="G963:G1026" si="61">LEFT(F963, FIND(" ", F963)-1)</f>
        <v>23rd</v>
      </c>
      <c r="H963" s="4" t="str">
        <f t="shared" ref="H963:H1026" si="62">TRIM(MID(F963, FIND(" ", F963)+1, FIND(" ", F963, FIND(" ", F963)+1) - FIND(" ", F963)-1))</f>
        <v>September</v>
      </c>
      <c r="I963" s="4" t="str">
        <f t="shared" ref="I963:I1026" si="63">RIGHT(F963, 4)</f>
        <v>2024</v>
      </c>
      <c r="J963" s="10" t="s">
        <v>12</v>
      </c>
    </row>
    <row r="964" spans="1:10" x14ac:dyDescent="0.35">
      <c r="A964" s="9" t="s">
        <v>1937</v>
      </c>
      <c r="B964" s="3">
        <v>3</v>
      </c>
      <c r="C964" s="4" t="str">
        <f t="shared" si="60"/>
        <v>Bad</v>
      </c>
      <c r="D964" s="3" t="s">
        <v>1943</v>
      </c>
      <c r="E964" s="3" t="s">
        <v>1944</v>
      </c>
      <c r="F964" s="5" t="s">
        <v>1940</v>
      </c>
      <c r="G964" s="4" t="str">
        <f t="shared" si="61"/>
        <v>23rd</v>
      </c>
      <c r="H964" s="4" t="str">
        <f t="shared" si="62"/>
        <v>September</v>
      </c>
      <c r="I964" s="4" t="str">
        <f t="shared" si="63"/>
        <v>2024</v>
      </c>
      <c r="J964" s="10" t="s">
        <v>12</v>
      </c>
    </row>
    <row r="965" spans="1:10" x14ac:dyDescent="0.35">
      <c r="A965" s="9" t="s">
        <v>1937</v>
      </c>
      <c r="B965" s="3">
        <v>1</v>
      </c>
      <c r="C965" s="4" t="str">
        <f t="shared" si="60"/>
        <v>Bad</v>
      </c>
      <c r="D965" s="3" t="s">
        <v>1945</v>
      </c>
      <c r="E965" s="3" t="s">
        <v>1946</v>
      </c>
      <c r="F965" s="5" t="s">
        <v>1940</v>
      </c>
      <c r="G965" s="4" t="str">
        <f t="shared" si="61"/>
        <v>23rd</v>
      </c>
      <c r="H965" s="4" t="str">
        <f t="shared" si="62"/>
        <v>September</v>
      </c>
      <c r="I965" s="4" t="str">
        <f t="shared" si="63"/>
        <v>2024</v>
      </c>
      <c r="J965" s="10" t="s">
        <v>12</v>
      </c>
    </row>
    <row r="966" spans="1:10" x14ac:dyDescent="0.35">
      <c r="A966" s="9" t="s">
        <v>1937</v>
      </c>
      <c r="B966" s="3">
        <v>2</v>
      </c>
      <c r="C966" s="4" t="str">
        <f t="shared" si="60"/>
        <v>Bad</v>
      </c>
      <c r="D966" s="3" t="s">
        <v>1947</v>
      </c>
      <c r="E966" s="3" t="s">
        <v>1948</v>
      </c>
      <c r="F966" s="5" t="s">
        <v>1940</v>
      </c>
      <c r="G966" s="4" t="str">
        <f t="shared" si="61"/>
        <v>23rd</v>
      </c>
      <c r="H966" s="4" t="str">
        <f t="shared" si="62"/>
        <v>September</v>
      </c>
      <c r="I966" s="4" t="str">
        <f t="shared" si="63"/>
        <v>2024</v>
      </c>
      <c r="J966" s="10" t="s">
        <v>12</v>
      </c>
    </row>
    <row r="967" spans="1:10" x14ac:dyDescent="0.35">
      <c r="A967" s="9" t="s">
        <v>1937</v>
      </c>
      <c r="B967" s="3">
        <v>2</v>
      </c>
      <c r="C967" s="4" t="str">
        <f t="shared" si="60"/>
        <v>Bad</v>
      </c>
      <c r="D967" s="3" t="s">
        <v>1949</v>
      </c>
      <c r="E967" s="3" t="s">
        <v>1950</v>
      </c>
      <c r="F967" s="5" t="s">
        <v>1940</v>
      </c>
      <c r="G967" s="4" t="str">
        <f t="shared" si="61"/>
        <v>23rd</v>
      </c>
      <c r="H967" s="4" t="str">
        <f t="shared" si="62"/>
        <v>September</v>
      </c>
      <c r="I967" s="4" t="str">
        <f t="shared" si="63"/>
        <v>2024</v>
      </c>
      <c r="J967" s="10" t="s">
        <v>12</v>
      </c>
    </row>
    <row r="968" spans="1:10" x14ac:dyDescent="0.35">
      <c r="A968" s="9" t="s">
        <v>1937</v>
      </c>
      <c r="B968" s="3">
        <v>1</v>
      </c>
      <c r="C968" s="4" t="str">
        <f t="shared" si="60"/>
        <v>Bad</v>
      </c>
      <c r="D968" s="3" t="s">
        <v>1951</v>
      </c>
      <c r="E968" s="3" t="s">
        <v>1952</v>
      </c>
      <c r="F968" s="5" t="s">
        <v>1940</v>
      </c>
      <c r="G968" s="4" t="str">
        <f t="shared" si="61"/>
        <v>23rd</v>
      </c>
      <c r="H968" s="4" t="str">
        <f t="shared" si="62"/>
        <v>September</v>
      </c>
      <c r="I968" s="4" t="str">
        <f t="shared" si="63"/>
        <v>2024</v>
      </c>
      <c r="J968" s="10" t="s">
        <v>12</v>
      </c>
    </row>
    <row r="969" spans="1:10" x14ac:dyDescent="0.35">
      <c r="A969" s="9" t="s">
        <v>1937</v>
      </c>
      <c r="B969" s="3">
        <v>1</v>
      </c>
      <c r="C969" s="4" t="str">
        <f t="shared" si="60"/>
        <v>Bad</v>
      </c>
      <c r="D969" s="3" t="s">
        <v>1953</v>
      </c>
      <c r="E969" s="3" t="s">
        <v>1954</v>
      </c>
      <c r="F969" s="5" t="s">
        <v>1940</v>
      </c>
      <c r="G969" s="4" t="str">
        <f t="shared" si="61"/>
        <v>23rd</v>
      </c>
      <c r="H969" s="4" t="str">
        <f t="shared" si="62"/>
        <v>September</v>
      </c>
      <c r="I969" s="4" t="str">
        <f t="shared" si="63"/>
        <v>2024</v>
      </c>
      <c r="J969" s="10" t="s">
        <v>12</v>
      </c>
    </row>
    <row r="970" spans="1:10" x14ac:dyDescent="0.35">
      <c r="A970" s="9" t="s">
        <v>1937</v>
      </c>
      <c r="B970" s="3">
        <v>10</v>
      </c>
      <c r="C970" s="4" t="str">
        <f t="shared" si="60"/>
        <v>Good</v>
      </c>
      <c r="D970" s="3" t="s">
        <v>1955</v>
      </c>
      <c r="E970" s="3" t="s">
        <v>1956</v>
      </c>
      <c r="F970" s="5" t="s">
        <v>1940</v>
      </c>
      <c r="G970" s="4" t="str">
        <f t="shared" si="61"/>
        <v>23rd</v>
      </c>
      <c r="H970" s="4" t="str">
        <f t="shared" si="62"/>
        <v>September</v>
      </c>
      <c r="I970" s="4" t="str">
        <f t="shared" si="63"/>
        <v>2024</v>
      </c>
      <c r="J970" s="10" t="s">
        <v>9</v>
      </c>
    </row>
    <row r="971" spans="1:10" x14ac:dyDescent="0.35">
      <c r="A971" s="9" t="s">
        <v>1937</v>
      </c>
      <c r="B971" s="3">
        <v>5</v>
      </c>
      <c r="C971" s="4" t="str">
        <f t="shared" si="60"/>
        <v>Neutral</v>
      </c>
      <c r="D971" s="3" t="s">
        <v>1957</v>
      </c>
      <c r="E971" s="3" t="s">
        <v>1958</v>
      </c>
      <c r="F971" s="5" t="s">
        <v>1940</v>
      </c>
      <c r="G971" s="4" t="str">
        <f t="shared" si="61"/>
        <v>23rd</v>
      </c>
      <c r="H971" s="4" t="str">
        <f t="shared" si="62"/>
        <v>September</v>
      </c>
      <c r="I971" s="4" t="str">
        <f t="shared" si="63"/>
        <v>2024</v>
      </c>
      <c r="J971" s="10" t="s">
        <v>12</v>
      </c>
    </row>
    <row r="972" spans="1:10" x14ac:dyDescent="0.35">
      <c r="A972" s="9" t="s">
        <v>1937</v>
      </c>
      <c r="B972" s="3">
        <v>2</v>
      </c>
      <c r="C972" s="4" t="str">
        <f t="shared" si="60"/>
        <v>Bad</v>
      </c>
      <c r="D972" s="3" t="s">
        <v>1959</v>
      </c>
      <c r="E972" s="3" t="s">
        <v>1960</v>
      </c>
      <c r="F972" s="5" t="s">
        <v>1961</v>
      </c>
      <c r="G972" s="4" t="str">
        <f t="shared" si="61"/>
        <v>10th</v>
      </c>
      <c r="H972" s="4" t="str">
        <f t="shared" si="62"/>
        <v>August</v>
      </c>
      <c r="I972" s="4" t="str">
        <f t="shared" si="63"/>
        <v>2024</v>
      </c>
      <c r="J972" s="10" t="s">
        <v>12</v>
      </c>
    </row>
    <row r="973" spans="1:10" x14ac:dyDescent="0.35">
      <c r="A973" s="9" t="s">
        <v>1937</v>
      </c>
      <c r="B973" s="3">
        <v>1</v>
      </c>
      <c r="C973" s="4" t="str">
        <f t="shared" si="60"/>
        <v>Bad</v>
      </c>
      <c r="D973" s="3" t="s">
        <v>1962</v>
      </c>
      <c r="E973" s="3" t="s">
        <v>1963</v>
      </c>
      <c r="F973" s="5" t="s">
        <v>1961</v>
      </c>
      <c r="G973" s="4" t="str">
        <f t="shared" si="61"/>
        <v>10th</v>
      </c>
      <c r="H973" s="4" t="str">
        <f t="shared" si="62"/>
        <v>August</v>
      </c>
      <c r="I973" s="4" t="str">
        <f t="shared" si="63"/>
        <v>2024</v>
      </c>
      <c r="J973" s="10" t="s">
        <v>12</v>
      </c>
    </row>
    <row r="974" spans="1:10" x14ac:dyDescent="0.35">
      <c r="A974" s="9" t="s">
        <v>1937</v>
      </c>
      <c r="B974" s="3">
        <v>1</v>
      </c>
      <c r="C974" s="4" t="str">
        <f t="shared" si="60"/>
        <v>Bad</v>
      </c>
      <c r="D974" s="3" t="s">
        <v>1964</v>
      </c>
      <c r="E974" s="3" t="s">
        <v>1965</v>
      </c>
      <c r="F974" s="5" t="s">
        <v>1961</v>
      </c>
      <c r="G974" s="4" t="str">
        <f t="shared" si="61"/>
        <v>10th</v>
      </c>
      <c r="H974" s="4" t="str">
        <f t="shared" si="62"/>
        <v>August</v>
      </c>
      <c r="I974" s="4" t="str">
        <f t="shared" si="63"/>
        <v>2024</v>
      </c>
      <c r="J974" s="10" t="s">
        <v>12</v>
      </c>
    </row>
    <row r="975" spans="1:10" x14ac:dyDescent="0.35">
      <c r="A975" s="9" t="s">
        <v>1937</v>
      </c>
      <c r="B975" s="3">
        <v>2</v>
      </c>
      <c r="C975" s="4" t="str">
        <f t="shared" si="60"/>
        <v>Bad</v>
      </c>
      <c r="D975" s="3" t="s">
        <v>1966</v>
      </c>
      <c r="E975" s="3" t="s">
        <v>1967</v>
      </c>
      <c r="F975" s="5" t="s">
        <v>1961</v>
      </c>
      <c r="G975" s="4" t="str">
        <f t="shared" si="61"/>
        <v>10th</v>
      </c>
      <c r="H975" s="4" t="str">
        <f t="shared" si="62"/>
        <v>August</v>
      </c>
      <c r="I975" s="4" t="str">
        <f t="shared" si="63"/>
        <v>2024</v>
      </c>
      <c r="J975" s="10" t="s">
        <v>12</v>
      </c>
    </row>
    <row r="976" spans="1:10" x14ac:dyDescent="0.35">
      <c r="A976" s="9" t="s">
        <v>1937</v>
      </c>
      <c r="B976" s="3">
        <v>1</v>
      </c>
      <c r="C976" s="4" t="str">
        <f t="shared" si="60"/>
        <v>Bad</v>
      </c>
      <c r="D976" s="3" t="s">
        <v>1968</v>
      </c>
      <c r="E976" s="3" t="s">
        <v>1969</v>
      </c>
      <c r="F976" s="5" t="s">
        <v>1961</v>
      </c>
      <c r="G976" s="4" t="str">
        <f t="shared" si="61"/>
        <v>10th</v>
      </c>
      <c r="H976" s="4" t="str">
        <f t="shared" si="62"/>
        <v>August</v>
      </c>
      <c r="I976" s="4" t="str">
        <f t="shared" si="63"/>
        <v>2024</v>
      </c>
      <c r="J976" s="10" t="s">
        <v>12</v>
      </c>
    </row>
    <row r="977" spans="1:10" x14ac:dyDescent="0.35">
      <c r="A977" s="9" t="s">
        <v>1937</v>
      </c>
      <c r="B977" s="3">
        <v>1</v>
      </c>
      <c r="C977" s="4" t="str">
        <f t="shared" si="60"/>
        <v>Bad</v>
      </c>
      <c r="D977" s="3" t="s">
        <v>1970</v>
      </c>
      <c r="E977" s="3" t="s">
        <v>1971</v>
      </c>
      <c r="F977" s="5" t="s">
        <v>1961</v>
      </c>
      <c r="G977" s="4" t="str">
        <f t="shared" si="61"/>
        <v>10th</v>
      </c>
      <c r="H977" s="4" t="str">
        <f t="shared" si="62"/>
        <v>August</v>
      </c>
      <c r="I977" s="4" t="str">
        <f t="shared" si="63"/>
        <v>2024</v>
      </c>
      <c r="J977" s="10" t="s">
        <v>12</v>
      </c>
    </row>
    <row r="978" spans="1:10" x14ac:dyDescent="0.35">
      <c r="A978" s="9" t="s">
        <v>1937</v>
      </c>
      <c r="B978" s="3">
        <v>5</v>
      </c>
      <c r="C978" s="4" t="str">
        <f t="shared" si="60"/>
        <v>Neutral</v>
      </c>
      <c r="D978" s="3" t="s">
        <v>1972</v>
      </c>
      <c r="E978" s="3" t="s">
        <v>1973</v>
      </c>
      <c r="F978" s="5" t="s">
        <v>1961</v>
      </c>
      <c r="G978" s="4" t="str">
        <f t="shared" si="61"/>
        <v>10th</v>
      </c>
      <c r="H978" s="4" t="str">
        <f t="shared" si="62"/>
        <v>August</v>
      </c>
      <c r="I978" s="4" t="str">
        <f t="shared" si="63"/>
        <v>2024</v>
      </c>
      <c r="J978" s="10" t="s">
        <v>12</v>
      </c>
    </row>
    <row r="979" spans="1:10" x14ac:dyDescent="0.35">
      <c r="A979" s="9" t="s">
        <v>1937</v>
      </c>
      <c r="B979" s="3">
        <v>1</v>
      </c>
      <c r="C979" s="4" t="str">
        <f t="shared" si="60"/>
        <v>Bad</v>
      </c>
      <c r="D979" s="3" t="s">
        <v>1974</v>
      </c>
      <c r="E979" s="3" t="s">
        <v>1975</v>
      </c>
      <c r="F979" s="5" t="s">
        <v>1961</v>
      </c>
      <c r="G979" s="4" t="str">
        <f t="shared" si="61"/>
        <v>10th</v>
      </c>
      <c r="H979" s="4" t="str">
        <f t="shared" si="62"/>
        <v>August</v>
      </c>
      <c r="I979" s="4" t="str">
        <f t="shared" si="63"/>
        <v>2024</v>
      </c>
      <c r="J979" s="10" t="s">
        <v>12</v>
      </c>
    </row>
    <row r="980" spans="1:10" x14ac:dyDescent="0.35">
      <c r="A980" s="9" t="s">
        <v>1937</v>
      </c>
      <c r="B980" s="3">
        <v>1</v>
      </c>
      <c r="C980" s="4" t="str">
        <f t="shared" si="60"/>
        <v>Bad</v>
      </c>
      <c r="D980" s="3" t="s">
        <v>1976</v>
      </c>
      <c r="E980" s="3" t="s">
        <v>1977</v>
      </c>
      <c r="F980" s="5" t="s">
        <v>1961</v>
      </c>
      <c r="G980" s="4" t="str">
        <f t="shared" si="61"/>
        <v>10th</v>
      </c>
      <c r="H980" s="4" t="str">
        <f t="shared" si="62"/>
        <v>August</v>
      </c>
      <c r="I980" s="4" t="str">
        <f t="shared" si="63"/>
        <v>2024</v>
      </c>
      <c r="J980" s="10" t="s">
        <v>12</v>
      </c>
    </row>
    <row r="981" spans="1:10" x14ac:dyDescent="0.35">
      <c r="A981" s="9" t="s">
        <v>1937</v>
      </c>
      <c r="B981" s="3">
        <v>2</v>
      </c>
      <c r="C981" s="4" t="str">
        <f t="shared" si="60"/>
        <v>Bad</v>
      </c>
      <c r="D981" s="3" t="s">
        <v>1978</v>
      </c>
      <c r="E981" s="3" t="s">
        <v>1979</v>
      </c>
      <c r="F981" s="5" t="s">
        <v>1961</v>
      </c>
      <c r="G981" s="4" t="str">
        <f t="shared" si="61"/>
        <v>10th</v>
      </c>
      <c r="H981" s="4" t="str">
        <f t="shared" si="62"/>
        <v>August</v>
      </c>
      <c r="I981" s="4" t="str">
        <f t="shared" si="63"/>
        <v>2024</v>
      </c>
      <c r="J981" s="10" t="s">
        <v>12</v>
      </c>
    </row>
    <row r="982" spans="1:10" x14ac:dyDescent="0.35">
      <c r="A982" s="9" t="s">
        <v>1937</v>
      </c>
      <c r="B982" s="3">
        <v>1</v>
      </c>
      <c r="C982" s="4" t="str">
        <f t="shared" si="60"/>
        <v>Bad</v>
      </c>
      <c r="D982" s="3" t="s">
        <v>1980</v>
      </c>
      <c r="E982" s="3" t="s">
        <v>1981</v>
      </c>
      <c r="F982" s="5" t="s">
        <v>1982</v>
      </c>
      <c r="G982" s="4" t="str">
        <f t="shared" si="61"/>
        <v>24th</v>
      </c>
      <c r="H982" s="4" t="str">
        <f t="shared" si="62"/>
        <v>May</v>
      </c>
      <c r="I982" s="4" t="str">
        <f t="shared" si="63"/>
        <v>2024</v>
      </c>
      <c r="J982" s="10" t="s">
        <v>12</v>
      </c>
    </row>
    <row r="983" spans="1:10" x14ac:dyDescent="0.35">
      <c r="A983" s="9" t="s">
        <v>1937</v>
      </c>
      <c r="B983" s="3">
        <v>6</v>
      </c>
      <c r="C983" s="4" t="str">
        <f t="shared" si="60"/>
        <v>Neutral</v>
      </c>
      <c r="D983" s="3" t="s">
        <v>1983</v>
      </c>
      <c r="E983" s="3" t="s">
        <v>1984</v>
      </c>
      <c r="F983" s="5" t="s">
        <v>1982</v>
      </c>
      <c r="G983" s="4" t="str">
        <f t="shared" si="61"/>
        <v>24th</v>
      </c>
      <c r="H983" s="4" t="str">
        <f t="shared" si="62"/>
        <v>May</v>
      </c>
      <c r="I983" s="4" t="str">
        <f t="shared" si="63"/>
        <v>2024</v>
      </c>
      <c r="J983" s="10" t="s">
        <v>9</v>
      </c>
    </row>
    <row r="984" spans="1:10" x14ac:dyDescent="0.35">
      <c r="A984" s="9" t="s">
        <v>1937</v>
      </c>
      <c r="B984" s="3">
        <v>10</v>
      </c>
      <c r="C984" s="4" t="str">
        <f t="shared" si="60"/>
        <v>Good</v>
      </c>
      <c r="D984" s="3" t="s">
        <v>1985</v>
      </c>
      <c r="E984" s="3" t="s">
        <v>1986</v>
      </c>
      <c r="F984" s="5" t="s">
        <v>1982</v>
      </c>
      <c r="G984" s="4" t="str">
        <f t="shared" si="61"/>
        <v>24th</v>
      </c>
      <c r="H984" s="4" t="str">
        <f t="shared" si="62"/>
        <v>May</v>
      </c>
      <c r="I984" s="4" t="str">
        <f t="shared" si="63"/>
        <v>2024</v>
      </c>
      <c r="J984" s="10" t="s">
        <v>9</v>
      </c>
    </row>
    <row r="985" spans="1:10" x14ac:dyDescent="0.35">
      <c r="A985" s="9" t="s">
        <v>1937</v>
      </c>
      <c r="B985" s="3">
        <v>7</v>
      </c>
      <c r="C985" s="4" t="str">
        <f t="shared" si="60"/>
        <v>Neutral</v>
      </c>
      <c r="D985" s="3" t="s">
        <v>1987</v>
      </c>
      <c r="E985" s="3" t="s">
        <v>259</v>
      </c>
      <c r="F985" s="5" t="s">
        <v>1982</v>
      </c>
      <c r="G985" s="4" t="str">
        <f t="shared" si="61"/>
        <v>24th</v>
      </c>
      <c r="H985" s="4" t="str">
        <f t="shared" si="62"/>
        <v>May</v>
      </c>
      <c r="I985" s="4" t="str">
        <f t="shared" si="63"/>
        <v>2024</v>
      </c>
      <c r="J985" s="10" t="s">
        <v>9</v>
      </c>
    </row>
    <row r="986" spans="1:10" x14ac:dyDescent="0.35">
      <c r="A986" s="9" t="s">
        <v>1937</v>
      </c>
      <c r="B986" s="3">
        <v>8</v>
      </c>
      <c r="C986" s="4" t="str">
        <f t="shared" si="60"/>
        <v>Good</v>
      </c>
      <c r="D986" s="3" t="s">
        <v>1988</v>
      </c>
      <c r="E986" s="3" t="s">
        <v>1989</v>
      </c>
      <c r="F986" s="5" t="s">
        <v>1982</v>
      </c>
      <c r="G986" s="4" t="str">
        <f t="shared" si="61"/>
        <v>24th</v>
      </c>
      <c r="H986" s="4" t="str">
        <f t="shared" si="62"/>
        <v>May</v>
      </c>
      <c r="I986" s="4" t="str">
        <f t="shared" si="63"/>
        <v>2024</v>
      </c>
      <c r="J986" s="10" t="s">
        <v>9</v>
      </c>
    </row>
    <row r="987" spans="1:10" x14ac:dyDescent="0.35">
      <c r="A987" s="9" t="s">
        <v>1937</v>
      </c>
      <c r="B987" s="3">
        <v>8</v>
      </c>
      <c r="C987" s="4" t="str">
        <f t="shared" si="60"/>
        <v>Good</v>
      </c>
      <c r="D987" s="3" t="s">
        <v>1990</v>
      </c>
      <c r="E987" s="3" t="s">
        <v>1991</v>
      </c>
      <c r="F987" s="5" t="s">
        <v>1982</v>
      </c>
      <c r="G987" s="4" t="str">
        <f t="shared" si="61"/>
        <v>24th</v>
      </c>
      <c r="H987" s="4" t="str">
        <f t="shared" si="62"/>
        <v>May</v>
      </c>
      <c r="I987" s="4" t="str">
        <f t="shared" si="63"/>
        <v>2024</v>
      </c>
      <c r="J987" s="10" t="s">
        <v>9</v>
      </c>
    </row>
    <row r="988" spans="1:10" x14ac:dyDescent="0.35">
      <c r="A988" s="9" t="s">
        <v>1937</v>
      </c>
      <c r="B988" s="3">
        <v>10</v>
      </c>
      <c r="C988" s="4" t="str">
        <f t="shared" si="60"/>
        <v>Good</v>
      </c>
      <c r="D988" s="3" t="s">
        <v>1992</v>
      </c>
      <c r="E988" s="3" t="s">
        <v>1993</v>
      </c>
      <c r="F988" s="5" t="s">
        <v>1982</v>
      </c>
      <c r="G988" s="4" t="str">
        <f t="shared" si="61"/>
        <v>24th</v>
      </c>
      <c r="H988" s="4" t="str">
        <f t="shared" si="62"/>
        <v>May</v>
      </c>
      <c r="I988" s="4" t="str">
        <f t="shared" si="63"/>
        <v>2024</v>
      </c>
      <c r="J988" s="10" t="s">
        <v>9</v>
      </c>
    </row>
    <row r="989" spans="1:10" x14ac:dyDescent="0.35">
      <c r="A989" s="9" t="s">
        <v>1937</v>
      </c>
      <c r="B989" s="3">
        <v>1</v>
      </c>
      <c r="C989" s="4" t="str">
        <f t="shared" si="60"/>
        <v>Bad</v>
      </c>
      <c r="D989" s="3" t="s">
        <v>1994</v>
      </c>
      <c r="E989" s="3" t="s">
        <v>1995</v>
      </c>
      <c r="F989" s="5" t="s">
        <v>1982</v>
      </c>
      <c r="G989" s="4" t="str">
        <f t="shared" si="61"/>
        <v>24th</v>
      </c>
      <c r="H989" s="4" t="str">
        <f t="shared" si="62"/>
        <v>May</v>
      </c>
      <c r="I989" s="4" t="str">
        <f t="shared" si="63"/>
        <v>2024</v>
      </c>
      <c r="J989" s="10" t="s">
        <v>12</v>
      </c>
    </row>
    <row r="990" spans="1:10" x14ac:dyDescent="0.35">
      <c r="A990" s="9" t="s">
        <v>1937</v>
      </c>
      <c r="B990" s="3">
        <v>3</v>
      </c>
      <c r="C990" s="4" t="str">
        <f t="shared" si="60"/>
        <v>Bad</v>
      </c>
      <c r="D990" s="3" t="s">
        <v>1996</v>
      </c>
      <c r="E990" s="3" t="s">
        <v>1997</v>
      </c>
      <c r="F990" s="5" t="s">
        <v>1982</v>
      </c>
      <c r="G990" s="4" t="str">
        <f t="shared" si="61"/>
        <v>24th</v>
      </c>
      <c r="H990" s="4" t="str">
        <f t="shared" si="62"/>
        <v>May</v>
      </c>
      <c r="I990" s="4" t="str">
        <f t="shared" si="63"/>
        <v>2024</v>
      </c>
      <c r="J990" s="10" t="s">
        <v>12</v>
      </c>
    </row>
    <row r="991" spans="1:10" x14ac:dyDescent="0.35">
      <c r="A991" s="9" t="s">
        <v>1937</v>
      </c>
      <c r="B991" s="3">
        <v>2</v>
      </c>
      <c r="C991" s="4" t="str">
        <f t="shared" si="60"/>
        <v>Bad</v>
      </c>
      <c r="D991" s="3" t="s">
        <v>1998</v>
      </c>
      <c r="E991" s="3" t="s">
        <v>1999</v>
      </c>
      <c r="F991" s="5" t="s">
        <v>1982</v>
      </c>
      <c r="G991" s="4" t="str">
        <f t="shared" si="61"/>
        <v>24th</v>
      </c>
      <c r="H991" s="4" t="str">
        <f t="shared" si="62"/>
        <v>May</v>
      </c>
      <c r="I991" s="4" t="str">
        <f t="shared" si="63"/>
        <v>2024</v>
      </c>
      <c r="J991" s="10" t="s">
        <v>12</v>
      </c>
    </row>
    <row r="992" spans="1:10" x14ac:dyDescent="0.35">
      <c r="A992" s="9" t="s">
        <v>1937</v>
      </c>
      <c r="B992" s="3">
        <v>1</v>
      </c>
      <c r="C992" s="4" t="str">
        <f t="shared" si="60"/>
        <v>Bad</v>
      </c>
      <c r="D992" s="3" t="s">
        <v>2000</v>
      </c>
      <c r="E992" s="3" t="s">
        <v>2001</v>
      </c>
      <c r="F992" s="5" t="s">
        <v>2002</v>
      </c>
      <c r="G992" s="4" t="str">
        <f t="shared" si="61"/>
        <v>5th</v>
      </c>
      <c r="H992" s="4" t="str">
        <f t="shared" si="62"/>
        <v>March</v>
      </c>
      <c r="I992" s="4" t="str">
        <f t="shared" si="63"/>
        <v>2024</v>
      </c>
      <c r="J992" s="10" t="s">
        <v>12</v>
      </c>
    </row>
    <row r="993" spans="1:10" x14ac:dyDescent="0.35">
      <c r="A993" s="9" t="s">
        <v>1937</v>
      </c>
      <c r="B993" s="3">
        <v>1</v>
      </c>
      <c r="C993" s="4" t="str">
        <f t="shared" si="60"/>
        <v>Bad</v>
      </c>
      <c r="D993" s="3" t="s">
        <v>2003</v>
      </c>
      <c r="E993" s="3" t="s">
        <v>2004</v>
      </c>
      <c r="F993" s="5" t="s">
        <v>2002</v>
      </c>
      <c r="G993" s="4" t="str">
        <f t="shared" si="61"/>
        <v>5th</v>
      </c>
      <c r="H993" s="4" t="str">
        <f t="shared" si="62"/>
        <v>March</v>
      </c>
      <c r="I993" s="4" t="str">
        <f t="shared" si="63"/>
        <v>2024</v>
      </c>
      <c r="J993" s="10" t="s">
        <v>12</v>
      </c>
    </row>
    <row r="994" spans="1:10" x14ac:dyDescent="0.35">
      <c r="A994" s="9" t="s">
        <v>1937</v>
      </c>
      <c r="B994" s="3">
        <v>1</v>
      </c>
      <c r="C994" s="4" t="str">
        <f t="shared" si="60"/>
        <v>Bad</v>
      </c>
      <c r="D994" s="3" t="s">
        <v>2005</v>
      </c>
      <c r="E994" s="3" t="s">
        <v>2006</v>
      </c>
      <c r="F994" s="5" t="s">
        <v>2002</v>
      </c>
      <c r="G994" s="4" t="str">
        <f t="shared" si="61"/>
        <v>5th</v>
      </c>
      <c r="H994" s="4" t="str">
        <f t="shared" si="62"/>
        <v>March</v>
      </c>
      <c r="I994" s="4" t="str">
        <f t="shared" si="63"/>
        <v>2024</v>
      </c>
      <c r="J994" s="10" t="s">
        <v>12</v>
      </c>
    </row>
    <row r="995" spans="1:10" x14ac:dyDescent="0.35">
      <c r="A995" s="9" t="s">
        <v>1937</v>
      </c>
      <c r="B995" s="3">
        <v>2</v>
      </c>
      <c r="C995" s="4" t="str">
        <f t="shared" si="60"/>
        <v>Bad</v>
      </c>
      <c r="D995" s="3" t="s">
        <v>2007</v>
      </c>
      <c r="E995" s="3" t="s">
        <v>2008</v>
      </c>
      <c r="F995" s="5" t="s">
        <v>2002</v>
      </c>
      <c r="G995" s="4" t="str">
        <f t="shared" si="61"/>
        <v>5th</v>
      </c>
      <c r="H995" s="4" t="str">
        <f t="shared" si="62"/>
        <v>March</v>
      </c>
      <c r="I995" s="4" t="str">
        <f t="shared" si="63"/>
        <v>2024</v>
      </c>
      <c r="J995" s="10" t="s">
        <v>12</v>
      </c>
    </row>
    <row r="996" spans="1:10" x14ac:dyDescent="0.35">
      <c r="A996" s="9" t="s">
        <v>1937</v>
      </c>
      <c r="B996" s="3">
        <v>2</v>
      </c>
      <c r="C996" s="4" t="str">
        <f t="shared" si="60"/>
        <v>Bad</v>
      </c>
      <c r="D996" s="3" t="s">
        <v>2009</v>
      </c>
      <c r="E996" s="3" t="s">
        <v>2010</v>
      </c>
      <c r="F996" s="5" t="s">
        <v>2002</v>
      </c>
      <c r="G996" s="4" t="str">
        <f t="shared" si="61"/>
        <v>5th</v>
      </c>
      <c r="H996" s="4" t="str">
        <f t="shared" si="62"/>
        <v>March</v>
      </c>
      <c r="I996" s="4" t="str">
        <f t="shared" si="63"/>
        <v>2024</v>
      </c>
      <c r="J996" s="10" t="s">
        <v>9</v>
      </c>
    </row>
    <row r="997" spans="1:10" x14ac:dyDescent="0.35">
      <c r="A997" s="9" t="s">
        <v>1937</v>
      </c>
      <c r="B997" s="3">
        <v>2</v>
      </c>
      <c r="C997" s="4" t="str">
        <f t="shared" si="60"/>
        <v>Bad</v>
      </c>
      <c r="D997" s="3" t="s">
        <v>2011</v>
      </c>
      <c r="E997" s="3" t="s">
        <v>2012</v>
      </c>
      <c r="F997" s="5" t="s">
        <v>2002</v>
      </c>
      <c r="G997" s="4" t="str">
        <f t="shared" si="61"/>
        <v>5th</v>
      </c>
      <c r="H997" s="4" t="str">
        <f t="shared" si="62"/>
        <v>March</v>
      </c>
      <c r="I997" s="4" t="str">
        <f t="shared" si="63"/>
        <v>2024</v>
      </c>
      <c r="J997" s="10" t="s">
        <v>12</v>
      </c>
    </row>
    <row r="998" spans="1:10" x14ac:dyDescent="0.35">
      <c r="A998" s="9" t="s">
        <v>1937</v>
      </c>
      <c r="B998" s="3">
        <v>3</v>
      </c>
      <c r="C998" s="4" t="str">
        <f t="shared" si="60"/>
        <v>Bad</v>
      </c>
      <c r="D998" s="3" t="s">
        <v>2013</v>
      </c>
      <c r="E998" s="3" t="s">
        <v>2014</v>
      </c>
      <c r="F998" s="5" t="s">
        <v>2002</v>
      </c>
      <c r="G998" s="4" t="str">
        <f t="shared" si="61"/>
        <v>5th</v>
      </c>
      <c r="H998" s="4" t="str">
        <f t="shared" si="62"/>
        <v>March</v>
      </c>
      <c r="I998" s="4" t="str">
        <f t="shared" si="63"/>
        <v>2024</v>
      </c>
      <c r="J998" s="10" t="s">
        <v>12</v>
      </c>
    </row>
    <row r="999" spans="1:10" x14ac:dyDescent="0.35">
      <c r="A999" s="9" t="s">
        <v>1937</v>
      </c>
      <c r="B999" s="3">
        <v>8</v>
      </c>
      <c r="C999" s="4" t="str">
        <f t="shared" si="60"/>
        <v>Good</v>
      </c>
      <c r="D999" s="3" t="s">
        <v>2015</v>
      </c>
      <c r="E999" s="3" t="s">
        <v>2016</v>
      </c>
      <c r="F999" s="5" t="s">
        <v>2002</v>
      </c>
      <c r="G999" s="4" t="str">
        <f t="shared" si="61"/>
        <v>5th</v>
      </c>
      <c r="H999" s="4" t="str">
        <f t="shared" si="62"/>
        <v>March</v>
      </c>
      <c r="I999" s="4" t="str">
        <f t="shared" si="63"/>
        <v>2024</v>
      </c>
      <c r="J999" s="10" t="s">
        <v>9</v>
      </c>
    </row>
    <row r="1000" spans="1:10" x14ac:dyDescent="0.35">
      <c r="A1000" s="9" t="s">
        <v>1937</v>
      </c>
      <c r="B1000" s="3">
        <v>10</v>
      </c>
      <c r="C1000" s="4" t="str">
        <f t="shared" si="60"/>
        <v>Good</v>
      </c>
      <c r="D1000" s="3" t="s">
        <v>2017</v>
      </c>
      <c r="E1000" s="3" t="s">
        <v>2018</v>
      </c>
      <c r="F1000" s="5" t="s">
        <v>2002</v>
      </c>
      <c r="G1000" s="4" t="str">
        <f t="shared" si="61"/>
        <v>5th</v>
      </c>
      <c r="H1000" s="4" t="str">
        <f t="shared" si="62"/>
        <v>March</v>
      </c>
      <c r="I1000" s="4" t="str">
        <f t="shared" si="63"/>
        <v>2024</v>
      </c>
      <c r="J1000" s="10" t="s">
        <v>9</v>
      </c>
    </row>
    <row r="1001" spans="1:10" x14ac:dyDescent="0.35">
      <c r="A1001" s="9" t="s">
        <v>1937</v>
      </c>
      <c r="B1001" s="3">
        <v>1</v>
      </c>
      <c r="C1001" s="4" t="str">
        <f t="shared" si="60"/>
        <v>Bad</v>
      </c>
      <c r="D1001" s="3" t="s">
        <v>2019</v>
      </c>
      <c r="E1001" s="3" t="s">
        <v>2020</v>
      </c>
      <c r="F1001" s="5" t="s">
        <v>2002</v>
      </c>
      <c r="G1001" s="4" t="str">
        <f t="shared" si="61"/>
        <v>5th</v>
      </c>
      <c r="H1001" s="4" t="str">
        <f t="shared" si="62"/>
        <v>March</v>
      </c>
      <c r="I1001" s="4" t="str">
        <f t="shared" si="63"/>
        <v>2024</v>
      </c>
      <c r="J1001" s="10" t="s">
        <v>12</v>
      </c>
    </row>
    <row r="1002" spans="1:10" x14ac:dyDescent="0.35">
      <c r="A1002" s="9" t="s">
        <v>1937</v>
      </c>
      <c r="B1002" s="3">
        <v>1</v>
      </c>
      <c r="C1002" s="4" t="str">
        <f t="shared" si="60"/>
        <v>Bad</v>
      </c>
      <c r="D1002" s="3" t="s">
        <v>2021</v>
      </c>
      <c r="E1002" s="3" t="s">
        <v>2022</v>
      </c>
      <c r="F1002" s="5" t="s">
        <v>2023</v>
      </c>
      <c r="G1002" s="4" t="str">
        <f t="shared" si="61"/>
        <v>17th</v>
      </c>
      <c r="H1002" s="4" t="str">
        <f t="shared" si="62"/>
        <v>January</v>
      </c>
      <c r="I1002" s="4" t="str">
        <f t="shared" si="63"/>
        <v>2024</v>
      </c>
      <c r="J1002" s="10" t="s">
        <v>12</v>
      </c>
    </row>
    <row r="1003" spans="1:10" x14ac:dyDescent="0.35">
      <c r="A1003" s="9" t="s">
        <v>1937</v>
      </c>
      <c r="B1003" s="3">
        <v>1</v>
      </c>
      <c r="C1003" s="4" t="str">
        <f t="shared" si="60"/>
        <v>Bad</v>
      </c>
      <c r="D1003" s="3" t="s">
        <v>2024</v>
      </c>
      <c r="E1003" s="3" t="s">
        <v>2025</v>
      </c>
      <c r="F1003" s="5" t="s">
        <v>2023</v>
      </c>
      <c r="G1003" s="4" t="str">
        <f t="shared" si="61"/>
        <v>17th</v>
      </c>
      <c r="H1003" s="4" t="str">
        <f t="shared" si="62"/>
        <v>January</v>
      </c>
      <c r="I1003" s="4" t="str">
        <f t="shared" si="63"/>
        <v>2024</v>
      </c>
      <c r="J1003" s="10" t="s">
        <v>12</v>
      </c>
    </row>
    <row r="1004" spans="1:10" x14ac:dyDescent="0.35">
      <c r="A1004" s="9" t="s">
        <v>1937</v>
      </c>
      <c r="B1004" s="3">
        <v>1</v>
      </c>
      <c r="C1004" s="4" t="str">
        <f t="shared" si="60"/>
        <v>Bad</v>
      </c>
      <c r="D1004" s="3" t="s">
        <v>2026</v>
      </c>
      <c r="E1004" s="3" t="s">
        <v>2027</v>
      </c>
      <c r="F1004" s="5" t="s">
        <v>2023</v>
      </c>
      <c r="G1004" s="4" t="str">
        <f t="shared" si="61"/>
        <v>17th</v>
      </c>
      <c r="H1004" s="4" t="str">
        <f t="shared" si="62"/>
        <v>January</v>
      </c>
      <c r="I1004" s="4" t="str">
        <f t="shared" si="63"/>
        <v>2024</v>
      </c>
      <c r="J1004" s="10" t="s">
        <v>12</v>
      </c>
    </row>
    <row r="1005" spans="1:10" x14ac:dyDescent="0.35">
      <c r="A1005" s="9" t="s">
        <v>1937</v>
      </c>
      <c r="B1005" s="3">
        <v>1</v>
      </c>
      <c r="C1005" s="4" t="str">
        <f t="shared" si="60"/>
        <v>Bad</v>
      </c>
      <c r="D1005" s="3" t="s">
        <v>2028</v>
      </c>
      <c r="E1005" s="3" t="s">
        <v>2029</v>
      </c>
      <c r="F1005" s="5" t="s">
        <v>2023</v>
      </c>
      <c r="G1005" s="4" t="str">
        <f t="shared" si="61"/>
        <v>17th</v>
      </c>
      <c r="H1005" s="4" t="str">
        <f t="shared" si="62"/>
        <v>January</v>
      </c>
      <c r="I1005" s="4" t="str">
        <f t="shared" si="63"/>
        <v>2024</v>
      </c>
      <c r="J1005" s="10" t="s">
        <v>12</v>
      </c>
    </row>
    <row r="1006" spans="1:10" x14ac:dyDescent="0.35">
      <c r="A1006" s="9" t="s">
        <v>1937</v>
      </c>
      <c r="B1006" s="3">
        <v>4</v>
      </c>
      <c r="C1006" s="4" t="str">
        <f t="shared" si="60"/>
        <v>Bad</v>
      </c>
      <c r="D1006" s="3" t="s">
        <v>2030</v>
      </c>
      <c r="E1006" s="3" t="s">
        <v>2031</v>
      </c>
      <c r="F1006" s="5" t="s">
        <v>2023</v>
      </c>
      <c r="G1006" s="4" t="str">
        <f t="shared" si="61"/>
        <v>17th</v>
      </c>
      <c r="H1006" s="4" t="str">
        <f t="shared" si="62"/>
        <v>January</v>
      </c>
      <c r="I1006" s="4" t="str">
        <f t="shared" si="63"/>
        <v>2024</v>
      </c>
      <c r="J1006" s="10" t="s">
        <v>12</v>
      </c>
    </row>
    <row r="1007" spans="1:10" x14ac:dyDescent="0.35">
      <c r="A1007" s="9" t="s">
        <v>1937</v>
      </c>
      <c r="B1007" s="3">
        <v>1</v>
      </c>
      <c r="C1007" s="4" t="str">
        <f t="shared" si="60"/>
        <v>Bad</v>
      </c>
      <c r="D1007" s="3" t="s">
        <v>2032</v>
      </c>
      <c r="E1007" s="3" t="s">
        <v>2033</v>
      </c>
      <c r="F1007" s="5" t="s">
        <v>2023</v>
      </c>
      <c r="G1007" s="4" t="str">
        <f t="shared" si="61"/>
        <v>17th</v>
      </c>
      <c r="H1007" s="4" t="str">
        <f t="shared" si="62"/>
        <v>January</v>
      </c>
      <c r="I1007" s="4" t="str">
        <f t="shared" si="63"/>
        <v>2024</v>
      </c>
      <c r="J1007" s="10" t="s">
        <v>12</v>
      </c>
    </row>
    <row r="1008" spans="1:10" x14ac:dyDescent="0.35">
      <c r="A1008" s="9" t="s">
        <v>1937</v>
      </c>
      <c r="B1008" s="3">
        <v>4</v>
      </c>
      <c r="C1008" s="4" t="str">
        <f t="shared" si="60"/>
        <v>Bad</v>
      </c>
      <c r="D1008" s="3" t="s">
        <v>2034</v>
      </c>
      <c r="E1008" s="3" t="s">
        <v>2035</v>
      </c>
      <c r="F1008" s="5" t="s">
        <v>2023</v>
      </c>
      <c r="G1008" s="4" t="str">
        <f t="shared" si="61"/>
        <v>17th</v>
      </c>
      <c r="H1008" s="4" t="str">
        <f t="shared" si="62"/>
        <v>January</v>
      </c>
      <c r="I1008" s="4" t="str">
        <f t="shared" si="63"/>
        <v>2024</v>
      </c>
      <c r="J1008" s="10" t="s">
        <v>12</v>
      </c>
    </row>
    <row r="1009" spans="1:10" x14ac:dyDescent="0.35">
      <c r="A1009" s="9" t="s">
        <v>1937</v>
      </c>
      <c r="B1009" s="3">
        <v>1</v>
      </c>
      <c r="C1009" s="4" t="str">
        <f t="shared" si="60"/>
        <v>Bad</v>
      </c>
      <c r="D1009" s="3" t="s">
        <v>2036</v>
      </c>
      <c r="E1009" s="3" t="s">
        <v>2037</v>
      </c>
      <c r="F1009" s="5" t="s">
        <v>2023</v>
      </c>
      <c r="G1009" s="4" t="str">
        <f t="shared" si="61"/>
        <v>17th</v>
      </c>
      <c r="H1009" s="4" t="str">
        <f t="shared" si="62"/>
        <v>January</v>
      </c>
      <c r="I1009" s="4" t="str">
        <f t="shared" si="63"/>
        <v>2024</v>
      </c>
      <c r="J1009" s="10" t="s">
        <v>12</v>
      </c>
    </row>
    <row r="1010" spans="1:10" x14ac:dyDescent="0.35">
      <c r="A1010" s="9" t="s">
        <v>1937</v>
      </c>
      <c r="B1010" s="3">
        <v>1</v>
      </c>
      <c r="C1010" s="4" t="str">
        <f t="shared" si="60"/>
        <v>Bad</v>
      </c>
      <c r="D1010" s="3" t="s">
        <v>2038</v>
      </c>
      <c r="E1010" s="3" t="s">
        <v>2039</v>
      </c>
      <c r="F1010" s="5" t="s">
        <v>2023</v>
      </c>
      <c r="G1010" s="4" t="str">
        <f t="shared" si="61"/>
        <v>17th</v>
      </c>
      <c r="H1010" s="4" t="str">
        <f t="shared" si="62"/>
        <v>January</v>
      </c>
      <c r="I1010" s="4" t="str">
        <f t="shared" si="63"/>
        <v>2024</v>
      </c>
      <c r="J1010" s="10" t="s">
        <v>12</v>
      </c>
    </row>
    <row r="1011" spans="1:10" x14ac:dyDescent="0.35">
      <c r="A1011" s="9" t="s">
        <v>1937</v>
      </c>
      <c r="B1011" s="3">
        <v>1</v>
      </c>
      <c r="C1011" s="4" t="str">
        <f t="shared" si="60"/>
        <v>Bad</v>
      </c>
      <c r="D1011" s="3" t="s">
        <v>2040</v>
      </c>
      <c r="E1011" s="3" t="s">
        <v>2041</v>
      </c>
      <c r="F1011" s="5" t="s">
        <v>2023</v>
      </c>
      <c r="G1011" s="4" t="str">
        <f t="shared" si="61"/>
        <v>17th</v>
      </c>
      <c r="H1011" s="4" t="str">
        <f t="shared" si="62"/>
        <v>January</v>
      </c>
      <c r="I1011" s="4" t="str">
        <f t="shared" si="63"/>
        <v>2024</v>
      </c>
      <c r="J1011" s="10" t="s">
        <v>12</v>
      </c>
    </row>
    <row r="1012" spans="1:10" x14ac:dyDescent="0.35">
      <c r="A1012" s="9" t="s">
        <v>1937</v>
      </c>
      <c r="B1012" s="3">
        <v>5</v>
      </c>
      <c r="C1012" s="4" t="str">
        <f t="shared" si="60"/>
        <v>Neutral</v>
      </c>
      <c r="D1012" s="3" t="s">
        <v>2042</v>
      </c>
      <c r="E1012" s="3" t="s">
        <v>2043</v>
      </c>
      <c r="F1012" s="5" t="s">
        <v>2044</v>
      </c>
      <c r="G1012" s="4" t="str">
        <f t="shared" si="61"/>
        <v>30th</v>
      </c>
      <c r="H1012" s="4" t="str">
        <f t="shared" si="62"/>
        <v>November</v>
      </c>
      <c r="I1012" s="4" t="str">
        <f t="shared" si="63"/>
        <v>2023</v>
      </c>
      <c r="J1012" s="10" t="s">
        <v>12</v>
      </c>
    </row>
    <row r="1013" spans="1:10" x14ac:dyDescent="0.35">
      <c r="A1013" s="9" t="s">
        <v>1937</v>
      </c>
      <c r="B1013" s="3">
        <v>1</v>
      </c>
      <c r="C1013" s="4" t="str">
        <f t="shared" si="60"/>
        <v>Bad</v>
      </c>
      <c r="D1013" s="3" t="s">
        <v>2045</v>
      </c>
      <c r="E1013" s="3" t="s">
        <v>2046</v>
      </c>
      <c r="F1013" s="5" t="s">
        <v>2044</v>
      </c>
      <c r="G1013" s="4" t="str">
        <f t="shared" si="61"/>
        <v>30th</v>
      </c>
      <c r="H1013" s="4" t="str">
        <f t="shared" si="62"/>
        <v>November</v>
      </c>
      <c r="I1013" s="4" t="str">
        <f t="shared" si="63"/>
        <v>2023</v>
      </c>
      <c r="J1013" s="10" t="s">
        <v>12</v>
      </c>
    </row>
    <row r="1014" spans="1:10" x14ac:dyDescent="0.35">
      <c r="A1014" s="9" t="s">
        <v>1937</v>
      </c>
      <c r="B1014" s="3">
        <v>2</v>
      </c>
      <c r="C1014" s="4" t="str">
        <f t="shared" si="60"/>
        <v>Bad</v>
      </c>
      <c r="D1014" s="3" t="s">
        <v>2047</v>
      </c>
      <c r="E1014" s="3" t="s">
        <v>2048</v>
      </c>
      <c r="F1014" s="5" t="s">
        <v>2044</v>
      </c>
      <c r="G1014" s="4" t="str">
        <f t="shared" si="61"/>
        <v>30th</v>
      </c>
      <c r="H1014" s="4" t="str">
        <f t="shared" si="62"/>
        <v>November</v>
      </c>
      <c r="I1014" s="4" t="str">
        <f t="shared" si="63"/>
        <v>2023</v>
      </c>
      <c r="J1014" s="10" t="s">
        <v>12</v>
      </c>
    </row>
    <row r="1015" spans="1:10" x14ac:dyDescent="0.35">
      <c r="A1015" s="9" t="s">
        <v>1937</v>
      </c>
      <c r="B1015" s="3">
        <v>8</v>
      </c>
      <c r="C1015" s="4" t="str">
        <f t="shared" si="60"/>
        <v>Good</v>
      </c>
      <c r="D1015" s="3" t="s">
        <v>2049</v>
      </c>
      <c r="E1015" s="3" t="s">
        <v>2050</v>
      </c>
      <c r="F1015" s="5" t="s">
        <v>2044</v>
      </c>
      <c r="G1015" s="4" t="str">
        <f t="shared" si="61"/>
        <v>30th</v>
      </c>
      <c r="H1015" s="4" t="str">
        <f t="shared" si="62"/>
        <v>November</v>
      </c>
      <c r="I1015" s="4" t="str">
        <f t="shared" si="63"/>
        <v>2023</v>
      </c>
      <c r="J1015" s="10" t="s">
        <v>9</v>
      </c>
    </row>
    <row r="1016" spans="1:10" x14ac:dyDescent="0.35">
      <c r="A1016" s="9" t="s">
        <v>1937</v>
      </c>
      <c r="B1016" s="3">
        <v>2</v>
      </c>
      <c r="C1016" s="4" t="str">
        <f t="shared" si="60"/>
        <v>Bad</v>
      </c>
      <c r="D1016" s="3" t="s">
        <v>2051</v>
      </c>
      <c r="E1016" s="3" t="s">
        <v>2052</v>
      </c>
      <c r="F1016" s="5" t="s">
        <v>2044</v>
      </c>
      <c r="G1016" s="4" t="str">
        <f t="shared" si="61"/>
        <v>30th</v>
      </c>
      <c r="H1016" s="4" t="str">
        <f t="shared" si="62"/>
        <v>November</v>
      </c>
      <c r="I1016" s="4" t="str">
        <f t="shared" si="63"/>
        <v>2023</v>
      </c>
      <c r="J1016" s="10" t="s">
        <v>9</v>
      </c>
    </row>
    <row r="1017" spans="1:10" x14ac:dyDescent="0.35">
      <c r="A1017" s="9" t="s">
        <v>1937</v>
      </c>
      <c r="B1017" s="3">
        <v>6</v>
      </c>
      <c r="C1017" s="4" t="str">
        <f t="shared" si="60"/>
        <v>Neutral</v>
      </c>
      <c r="D1017" s="3" t="s">
        <v>2053</v>
      </c>
      <c r="E1017" s="3" t="s">
        <v>1243</v>
      </c>
      <c r="F1017" s="5" t="s">
        <v>2044</v>
      </c>
      <c r="G1017" s="4" t="str">
        <f t="shared" si="61"/>
        <v>30th</v>
      </c>
      <c r="H1017" s="4" t="str">
        <f t="shared" si="62"/>
        <v>November</v>
      </c>
      <c r="I1017" s="4" t="str">
        <f t="shared" si="63"/>
        <v>2023</v>
      </c>
      <c r="J1017" s="10" t="s">
        <v>12</v>
      </c>
    </row>
    <row r="1018" spans="1:10" x14ac:dyDescent="0.35">
      <c r="A1018" s="9" t="s">
        <v>1937</v>
      </c>
      <c r="B1018" s="3">
        <v>2</v>
      </c>
      <c r="C1018" s="4" t="str">
        <f t="shared" si="60"/>
        <v>Bad</v>
      </c>
      <c r="D1018" s="3" t="s">
        <v>1652</v>
      </c>
      <c r="E1018" s="3" t="s">
        <v>2054</v>
      </c>
      <c r="F1018" s="5" t="s">
        <v>2044</v>
      </c>
      <c r="G1018" s="4" t="str">
        <f t="shared" si="61"/>
        <v>30th</v>
      </c>
      <c r="H1018" s="4" t="str">
        <f t="shared" si="62"/>
        <v>November</v>
      </c>
      <c r="I1018" s="4" t="str">
        <f t="shared" si="63"/>
        <v>2023</v>
      </c>
      <c r="J1018" s="10" t="s">
        <v>12</v>
      </c>
    </row>
    <row r="1019" spans="1:10" x14ac:dyDescent="0.35">
      <c r="A1019" s="9" t="s">
        <v>1937</v>
      </c>
      <c r="B1019" s="3">
        <v>1</v>
      </c>
      <c r="C1019" s="4" t="str">
        <f t="shared" si="60"/>
        <v>Bad</v>
      </c>
      <c r="D1019" s="3" t="s">
        <v>2055</v>
      </c>
      <c r="E1019" s="3" t="s">
        <v>2056</v>
      </c>
      <c r="F1019" s="5" t="s">
        <v>2044</v>
      </c>
      <c r="G1019" s="4" t="str">
        <f t="shared" si="61"/>
        <v>30th</v>
      </c>
      <c r="H1019" s="4" t="str">
        <f t="shared" si="62"/>
        <v>November</v>
      </c>
      <c r="I1019" s="4" t="str">
        <f t="shared" si="63"/>
        <v>2023</v>
      </c>
      <c r="J1019" s="10" t="s">
        <v>12</v>
      </c>
    </row>
    <row r="1020" spans="1:10" x14ac:dyDescent="0.35">
      <c r="A1020" s="9" t="s">
        <v>1937</v>
      </c>
      <c r="B1020" s="3">
        <v>1</v>
      </c>
      <c r="C1020" s="4" t="str">
        <f t="shared" si="60"/>
        <v>Bad</v>
      </c>
      <c r="D1020" s="3" t="s">
        <v>2057</v>
      </c>
      <c r="E1020" s="3" t="s">
        <v>2058</v>
      </c>
      <c r="F1020" s="5" t="s">
        <v>2044</v>
      </c>
      <c r="G1020" s="4" t="str">
        <f t="shared" si="61"/>
        <v>30th</v>
      </c>
      <c r="H1020" s="4" t="str">
        <f t="shared" si="62"/>
        <v>November</v>
      </c>
      <c r="I1020" s="4" t="str">
        <f t="shared" si="63"/>
        <v>2023</v>
      </c>
      <c r="J1020" s="10" t="s">
        <v>12</v>
      </c>
    </row>
    <row r="1021" spans="1:10" x14ac:dyDescent="0.35">
      <c r="A1021" s="9" t="s">
        <v>1937</v>
      </c>
      <c r="B1021" s="3">
        <v>3</v>
      </c>
      <c r="C1021" s="4" t="str">
        <f t="shared" si="60"/>
        <v>Bad</v>
      </c>
      <c r="D1021" s="3" t="s">
        <v>2059</v>
      </c>
      <c r="E1021" s="3" t="s">
        <v>2060</v>
      </c>
      <c r="F1021" s="5" t="s">
        <v>2044</v>
      </c>
      <c r="G1021" s="4" t="str">
        <f t="shared" si="61"/>
        <v>30th</v>
      </c>
      <c r="H1021" s="4" t="str">
        <f t="shared" si="62"/>
        <v>November</v>
      </c>
      <c r="I1021" s="4" t="str">
        <f t="shared" si="63"/>
        <v>2023</v>
      </c>
      <c r="J1021" s="10" t="s">
        <v>12</v>
      </c>
    </row>
    <row r="1022" spans="1:10" x14ac:dyDescent="0.35">
      <c r="A1022" s="9" t="s">
        <v>1937</v>
      </c>
      <c r="B1022" s="3">
        <v>8</v>
      </c>
      <c r="C1022" s="4" t="str">
        <f t="shared" si="60"/>
        <v>Good</v>
      </c>
      <c r="D1022" s="3" t="s">
        <v>2061</v>
      </c>
      <c r="E1022" s="3" t="s">
        <v>35</v>
      </c>
      <c r="F1022" s="5" t="s">
        <v>570</v>
      </c>
      <c r="G1022" s="4" t="str">
        <f t="shared" si="61"/>
        <v>9th</v>
      </c>
      <c r="H1022" s="4" t="str">
        <f t="shared" si="62"/>
        <v>October</v>
      </c>
      <c r="I1022" s="4" t="str">
        <f t="shared" si="63"/>
        <v>2023</v>
      </c>
      <c r="J1022" s="10" t="s">
        <v>9</v>
      </c>
    </row>
    <row r="1023" spans="1:10" x14ac:dyDescent="0.35">
      <c r="A1023" s="9" t="s">
        <v>1937</v>
      </c>
      <c r="B1023" s="3">
        <v>1</v>
      </c>
      <c r="C1023" s="4" t="str">
        <f t="shared" si="60"/>
        <v>Bad</v>
      </c>
      <c r="D1023" s="3" t="s">
        <v>794</v>
      </c>
      <c r="E1023" s="3" t="s">
        <v>2062</v>
      </c>
      <c r="F1023" s="5" t="s">
        <v>570</v>
      </c>
      <c r="G1023" s="4" t="str">
        <f t="shared" si="61"/>
        <v>9th</v>
      </c>
      <c r="H1023" s="4" t="str">
        <f t="shared" si="62"/>
        <v>October</v>
      </c>
      <c r="I1023" s="4" t="str">
        <f t="shared" si="63"/>
        <v>2023</v>
      </c>
      <c r="J1023" s="10" t="s">
        <v>12</v>
      </c>
    </row>
    <row r="1024" spans="1:10" x14ac:dyDescent="0.35">
      <c r="A1024" s="9" t="s">
        <v>1937</v>
      </c>
      <c r="B1024" s="3">
        <v>1</v>
      </c>
      <c r="C1024" s="4" t="str">
        <f t="shared" si="60"/>
        <v>Bad</v>
      </c>
      <c r="D1024" s="3" t="s">
        <v>2063</v>
      </c>
      <c r="E1024" s="3" t="s">
        <v>2064</v>
      </c>
      <c r="F1024" s="5" t="s">
        <v>570</v>
      </c>
      <c r="G1024" s="4" t="str">
        <f t="shared" si="61"/>
        <v>9th</v>
      </c>
      <c r="H1024" s="4" t="str">
        <f t="shared" si="62"/>
        <v>October</v>
      </c>
      <c r="I1024" s="4" t="str">
        <f t="shared" si="63"/>
        <v>2023</v>
      </c>
      <c r="J1024" s="10" t="s">
        <v>12</v>
      </c>
    </row>
    <row r="1025" spans="1:10" x14ac:dyDescent="0.35">
      <c r="A1025" s="9" t="s">
        <v>1937</v>
      </c>
      <c r="B1025" s="3">
        <v>8</v>
      </c>
      <c r="C1025" s="4" t="str">
        <f t="shared" si="60"/>
        <v>Good</v>
      </c>
      <c r="D1025" s="3" t="s">
        <v>2065</v>
      </c>
      <c r="E1025" s="3" t="s">
        <v>2066</v>
      </c>
      <c r="F1025" s="5" t="s">
        <v>570</v>
      </c>
      <c r="G1025" s="4" t="str">
        <f t="shared" si="61"/>
        <v>9th</v>
      </c>
      <c r="H1025" s="4" t="str">
        <f t="shared" si="62"/>
        <v>October</v>
      </c>
      <c r="I1025" s="4" t="str">
        <f t="shared" si="63"/>
        <v>2023</v>
      </c>
      <c r="J1025" s="10" t="s">
        <v>9</v>
      </c>
    </row>
    <row r="1026" spans="1:10" x14ac:dyDescent="0.35">
      <c r="A1026" s="9" t="s">
        <v>1937</v>
      </c>
      <c r="B1026" s="3">
        <v>10</v>
      </c>
      <c r="C1026" s="4" t="str">
        <f t="shared" si="60"/>
        <v>Good</v>
      </c>
      <c r="D1026" s="3" t="s">
        <v>2067</v>
      </c>
      <c r="E1026" s="3" t="s">
        <v>2068</v>
      </c>
      <c r="F1026" s="5" t="s">
        <v>570</v>
      </c>
      <c r="G1026" s="4" t="str">
        <f t="shared" si="61"/>
        <v>9th</v>
      </c>
      <c r="H1026" s="4" t="str">
        <f t="shared" si="62"/>
        <v>October</v>
      </c>
      <c r="I1026" s="4" t="str">
        <f t="shared" si="63"/>
        <v>2023</v>
      </c>
      <c r="J1026" s="10" t="s">
        <v>9</v>
      </c>
    </row>
    <row r="1027" spans="1:10" x14ac:dyDescent="0.35">
      <c r="A1027" s="9" t="s">
        <v>1937</v>
      </c>
      <c r="B1027" s="3">
        <v>9</v>
      </c>
      <c r="C1027" s="4" t="str">
        <f t="shared" ref="C1027:C1090" si="64">IF(B1027&gt;=8,"Good",IF(B1027&gt;=5,"Neutral","Bad"))</f>
        <v>Good</v>
      </c>
      <c r="D1027" s="3" t="s">
        <v>2069</v>
      </c>
      <c r="E1027" s="3" t="s">
        <v>2070</v>
      </c>
      <c r="F1027" s="5" t="s">
        <v>570</v>
      </c>
      <c r="G1027" s="4" t="str">
        <f t="shared" ref="G1027:G1090" si="65">LEFT(F1027, FIND(" ", F1027)-1)</f>
        <v>9th</v>
      </c>
      <c r="H1027" s="4" t="str">
        <f t="shared" ref="H1027:H1090" si="66">TRIM(MID(F1027, FIND(" ", F1027)+1, FIND(" ", F1027, FIND(" ", F1027)+1) - FIND(" ", F1027)-1))</f>
        <v>October</v>
      </c>
      <c r="I1027" s="4" t="str">
        <f t="shared" ref="I1027:I1090" si="67">RIGHT(F1027, 4)</f>
        <v>2023</v>
      </c>
      <c r="J1027" s="10" t="s">
        <v>9</v>
      </c>
    </row>
    <row r="1028" spans="1:10" x14ac:dyDescent="0.35">
      <c r="A1028" s="9" t="s">
        <v>1937</v>
      </c>
      <c r="B1028" s="3">
        <v>5</v>
      </c>
      <c r="C1028" s="4" t="str">
        <f t="shared" si="64"/>
        <v>Neutral</v>
      </c>
      <c r="D1028" s="3" t="s">
        <v>2071</v>
      </c>
      <c r="E1028" s="3" t="s">
        <v>2072</v>
      </c>
      <c r="F1028" s="5" t="s">
        <v>570</v>
      </c>
      <c r="G1028" s="4" t="str">
        <f t="shared" si="65"/>
        <v>9th</v>
      </c>
      <c r="H1028" s="4" t="str">
        <f t="shared" si="66"/>
        <v>October</v>
      </c>
      <c r="I1028" s="4" t="str">
        <f t="shared" si="67"/>
        <v>2023</v>
      </c>
      <c r="J1028" s="10" t="s">
        <v>12</v>
      </c>
    </row>
    <row r="1029" spans="1:10" x14ac:dyDescent="0.35">
      <c r="A1029" s="9" t="s">
        <v>1937</v>
      </c>
      <c r="B1029" s="3">
        <v>2</v>
      </c>
      <c r="C1029" s="4" t="str">
        <f t="shared" si="64"/>
        <v>Bad</v>
      </c>
      <c r="D1029" s="3" t="s">
        <v>2073</v>
      </c>
      <c r="E1029" s="3" t="s">
        <v>2074</v>
      </c>
      <c r="F1029" s="5" t="s">
        <v>570</v>
      </c>
      <c r="G1029" s="4" t="str">
        <f t="shared" si="65"/>
        <v>9th</v>
      </c>
      <c r="H1029" s="4" t="str">
        <f t="shared" si="66"/>
        <v>October</v>
      </c>
      <c r="I1029" s="4" t="str">
        <f t="shared" si="67"/>
        <v>2023</v>
      </c>
      <c r="J1029" s="10" t="s">
        <v>12</v>
      </c>
    </row>
    <row r="1030" spans="1:10" x14ac:dyDescent="0.35">
      <c r="A1030" s="9" t="s">
        <v>1937</v>
      </c>
      <c r="B1030" s="3">
        <v>5</v>
      </c>
      <c r="C1030" s="4" t="str">
        <f t="shared" si="64"/>
        <v>Neutral</v>
      </c>
      <c r="D1030" s="3" t="s">
        <v>2075</v>
      </c>
      <c r="E1030" s="3" t="s">
        <v>2076</v>
      </c>
      <c r="F1030" s="5" t="s">
        <v>570</v>
      </c>
      <c r="G1030" s="4" t="str">
        <f t="shared" si="65"/>
        <v>9th</v>
      </c>
      <c r="H1030" s="4" t="str">
        <f t="shared" si="66"/>
        <v>October</v>
      </c>
      <c r="I1030" s="4" t="str">
        <f t="shared" si="67"/>
        <v>2023</v>
      </c>
      <c r="J1030" s="10" t="s">
        <v>12</v>
      </c>
    </row>
    <row r="1031" spans="1:10" x14ac:dyDescent="0.35">
      <c r="A1031" s="9" t="s">
        <v>1937</v>
      </c>
      <c r="B1031" s="3">
        <v>1</v>
      </c>
      <c r="C1031" s="4" t="str">
        <f t="shared" si="64"/>
        <v>Bad</v>
      </c>
      <c r="D1031" s="3" t="s">
        <v>2077</v>
      </c>
      <c r="E1031" s="3" t="s">
        <v>2078</v>
      </c>
      <c r="F1031" s="5" t="s">
        <v>570</v>
      </c>
      <c r="G1031" s="4" t="str">
        <f t="shared" si="65"/>
        <v>9th</v>
      </c>
      <c r="H1031" s="4" t="str">
        <f t="shared" si="66"/>
        <v>October</v>
      </c>
      <c r="I1031" s="4" t="str">
        <f t="shared" si="67"/>
        <v>2023</v>
      </c>
      <c r="J1031" s="10" t="s">
        <v>12</v>
      </c>
    </row>
    <row r="1032" spans="1:10" x14ac:dyDescent="0.35">
      <c r="A1032" s="9" t="s">
        <v>1937</v>
      </c>
      <c r="B1032" s="3">
        <v>2</v>
      </c>
      <c r="C1032" s="4" t="str">
        <f t="shared" si="64"/>
        <v>Bad</v>
      </c>
      <c r="D1032" s="3" t="s">
        <v>2079</v>
      </c>
      <c r="E1032" s="3" t="s">
        <v>2080</v>
      </c>
      <c r="F1032" s="5" t="s">
        <v>2081</v>
      </c>
      <c r="G1032" s="4" t="str">
        <f t="shared" si="65"/>
        <v>18th</v>
      </c>
      <c r="H1032" s="4" t="str">
        <f t="shared" si="66"/>
        <v>August</v>
      </c>
      <c r="I1032" s="4" t="str">
        <f t="shared" si="67"/>
        <v>2023</v>
      </c>
      <c r="J1032" s="10" t="s">
        <v>12</v>
      </c>
    </row>
    <row r="1033" spans="1:10" x14ac:dyDescent="0.35">
      <c r="A1033" s="9" t="s">
        <v>1937</v>
      </c>
      <c r="B1033" s="3">
        <v>10</v>
      </c>
      <c r="C1033" s="4" t="str">
        <f t="shared" si="64"/>
        <v>Good</v>
      </c>
      <c r="D1033" s="3" t="s">
        <v>2082</v>
      </c>
      <c r="E1033" s="3" t="s">
        <v>2083</v>
      </c>
      <c r="F1033" s="5" t="s">
        <v>2081</v>
      </c>
      <c r="G1033" s="4" t="str">
        <f t="shared" si="65"/>
        <v>18th</v>
      </c>
      <c r="H1033" s="4" t="str">
        <f t="shared" si="66"/>
        <v>August</v>
      </c>
      <c r="I1033" s="4" t="str">
        <f t="shared" si="67"/>
        <v>2023</v>
      </c>
      <c r="J1033" s="10" t="s">
        <v>9</v>
      </c>
    </row>
    <row r="1034" spans="1:10" x14ac:dyDescent="0.35">
      <c r="A1034" s="9" t="s">
        <v>1937</v>
      </c>
      <c r="B1034" s="3">
        <v>1</v>
      </c>
      <c r="C1034" s="4" t="str">
        <f t="shared" si="64"/>
        <v>Bad</v>
      </c>
      <c r="D1034" s="3" t="s">
        <v>2084</v>
      </c>
      <c r="E1034" s="3" t="s">
        <v>2085</v>
      </c>
      <c r="F1034" s="5" t="s">
        <v>2081</v>
      </c>
      <c r="G1034" s="4" t="str">
        <f t="shared" si="65"/>
        <v>18th</v>
      </c>
      <c r="H1034" s="4" t="str">
        <f t="shared" si="66"/>
        <v>August</v>
      </c>
      <c r="I1034" s="4" t="str">
        <f t="shared" si="67"/>
        <v>2023</v>
      </c>
      <c r="J1034" s="10" t="s">
        <v>12</v>
      </c>
    </row>
    <row r="1035" spans="1:10" x14ac:dyDescent="0.35">
      <c r="A1035" s="9" t="s">
        <v>1937</v>
      </c>
      <c r="B1035" s="3">
        <v>1</v>
      </c>
      <c r="C1035" s="4" t="str">
        <f t="shared" si="64"/>
        <v>Bad</v>
      </c>
      <c r="D1035" s="3" t="s">
        <v>2086</v>
      </c>
      <c r="E1035" s="3" t="s">
        <v>2087</v>
      </c>
      <c r="F1035" s="5" t="s">
        <v>2081</v>
      </c>
      <c r="G1035" s="4" t="str">
        <f t="shared" si="65"/>
        <v>18th</v>
      </c>
      <c r="H1035" s="4" t="str">
        <f t="shared" si="66"/>
        <v>August</v>
      </c>
      <c r="I1035" s="4" t="str">
        <f t="shared" si="67"/>
        <v>2023</v>
      </c>
      <c r="J1035" s="10" t="s">
        <v>12</v>
      </c>
    </row>
    <row r="1036" spans="1:10" x14ac:dyDescent="0.35">
      <c r="A1036" s="9" t="s">
        <v>1937</v>
      </c>
      <c r="B1036" s="3">
        <v>2</v>
      </c>
      <c r="C1036" s="4" t="str">
        <f t="shared" si="64"/>
        <v>Bad</v>
      </c>
      <c r="D1036" s="3" t="s">
        <v>2088</v>
      </c>
      <c r="E1036" s="3" t="s">
        <v>2089</v>
      </c>
      <c r="F1036" s="5" t="s">
        <v>2081</v>
      </c>
      <c r="G1036" s="4" t="str">
        <f t="shared" si="65"/>
        <v>18th</v>
      </c>
      <c r="H1036" s="4" t="str">
        <f t="shared" si="66"/>
        <v>August</v>
      </c>
      <c r="I1036" s="4" t="str">
        <f t="shared" si="67"/>
        <v>2023</v>
      </c>
      <c r="J1036" s="10" t="s">
        <v>12</v>
      </c>
    </row>
    <row r="1037" spans="1:10" x14ac:dyDescent="0.35">
      <c r="A1037" s="9" t="s">
        <v>1937</v>
      </c>
      <c r="B1037" s="3">
        <v>1</v>
      </c>
      <c r="C1037" s="4" t="str">
        <f t="shared" si="64"/>
        <v>Bad</v>
      </c>
      <c r="D1037" s="3" t="s">
        <v>2090</v>
      </c>
      <c r="E1037" s="3" t="s">
        <v>2091</v>
      </c>
      <c r="F1037" s="5" t="s">
        <v>2081</v>
      </c>
      <c r="G1037" s="4" t="str">
        <f t="shared" si="65"/>
        <v>18th</v>
      </c>
      <c r="H1037" s="4" t="str">
        <f t="shared" si="66"/>
        <v>August</v>
      </c>
      <c r="I1037" s="4" t="str">
        <f t="shared" si="67"/>
        <v>2023</v>
      </c>
      <c r="J1037" s="10" t="s">
        <v>12</v>
      </c>
    </row>
    <row r="1038" spans="1:10" x14ac:dyDescent="0.35">
      <c r="A1038" s="9" t="s">
        <v>1937</v>
      </c>
      <c r="B1038" s="3">
        <v>2</v>
      </c>
      <c r="C1038" s="4" t="str">
        <f t="shared" si="64"/>
        <v>Bad</v>
      </c>
      <c r="D1038" s="3" t="s">
        <v>2092</v>
      </c>
      <c r="E1038" s="3" t="s">
        <v>2093</v>
      </c>
      <c r="F1038" s="5" t="s">
        <v>2081</v>
      </c>
      <c r="G1038" s="4" t="str">
        <f t="shared" si="65"/>
        <v>18th</v>
      </c>
      <c r="H1038" s="4" t="str">
        <f t="shared" si="66"/>
        <v>August</v>
      </c>
      <c r="I1038" s="4" t="str">
        <f t="shared" si="67"/>
        <v>2023</v>
      </c>
      <c r="J1038" s="10" t="s">
        <v>12</v>
      </c>
    </row>
    <row r="1039" spans="1:10" x14ac:dyDescent="0.35">
      <c r="A1039" s="9" t="s">
        <v>1937</v>
      </c>
      <c r="B1039" s="3">
        <v>4</v>
      </c>
      <c r="C1039" s="4" t="str">
        <f t="shared" si="64"/>
        <v>Bad</v>
      </c>
      <c r="D1039" s="3" t="s">
        <v>2094</v>
      </c>
      <c r="E1039" s="3" t="s">
        <v>2095</v>
      </c>
      <c r="F1039" s="5" t="s">
        <v>2081</v>
      </c>
      <c r="G1039" s="4" t="str">
        <f t="shared" si="65"/>
        <v>18th</v>
      </c>
      <c r="H1039" s="4" t="str">
        <f t="shared" si="66"/>
        <v>August</v>
      </c>
      <c r="I1039" s="4" t="str">
        <f t="shared" si="67"/>
        <v>2023</v>
      </c>
      <c r="J1039" s="10" t="s">
        <v>12</v>
      </c>
    </row>
    <row r="1040" spans="1:10" x14ac:dyDescent="0.35">
      <c r="A1040" s="9" t="s">
        <v>1937</v>
      </c>
      <c r="B1040" s="3">
        <v>8</v>
      </c>
      <c r="C1040" s="4" t="str">
        <f t="shared" si="64"/>
        <v>Good</v>
      </c>
      <c r="D1040" s="3" t="s">
        <v>2096</v>
      </c>
      <c r="E1040" s="3" t="s">
        <v>2097</v>
      </c>
      <c r="F1040" s="5" t="s">
        <v>2081</v>
      </c>
      <c r="G1040" s="4" t="str">
        <f t="shared" si="65"/>
        <v>18th</v>
      </c>
      <c r="H1040" s="4" t="str">
        <f t="shared" si="66"/>
        <v>August</v>
      </c>
      <c r="I1040" s="4" t="str">
        <f t="shared" si="67"/>
        <v>2023</v>
      </c>
      <c r="J1040" s="10" t="s">
        <v>9</v>
      </c>
    </row>
    <row r="1041" spans="1:10" x14ac:dyDescent="0.35">
      <c r="A1041" s="9" t="s">
        <v>1937</v>
      </c>
      <c r="B1041" s="3">
        <v>10</v>
      </c>
      <c r="C1041" s="4" t="str">
        <f t="shared" si="64"/>
        <v>Good</v>
      </c>
      <c r="D1041" s="3" t="s">
        <v>2098</v>
      </c>
      <c r="E1041" s="3" t="s">
        <v>2099</v>
      </c>
      <c r="F1041" s="5" t="s">
        <v>2081</v>
      </c>
      <c r="G1041" s="4" t="str">
        <f t="shared" si="65"/>
        <v>18th</v>
      </c>
      <c r="H1041" s="4" t="str">
        <f t="shared" si="66"/>
        <v>August</v>
      </c>
      <c r="I1041" s="4" t="str">
        <f t="shared" si="67"/>
        <v>2023</v>
      </c>
      <c r="J1041" s="10" t="s">
        <v>9</v>
      </c>
    </row>
    <row r="1042" spans="1:10" x14ac:dyDescent="0.35">
      <c r="A1042" s="9" t="s">
        <v>1937</v>
      </c>
      <c r="B1042" s="3">
        <v>2</v>
      </c>
      <c r="C1042" s="4" t="str">
        <f t="shared" si="64"/>
        <v>Bad</v>
      </c>
      <c r="D1042" s="3" t="s">
        <v>2100</v>
      </c>
      <c r="E1042" s="3" t="s">
        <v>2101</v>
      </c>
      <c r="F1042" s="5" t="s">
        <v>2102</v>
      </c>
      <c r="G1042" s="4" t="str">
        <f t="shared" si="65"/>
        <v>8th</v>
      </c>
      <c r="H1042" s="4" t="str">
        <f t="shared" si="66"/>
        <v>July</v>
      </c>
      <c r="I1042" s="4" t="str">
        <f t="shared" si="67"/>
        <v>2023</v>
      </c>
      <c r="J1042" s="10" t="s">
        <v>12</v>
      </c>
    </row>
    <row r="1043" spans="1:10" x14ac:dyDescent="0.35">
      <c r="A1043" s="9" t="s">
        <v>1937</v>
      </c>
      <c r="B1043" s="3">
        <v>3</v>
      </c>
      <c r="C1043" s="4" t="str">
        <f t="shared" si="64"/>
        <v>Bad</v>
      </c>
      <c r="D1043" s="3" t="s">
        <v>2103</v>
      </c>
      <c r="E1043" s="3" t="s">
        <v>2104</v>
      </c>
      <c r="F1043" s="5" t="s">
        <v>2102</v>
      </c>
      <c r="G1043" s="4" t="str">
        <f t="shared" si="65"/>
        <v>8th</v>
      </c>
      <c r="H1043" s="4" t="str">
        <f t="shared" si="66"/>
        <v>July</v>
      </c>
      <c r="I1043" s="4" t="str">
        <f t="shared" si="67"/>
        <v>2023</v>
      </c>
      <c r="J1043" s="10" t="s">
        <v>12</v>
      </c>
    </row>
    <row r="1044" spans="1:10" x14ac:dyDescent="0.35">
      <c r="A1044" s="9" t="s">
        <v>1937</v>
      </c>
      <c r="B1044" s="3">
        <v>1</v>
      </c>
      <c r="C1044" s="4" t="str">
        <f t="shared" si="64"/>
        <v>Bad</v>
      </c>
      <c r="D1044" s="3" t="s">
        <v>2105</v>
      </c>
      <c r="E1044" s="3" t="s">
        <v>2106</v>
      </c>
      <c r="F1044" s="5" t="s">
        <v>2102</v>
      </c>
      <c r="G1044" s="4" t="str">
        <f t="shared" si="65"/>
        <v>8th</v>
      </c>
      <c r="H1044" s="4" t="str">
        <f t="shared" si="66"/>
        <v>July</v>
      </c>
      <c r="I1044" s="4" t="str">
        <f t="shared" si="67"/>
        <v>2023</v>
      </c>
      <c r="J1044" s="10" t="s">
        <v>12</v>
      </c>
    </row>
    <row r="1045" spans="1:10" x14ac:dyDescent="0.35">
      <c r="A1045" s="9" t="s">
        <v>1937</v>
      </c>
      <c r="B1045" s="3">
        <v>1</v>
      </c>
      <c r="C1045" s="4" t="str">
        <f t="shared" si="64"/>
        <v>Bad</v>
      </c>
      <c r="D1045" s="3" t="s">
        <v>2107</v>
      </c>
      <c r="E1045" s="3" t="s">
        <v>2108</v>
      </c>
      <c r="F1045" s="5" t="s">
        <v>2102</v>
      </c>
      <c r="G1045" s="4" t="str">
        <f t="shared" si="65"/>
        <v>8th</v>
      </c>
      <c r="H1045" s="4" t="str">
        <f t="shared" si="66"/>
        <v>July</v>
      </c>
      <c r="I1045" s="4" t="str">
        <f t="shared" si="67"/>
        <v>2023</v>
      </c>
      <c r="J1045" s="10" t="s">
        <v>12</v>
      </c>
    </row>
    <row r="1046" spans="1:10" x14ac:dyDescent="0.35">
      <c r="A1046" s="9" t="s">
        <v>1937</v>
      </c>
      <c r="B1046" s="3">
        <v>8</v>
      </c>
      <c r="C1046" s="4" t="str">
        <f t="shared" si="64"/>
        <v>Good</v>
      </c>
      <c r="D1046" s="3" t="s">
        <v>2109</v>
      </c>
      <c r="E1046" s="3" t="s">
        <v>2110</v>
      </c>
      <c r="F1046" s="5" t="s">
        <v>2102</v>
      </c>
      <c r="G1046" s="4" t="str">
        <f t="shared" si="65"/>
        <v>8th</v>
      </c>
      <c r="H1046" s="4" t="str">
        <f t="shared" si="66"/>
        <v>July</v>
      </c>
      <c r="I1046" s="4" t="str">
        <f t="shared" si="67"/>
        <v>2023</v>
      </c>
      <c r="J1046" s="10" t="s">
        <v>9</v>
      </c>
    </row>
    <row r="1047" spans="1:10" x14ac:dyDescent="0.35">
      <c r="A1047" s="9" t="s">
        <v>1937</v>
      </c>
      <c r="B1047" s="3">
        <v>1</v>
      </c>
      <c r="C1047" s="4" t="str">
        <f t="shared" si="64"/>
        <v>Bad</v>
      </c>
      <c r="D1047" s="3" t="s">
        <v>2111</v>
      </c>
      <c r="E1047" s="3" t="s">
        <v>2112</v>
      </c>
      <c r="F1047" s="5" t="s">
        <v>2102</v>
      </c>
      <c r="G1047" s="4" t="str">
        <f t="shared" si="65"/>
        <v>8th</v>
      </c>
      <c r="H1047" s="4" t="str">
        <f t="shared" si="66"/>
        <v>July</v>
      </c>
      <c r="I1047" s="4" t="str">
        <f t="shared" si="67"/>
        <v>2023</v>
      </c>
      <c r="J1047" s="10" t="s">
        <v>12</v>
      </c>
    </row>
    <row r="1048" spans="1:10" x14ac:dyDescent="0.35">
      <c r="A1048" s="9" t="s">
        <v>1937</v>
      </c>
      <c r="B1048" s="3">
        <v>1</v>
      </c>
      <c r="C1048" s="4" t="str">
        <f t="shared" si="64"/>
        <v>Bad</v>
      </c>
      <c r="D1048" s="3" t="s">
        <v>2113</v>
      </c>
      <c r="E1048" s="3" t="s">
        <v>2114</v>
      </c>
      <c r="F1048" s="5" t="s">
        <v>2102</v>
      </c>
      <c r="G1048" s="4" t="str">
        <f t="shared" si="65"/>
        <v>8th</v>
      </c>
      <c r="H1048" s="4" t="str">
        <f t="shared" si="66"/>
        <v>July</v>
      </c>
      <c r="I1048" s="4" t="str">
        <f t="shared" si="67"/>
        <v>2023</v>
      </c>
      <c r="J1048" s="10" t="s">
        <v>12</v>
      </c>
    </row>
    <row r="1049" spans="1:10" x14ac:dyDescent="0.35">
      <c r="A1049" s="9" t="s">
        <v>1937</v>
      </c>
      <c r="B1049" s="3">
        <v>1</v>
      </c>
      <c r="C1049" s="4" t="str">
        <f t="shared" si="64"/>
        <v>Bad</v>
      </c>
      <c r="D1049" s="3" t="s">
        <v>2115</v>
      </c>
      <c r="E1049" s="3" t="s">
        <v>2116</v>
      </c>
      <c r="F1049" s="5" t="s">
        <v>2102</v>
      </c>
      <c r="G1049" s="4" t="str">
        <f t="shared" si="65"/>
        <v>8th</v>
      </c>
      <c r="H1049" s="4" t="str">
        <f t="shared" si="66"/>
        <v>July</v>
      </c>
      <c r="I1049" s="4" t="str">
        <f t="shared" si="67"/>
        <v>2023</v>
      </c>
      <c r="J1049" s="10" t="s">
        <v>12</v>
      </c>
    </row>
    <row r="1050" spans="1:10" x14ac:dyDescent="0.35">
      <c r="A1050" s="9" t="s">
        <v>1937</v>
      </c>
      <c r="B1050" s="3">
        <v>3</v>
      </c>
      <c r="C1050" s="4" t="str">
        <f t="shared" si="64"/>
        <v>Bad</v>
      </c>
      <c r="D1050" s="3" t="s">
        <v>2117</v>
      </c>
      <c r="E1050" s="3" t="s">
        <v>2118</v>
      </c>
      <c r="F1050" s="5" t="s">
        <v>2102</v>
      </c>
      <c r="G1050" s="4" t="str">
        <f t="shared" si="65"/>
        <v>8th</v>
      </c>
      <c r="H1050" s="4" t="str">
        <f t="shared" si="66"/>
        <v>July</v>
      </c>
      <c r="I1050" s="4" t="str">
        <f t="shared" si="67"/>
        <v>2023</v>
      </c>
      <c r="J1050" s="10" t="s">
        <v>12</v>
      </c>
    </row>
    <row r="1051" spans="1:10" x14ac:dyDescent="0.35">
      <c r="A1051" s="9" t="s">
        <v>1937</v>
      </c>
      <c r="B1051" s="3">
        <v>4</v>
      </c>
      <c r="C1051" s="4" t="str">
        <f t="shared" si="64"/>
        <v>Bad</v>
      </c>
      <c r="D1051" s="3" t="s">
        <v>2119</v>
      </c>
      <c r="E1051" s="3" t="s">
        <v>2120</v>
      </c>
      <c r="F1051" s="5" t="s">
        <v>2102</v>
      </c>
      <c r="G1051" s="4" t="str">
        <f t="shared" si="65"/>
        <v>8th</v>
      </c>
      <c r="H1051" s="4" t="str">
        <f t="shared" si="66"/>
        <v>July</v>
      </c>
      <c r="I1051" s="4" t="str">
        <f t="shared" si="67"/>
        <v>2023</v>
      </c>
      <c r="J1051" s="10" t="s">
        <v>12</v>
      </c>
    </row>
    <row r="1052" spans="1:10" x14ac:dyDescent="0.35">
      <c r="A1052" s="9" t="s">
        <v>1937</v>
      </c>
      <c r="B1052" s="3">
        <v>5</v>
      </c>
      <c r="C1052" s="4" t="str">
        <f t="shared" si="64"/>
        <v>Neutral</v>
      </c>
      <c r="D1052" s="3" t="s">
        <v>2121</v>
      </c>
      <c r="E1052" s="3" t="s">
        <v>2122</v>
      </c>
      <c r="F1052" s="5" t="s">
        <v>2123</v>
      </c>
      <c r="G1052" s="4" t="str">
        <f t="shared" si="65"/>
        <v>24th</v>
      </c>
      <c r="H1052" s="4" t="str">
        <f t="shared" si="66"/>
        <v>April</v>
      </c>
      <c r="I1052" s="4" t="str">
        <f t="shared" si="67"/>
        <v>2023</v>
      </c>
      <c r="J1052" s="10" t="s">
        <v>9</v>
      </c>
    </row>
    <row r="1053" spans="1:10" x14ac:dyDescent="0.35">
      <c r="A1053" s="9" t="s">
        <v>1937</v>
      </c>
      <c r="B1053" s="3">
        <v>1</v>
      </c>
      <c r="C1053" s="4" t="str">
        <f t="shared" si="64"/>
        <v>Bad</v>
      </c>
      <c r="D1053" s="3" t="s">
        <v>2124</v>
      </c>
      <c r="E1053" s="3" t="s">
        <v>2125</v>
      </c>
      <c r="F1053" s="5" t="s">
        <v>2123</v>
      </c>
      <c r="G1053" s="4" t="str">
        <f t="shared" si="65"/>
        <v>24th</v>
      </c>
      <c r="H1053" s="4" t="str">
        <f t="shared" si="66"/>
        <v>April</v>
      </c>
      <c r="I1053" s="4" t="str">
        <f t="shared" si="67"/>
        <v>2023</v>
      </c>
      <c r="J1053" s="10" t="s">
        <v>12</v>
      </c>
    </row>
    <row r="1054" spans="1:10" x14ac:dyDescent="0.35">
      <c r="A1054" s="9" t="s">
        <v>1937</v>
      </c>
      <c r="B1054" s="3">
        <v>1</v>
      </c>
      <c r="C1054" s="4" t="str">
        <f t="shared" si="64"/>
        <v>Bad</v>
      </c>
      <c r="D1054" s="3" t="s">
        <v>2126</v>
      </c>
      <c r="E1054" s="3" t="s">
        <v>2127</v>
      </c>
      <c r="F1054" s="5" t="s">
        <v>2123</v>
      </c>
      <c r="G1054" s="4" t="str">
        <f t="shared" si="65"/>
        <v>24th</v>
      </c>
      <c r="H1054" s="4" t="str">
        <f t="shared" si="66"/>
        <v>April</v>
      </c>
      <c r="I1054" s="4" t="str">
        <f t="shared" si="67"/>
        <v>2023</v>
      </c>
      <c r="J1054" s="10" t="s">
        <v>12</v>
      </c>
    </row>
    <row r="1055" spans="1:10" x14ac:dyDescent="0.35">
      <c r="A1055" s="9" t="s">
        <v>1937</v>
      </c>
      <c r="B1055" s="3">
        <v>1</v>
      </c>
      <c r="C1055" s="4" t="str">
        <f t="shared" si="64"/>
        <v>Bad</v>
      </c>
      <c r="D1055" s="3" t="s">
        <v>2128</v>
      </c>
      <c r="E1055" s="3" t="s">
        <v>2129</v>
      </c>
      <c r="F1055" s="5" t="s">
        <v>2123</v>
      </c>
      <c r="G1055" s="4" t="str">
        <f t="shared" si="65"/>
        <v>24th</v>
      </c>
      <c r="H1055" s="4" t="str">
        <f t="shared" si="66"/>
        <v>April</v>
      </c>
      <c r="I1055" s="4" t="str">
        <f t="shared" si="67"/>
        <v>2023</v>
      </c>
      <c r="J1055" s="10" t="s">
        <v>12</v>
      </c>
    </row>
    <row r="1056" spans="1:10" x14ac:dyDescent="0.35">
      <c r="A1056" s="9" t="s">
        <v>1937</v>
      </c>
      <c r="B1056" s="3">
        <v>10</v>
      </c>
      <c r="C1056" s="4" t="str">
        <f t="shared" si="64"/>
        <v>Good</v>
      </c>
      <c r="D1056" s="3" t="s">
        <v>2130</v>
      </c>
      <c r="E1056" s="3" t="s">
        <v>2131</v>
      </c>
      <c r="F1056" s="5" t="s">
        <v>2123</v>
      </c>
      <c r="G1056" s="4" t="str">
        <f t="shared" si="65"/>
        <v>24th</v>
      </c>
      <c r="H1056" s="4" t="str">
        <f t="shared" si="66"/>
        <v>April</v>
      </c>
      <c r="I1056" s="4" t="str">
        <f t="shared" si="67"/>
        <v>2023</v>
      </c>
      <c r="J1056" s="10" t="s">
        <v>9</v>
      </c>
    </row>
    <row r="1057" spans="1:10" x14ac:dyDescent="0.35">
      <c r="A1057" s="9" t="s">
        <v>1937</v>
      </c>
      <c r="B1057" s="3">
        <v>1</v>
      </c>
      <c r="C1057" s="4" t="str">
        <f t="shared" si="64"/>
        <v>Bad</v>
      </c>
      <c r="D1057" s="3" t="s">
        <v>2132</v>
      </c>
      <c r="E1057" s="3" t="s">
        <v>2133</v>
      </c>
      <c r="F1057" s="5" t="s">
        <v>2123</v>
      </c>
      <c r="G1057" s="4" t="str">
        <f t="shared" si="65"/>
        <v>24th</v>
      </c>
      <c r="H1057" s="4" t="str">
        <f t="shared" si="66"/>
        <v>April</v>
      </c>
      <c r="I1057" s="4" t="str">
        <f t="shared" si="67"/>
        <v>2023</v>
      </c>
      <c r="J1057" s="10" t="s">
        <v>12</v>
      </c>
    </row>
    <row r="1058" spans="1:10" x14ac:dyDescent="0.35">
      <c r="A1058" s="9" t="s">
        <v>1937</v>
      </c>
      <c r="B1058" s="3">
        <v>9</v>
      </c>
      <c r="C1058" s="4" t="str">
        <f t="shared" si="64"/>
        <v>Good</v>
      </c>
      <c r="D1058" s="3" t="s">
        <v>2134</v>
      </c>
      <c r="E1058" s="3" t="s">
        <v>2135</v>
      </c>
      <c r="F1058" s="5" t="s">
        <v>2123</v>
      </c>
      <c r="G1058" s="4" t="str">
        <f t="shared" si="65"/>
        <v>24th</v>
      </c>
      <c r="H1058" s="4" t="str">
        <f t="shared" si="66"/>
        <v>April</v>
      </c>
      <c r="I1058" s="4" t="str">
        <f t="shared" si="67"/>
        <v>2023</v>
      </c>
      <c r="J1058" s="10" t="s">
        <v>9</v>
      </c>
    </row>
    <row r="1059" spans="1:10" x14ac:dyDescent="0.35">
      <c r="A1059" s="9" t="s">
        <v>1937</v>
      </c>
      <c r="B1059" s="3">
        <v>1</v>
      </c>
      <c r="C1059" s="4" t="str">
        <f t="shared" si="64"/>
        <v>Bad</v>
      </c>
      <c r="D1059" s="3" t="s">
        <v>2136</v>
      </c>
      <c r="E1059" s="3" t="s">
        <v>2137</v>
      </c>
      <c r="F1059" s="5" t="s">
        <v>2123</v>
      </c>
      <c r="G1059" s="4" t="str">
        <f t="shared" si="65"/>
        <v>24th</v>
      </c>
      <c r="H1059" s="4" t="str">
        <f t="shared" si="66"/>
        <v>April</v>
      </c>
      <c r="I1059" s="4" t="str">
        <f t="shared" si="67"/>
        <v>2023</v>
      </c>
      <c r="J1059" s="10" t="s">
        <v>12</v>
      </c>
    </row>
    <row r="1060" spans="1:10" x14ac:dyDescent="0.35">
      <c r="A1060" s="9" t="s">
        <v>1937</v>
      </c>
      <c r="B1060" s="3">
        <v>5</v>
      </c>
      <c r="C1060" s="4" t="str">
        <f t="shared" si="64"/>
        <v>Neutral</v>
      </c>
      <c r="D1060" s="3" t="s">
        <v>2138</v>
      </c>
      <c r="E1060" s="3" t="s">
        <v>2139</v>
      </c>
      <c r="F1060" s="5" t="s">
        <v>2123</v>
      </c>
      <c r="G1060" s="4" t="str">
        <f t="shared" si="65"/>
        <v>24th</v>
      </c>
      <c r="H1060" s="4" t="str">
        <f t="shared" si="66"/>
        <v>April</v>
      </c>
      <c r="I1060" s="4" t="str">
        <f t="shared" si="67"/>
        <v>2023</v>
      </c>
      <c r="J1060" s="10" t="s">
        <v>12</v>
      </c>
    </row>
    <row r="1061" spans="1:10" x14ac:dyDescent="0.35">
      <c r="A1061" s="9" t="s">
        <v>1937</v>
      </c>
      <c r="B1061" s="3">
        <v>10</v>
      </c>
      <c r="C1061" s="4" t="str">
        <f t="shared" si="64"/>
        <v>Good</v>
      </c>
      <c r="D1061" s="3" t="s">
        <v>2140</v>
      </c>
      <c r="E1061" s="3" t="s">
        <v>2141</v>
      </c>
      <c r="F1061" s="5" t="s">
        <v>2123</v>
      </c>
      <c r="G1061" s="4" t="str">
        <f t="shared" si="65"/>
        <v>24th</v>
      </c>
      <c r="H1061" s="4" t="str">
        <f t="shared" si="66"/>
        <v>April</v>
      </c>
      <c r="I1061" s="4" t="str">
        <f t="shared" si="67"/>
        <v>2023</v>
      </c>
      <c r="J1061" s="10" t="s">
        <v>9</v>
      </c>
    </row>
    <row r="1062" spans="1:10" x14ac:dyDescent="0.35">
      <c r="A1062" s="9" t="s">
        <v>1937</v>
      </c>
      <c r="B1062" s="3">
        <v>10</v>
      </c>
      <c r="C1062" s="4" t="str">
        <f t="shared" si="64"/>
        <v>Good</v>
      </c>
      <c r="D1062" s="3" t="s">
        <v>2142</v>
      </c>
      <c r="E1062" s="3" t="s">
        <v>2143</v>
      </c>
      <c r="F1062" s="5" t="s">
        <v>2144</v>
      </c>
      <c r="G1062" s="4" t="str">
        <f t="shared" si="65"/>
        <v>20th</v>
      </c>
      <c r="H1062" s="4" t="str">
        <f t="shared" si="66"/>
        <v>February</v>
      </c>
      <c r="I1062" s="4" t="str">
        <f t="shared" si="67"/>
        <v>2023</v>
      </c>
      <c r="J1062" s="10" t="s">
        <v>9</v>
      </c>
    </row>
    <row r="1063" spans="1:10" x14ac:dyDescent="0.35">
      <c r="A1063" s="9" t="s">
        <v>1937</v>
      </c>
      <c r="B1063" s="3">
        <v>1</v>
      </c>
      <c r="C1063" s="4" t="str">
        <f t="shared" si="64"/>
        <v>Bad</v>
      </c>
      <c r="D1063" s="3" t="s">
        <v>2145</v>
      </c>
      <c r="E1063" s="3" t="s">
        <v>2146</v>
      </c>
      <c r="F1063" s="5" t="s">
        <v>2144</v>
      </c>
      <c r="G1063" s="4" t="str">
        <f t="shared" si="65"/>
        <v>20th</v>
      </c>
      <c r="H1063" s="4" t="str">
        <f t="shared" si="66"/>
        <v>February</v>
      </c>
      <c r="I1063" s="4" t="str">
        <f t="shared" si="67"/>
        <v>2023</v>
      </c>
      <c r="J1063" s="10" t="s">
        <v>12</v>
      </c>
    </row>
    <row r="1064" spans="1:10" x14ac:dyDescent="0.35">
      <c r="A1064" s="9" t="s">
        <v>1937</v>
      </c>
      <c r="B1064" s="3">
        <v>2</v>
      </c>
      <c r="C1064" s="4" t="str">
        <f t="shared" si="64"/>
        <v>Bad</v>
      </c>
      <c r="D1064" s="3" t="s">
        <v>2147</v>
      </c>
      <c r="E1064" s="3" t="s">
        <v>2148</v>
      </c>
      <c r="F1064" s="5" t="s">
        <v>2144</v>
      </c>
      <c r="G1064" s="4" t="str">
        <f t="shared" si="65"/>
        <v>20th</v>
      </c>
      <c r="H1064" s="4" t="str">
        <f t="shared" si="66"/>
        <v>February</v>
      </c>
      <c r="I1064" s="4" t="str">
        <f t="shared" si="67"/>
        <v>2023</v>
      </c>
      <c r="J1064" s="10" t="s">
        <v>12</v>
      </c>
    </row>
    <row r="1065" spans="1:10" x14ac:dyDescent="0.35">
      <c r="A1065" s="9" t="s">
        <v>1937</v>
      </c>
      <c r="B1065" s="3">
        <v>2</v>
      </c>
      <c r="C1065" s="4" t="str">
        <f t="shared" si="64"/>
        <v>Bad</v>
      </c>
      <c r="D1065" s="3" t="s">
        <v>2149</v>
      </c>
      <c r="E1065" s="3" t="s">
        <v>2150</v>
      </c>
      <c r="F1065" s="5" t="s">
        <v>2144</v>
      </c>
      <c r="G1065" s="4" t="str">
        <f t="shared" si="65"/>
        <v>20th</v>
      </c>
      <c r="H1065" s="4" t="str">
        <f t="shared" si="66"/>
        <v>February</v>
      </c>
      <c r="I1065" s="4" t="str">
        <f t="shared" si="67"/>
        <v>2023</v>
      </c>
      <c r="J1065" s="10" t="s">
        <v>12</v>
      </c>
    </row>
    <row r="1066" spans="1:10" x14ac:dyDescent="0.35">
      <c r="A1066" s="9" t="s">
        <v>1937</v>
      </c>
      <c r="B1066" s="3">
        <v>3</v>
      </c>
      <c r="C1066" s="4" t="str">
        <f t="shared" si="64"/>
        <v>Bad</v>
      </c>
      <c r="D1066" s="3" t="s">
        <v>2151</v>
      </c>
      <c r="E1066" s="3" t="s">
        <v>2152</v>
      </c>
      <c r="F1066" s="5" t="s">
        <v>2144</v>
      </c>
      <c r="G1066" s="4" t="str">
        <f t="shared" si="65"/>
        <v>20th</v>
      </c>
      <c r="H1066" s="4" t="str">
        <f t="shared" si="66"/>
        <v>February</v>
      </c>
      <c r="I1066" s="4" t="str">
        <f t="shared" si="67"/>
        <v>2023</v>
      </c>
      <c r="J1066" s="10" t="s">
        <v>12</v>
      </c>
    </row>
    <row r="1067" spans="1:10" x14ac:dyDescent="0.35">
      <c r="A1067" s="9" t="s">
        <v>1937</v>
      </c>
      <c r="B1067" s="3">
        <v>3</v>
      </c>
      <c r="C1067" s="4" t="str">
        <f t="shared" si="64"/>
        <v>Bad</v>
      </c>
      <c r="D1067" s="3" t="s">
        <v>2153</v>
      </c>
      <c r="E1067" s="3" t="s">
        <v>1798</v>
      </c>
      <c r="F1067" s="5" t="s">
        <v>2144</v>
      </c>
      <c r="G1067" s="4" t="str">
        <f t="shared" si="65"/>
        <v>20th</v>
      </c>
      <c r="H1067" s="4" t="str">
        <f t="shared" si="66"/>
        <v>February</v>
      </c>
      <c r="I1067" s="4" t="str">
        <f t="shared" si="67"/>
        <v>2023</v>
      </c>
      <c r="J1067" s="10" t="s">
        <v>12</v>
      </c>
    </row>
    <row r="1068" spans="1:10" x14ac:dyDescent="0.35">
      <c r="A1068" s="9" t="s">
        <v>1937</v>
      </c>
      <c r="B1068" s="3">
        <v>10</v>
      </c>
      <c r="C1068" s="4" t="str">
        <f t="shared" si="64"/>
        <v>Good</v>
      </c>
      <c r="D1068" s="3" t="s">
        <v>2154</v>
      </c>
      <c r="E1068" s="3" t="s">
        <v>2155</v>
      </c>
      <c r="F1068" s="5" t="s">
        <v>2144</v>
      </c>
      <c r="G1068" s="4" t="str">
        <f t="shared" si="65"/>
        <v>20th</v>
      </c>
      <c r="H1068" s="4" t="str">
        <f t="shared" si="66"/>
        <v>February</v>
      </c>
      <c r="I1068" s="4" t="str">
        <f t="shared" si="67"/>
        <v>2023</v>
      </c>
      <c r="J1068" s="10" t="s">
        <v>9</v>
      </c>
    </row>
    <row r="1069" spans="1:10" x14ac:dyDescent="0.35">
      <c r="A1069" s="9" t="s">
        <v>1937</v>
      </c>
      <c r="B1069" s="3">
        <v>4</v>
      </c>
      <c r="C1069" s="4" t="str">
        <f t="shared" si="64"/>
        <v>Bad</v>
      </c>
      <c r="D1069" s="3" t="s">
        <v>2156</v>
      </c>
      <c r="E1069" s="3" t="s">
        <v>2157</v>
      </c>
      <c r="F1069" s="5" t="s">
        <v>2144</v>
      </c>
      <c r="G1069" s="4" t="str">
        <f t="shared" si="65"/>
        <v>20th</v>
      </c>
      <c r="H1069" s="4" t="str">
        <f t="shared" si="66"/>
        <v>February</v>
      </c>
      <c r="I1069" s="4" t="str">
        <f t="shared" si="67"/>
        <v>2023</v>
      </c>
      <c r="J1069" s="10" t="s">
        <v>12</v>
      </c>
    </row>
    <row r="1070" spans="1:10" x14ac:dyDescent="0.35">
      <c r="A1070" s="9" t="s">
        <v>1937</v>
      </c>
      <c r="B1070" s="3">
        <v>7</v>
      </c>
      <c r="C1070" s="4" t="str">
        <f t="shared" si="64"/>
        <v>Neutral</v>
      </c>
      <c r="D1070" s="3" t="s">
        <v>2158</v>
      </c>
      <c r="E1070" s="3" t="s">
        <v>35</v>
      </c>
      <c r="F1070" s="5" t="s">
        <v>2144</v>
      </c>
      <c r="G1070" s="4" t="str">
        <f t="shared" si="65"/>
        <v>20th</v>
      </c>
      <c r="H1070" s="4" t="str">
        <f t="shared" si="66"/>
        <v>February</v>
      </c>
      <c r="I1070" s="4" t="str">
        <f t="shared" si="67"/>
        <v>2023</v>
      </c>
      <c r="J1070" s="10" t="s">
        <v>9</v>
      </c>
    </row>
    <row r="1071" spans="1:10" x14ac:dyDescent="0.35">
      <c r="A1071" s="9" t="s">
        <v>1937</v>
      </c>
      <c r="B1071" s="3">
        <v>8</v>
      </c>
      <c r="C1071" s="4" t="str">
        <f t="shared" si="64"/>
        <v>Good</v>
      </c>
      <c r="D1071" s="3" t="s">
        <v>2159</v>
      </c>
      <c r="E1071" s="3" t="s">
        <v>2160</v>
      </c>
      <c r="F1071" s="5" t="s">
        <v>2144</v>
      </c>
      <c r="G1071" s="4" t="str">
        <f t="shared" si="65"/>
        <v>20th</v>
      </c>
      <c r="H1071" s="4" t="str">
        <f t="shared" si="66"/>
        <v>February</v>
      </c>
      <c r="I1071" s="4" t="str">
        <f t="shared" si="67"/>
        <v>2023</v>
      </c>
      <c r="J1071" s="10" t="s">
        <v>9</v>
      </c>
    </row>
    <row r="1072" spans="1:10" x14ac:dyDescent="0.35">
      <c r="A1072" s="9" t="s">
        <v>1937</v>
      </c>
      <c r="B1072" s="3">
        <v>8</v>
      </c>
      <c r="C1072" s="4" t="str">
        <f t="shared" si="64"/>
        <v>Good</v>
      </c>
      <c r="D1072" s="3" t="s">
        <v>2161</v>
      </c>
      <c r="E1072" s="3" t="s">
        <v>35</v>
      </c>
      <c r="F1072" s="5" t="s">
        <v>2162</v>
      </c>
      <c r="G1072" s="4" t="str">
        <f t="shared" si="65"/>
        <v>19th</v>
      </c>
      <c r="H1072" s="4" t="str">
        <f t="shared" si="66"/>
        <v>January</v>
      </c>
      <c r="I1072" s="4" t="str">
        <f t="shared" si="67"/>
        <v>2023</v>
      </c>
      <c r="J1072" s="10" t="s">
        <v>9</v>
      </c>
    </row>
    <row r="1073" spans="1:10" x14ac:dyDescent="0.35">
      <c r="A1073" s="9" t="s">
        <v>1937</v>
      </c>
      <c r="B1073" s="3">
        <v>8</v>
      </c>
      <c r="C1073" s="4" t="str">
        <f t="shared" si="64"/>
        <v>Good</v>
      </c>
      <c r="D1073" s="3" t="s">
        <v>2163</v>
      </c>
      <c r="E1073" s="3" t="s">
        <v>2164</v>
      </c>
      <c r="F1073" s="5" t="s">
        <v>2162</v>
      </c>
      <c r="G1073" s="4" t="str">
        <f t="shared" si="65"/>
        <v>19th</v>
      </c>
      <c r="H1073" s="4" t="str">
        <f t="shared" si="66"/>
        <v>January</v>
      </c>
      <c r="I1073" s="4" t="str">
        <f t="shared" si="67"/>
        <v>2023</v>
      </c>
      <c r="J1073" s="10" t="s">
        <v>9</v>
      </c>
    </row>
    <row r="1074" spans="1:10" x14ac:dyDescent="0.35">
      <c r="A1074" s="9" t="s">
        <v>1937</v>
      </c>
      <c r="B1074" s="3">
        <v>1</v>
      </c>
      <c r="C1074" s="4" t="str">
        <f t="shared" si="64"/>
        <v>Bad</v>
      </c>
      <c r="D1074" s="3" t="s">
        <v>2165</v>
      </c>
      <c r="E1074" s="3" t="s">
        <v>2166</v>
      </c>
      <c r="F1074" s="5" t="s">
        <v>2162</v>
      </c>
      <c r="G1074" s="4" t="str">
        <f t="shared" si="65"/>
        <v>19th</v>
      </c>
      <c r="H1074" s="4" t="str">
        <f t="shared" si="66"/>
        <v>January</v>
      </c>
      <c r="I1074" s="4" t="str">
        <f t="shared" si="67"/>
        <v>2023</v>
      </c>
      <c r="J1074" s="10" t="s">
        <v>12</v>
      </c>
    </row>
    <row r="1075" spans="1:10" x14ac:dyDescent="0.35">
      <c r="A1075" s="9" t="s">
        <v>1937</v>
      </c>
      <c r="B1075" s="3">
        <v>1</v>
      </c>
      <c r="C1075" s="4" t="str">
        <f t="shared" si="64"/>
        <v>Bad</v>
      </c>
      <c r="D1075" s="3" t="s">
        <v>2167</v>
      </c>
      <c r="E1075" s="3" t="s">
        <v>2168</v>
      </c>
      <c r="F1075" s="5" t="s">
        <v>2162</v>
      </c>
      <c r="G1075" s="4" t="str">
        <f t="shared" si="65"/>
        <v>19th</v>
      </c>
      <c r="H1075" s="4" t="str">
        <f t="shared" si="66"/>
        <v>January</v>
      </c>
      <c r="I1075" s="4" t="str">
        <f t="shared" si="67"/>
        <v>2023</v>
      </c>
      <c r="J1075" s="10" t="s">
        <v>12</v>
      </c>
    </row>
    <row r="1076" spans="1:10" x14ac:dyDescent="0.35">
      <c r="A1076" s="9" t="s">
        <v>1937</v>
      </c>
      <c r="B1076" s="3">
        <v>3</v>
      </c>
      <c r="C1076" s="4" t="str">
        <f t="shared" si="64"/>
        <v>Bad</v>
      </c>
      <c r="D1076" s="3" t="s">
        <v>2169</v>
      </c>
      <c r="E1076" s="3" t="s">
        <v>2170</v>
      </c>
      <c r="F1076" s="5" t="s">
        <v>2162</v>
      </c>
      <c r="G1076" s="4" t="str">
        <f t="shared" si="65"/>
        <v>19th</v>
      </c>
      <c r="H1076" s="4" t="str">
        <f t="shared" si="66"/>
        <v>January</v>
      </c>
      <c r="I1076" s="4" t="str">
        <f t="shared" si="67"/>
        <v>2023</v>
      </c>
      <c r="J1076" s="10" t="s">
        <v>12</v>
      </c>
    </row>
    <row r="1077" spans="1:10" x14ac:dyDescent="0.35">
      <c r="A1077" s="9" t="s">
        <v>1937</v>
      </c>
      <c r="B1077" s="3">
        <v>1</v>
      </c>
      <c r="C1077" s="4" t="str">
        <f t="shared" si="64"/>
        <v>Bad</v>
      </c>
      <c r="D1077" s="3" t="s">
        <v>2171</v>
      </c>
      <c r="E1077" s="3" t="s">
        <v>2172</v>
      </c>
      <c r="F1077" s="5" t="s">
        <v>2162</v>
      </c>
      <c r="G1077" s="4" t="str">
        <f t="shared" si="65"/>
        <v>19th</v>
      </c>
      <c r="H1077" s="4" t="str">
        <f t="shared" si="66"/>
        <v>January</v>
      </c>
      <c r="I1077" s="4" t="str">
        <f t="shared" si="67"/>
        <v>2023</v>
      </c>
      <c r="J1077" s="10" t="s">
        <v>12</v>
      </c>
    </row>
    <row r="1078" spans="1:10" x14ac:dyDescent="0.35">
      <c r="A1078" s="9" t="s">
        <v>1937</v>
      </c>
      <c r="B1078" s="3">
        <v>1</v>
      </c>
      <c r="C1078" s="4" t="str">
        <f t="shared" si="64"/>
        <v>Bad</v>
      </c>
      <c r="D1078" s="3" t="s">
        <v>2173</v>
      </c>
      <c r="E1078" s="3" t="s">
        <v>2174</v>
      </c>
      <c r="F1078" s="5" t="s">
        <v>2162</v>
      </c>
      <c r="G1078" s="4" t="str">
        <f t="shared" si="65"/>
        <v>19th</v>
      </c>
      <c r="H1078" s="4" t="str">
        <f t="shared" si="66"/>
        <v>January</v>
      </c>
      <c r="I1078" s="4" t="str">
        <f t="shared" si="67"/>
        <v>2023</v>
      </c>
      <c r="J1078" s="10" t="s">
        <v>12</v>
      </c>
    </row>
    <row r="1079" spans="1:10" x14ac:dyDescent="0.35">
      <c r="A1079" s="9" t="s">
        <v>1937</v>
      </c>
      <c r="B1079" s="3">
        <v>4</v>
      </c>
      <c r="C1079" s="4" t="str">
        <f t="shared" si="64"/>
        <v>Bad</v>
      </c>
      <c r="D1079" s="3" t="s">
        <v>2175</v>
      </c>
      <c r="E1079" s="3" t="s">
        <v>2176</v>
      </c>
      <c r="F1079" s="5" t="s">
        <v>2162</v>
      </c>
      <c r="G1079" s="4" t="str">
        <f t="shared" si="65"/>
        <v>19th</v>
      </c>
      <c r="H1079" s="4" t="str">
        <f t="shared" si="66"/>
        <v>January</v>
      </c>
      <c r="I1079" s="4" t="str">
        <f t="shared" si="67"/>
        <v>2023</v>
      </c>
      <c r="J1079" s="10" t="s">
        <v>12</v>
      </c>
    </row>
    <row r="1080" spans="1:10" x14ac:dyDescent="0.35">
      <c r="A1080" s="9" t="s">
        <v>1937</v>
      </c>
      <c r="B1080" s="3">
        <v>7</v>
      </c>
      <c r="C1080" s="4" t="str">
        <f t="shared" si="64"/>
        <v>Neutral</v>
      </c>
      <c r="D1080" s="3" t="s">
        <v>2177</v>
      </c>
      <c r="E1080" s="3" t="s">
        <v>35</v>
      </c>
      <c r="F1080" s="5" t="s">
        <v>2162</v>
      </c>
      <c r="G1080" s="4" t="str">
        <f t="shared" si="65"/>
        <v>19th</v>
      </c>
      <c r="H1080" s="4" t="str">
        <f t="shared" si="66"/>
        <v>January</v>
      </c>
      <c r="I1080" s="4" t="str">
        <f t="shared" si="67"/>
        <v>2023</v>
      </c>
      <c r="J1080" s="10" t="s">
        <v>9</v>
      </c>
    </row>
    <row r="1081" spans="1:10" x14ac:dyDescent="0.35">
      <c r="A1081" s="9" t="s">
        <v>1937</v>
      </c>
      <c r="B1081" s="3">
        <v>5</v>
      </c>
      <c r="C1081" s="4" t="str">
        <f t="shared" si="64"/>
        <v>Neutral</v>
      </c>
      <c r="D1081" s="3" t="s">
        <v>2178</v>
      </c>
      <c r="E1081" s="3" t="s">
        <v>2179</v>
      </c>
      <c r="F1081" s="5" t="s">
        <v>2162</v>
      </c>
      <c r="G1081" s="4" t="str">
        <f t="shared" si="65"/>
        <v>19th</v>
      </c>
      <c r="H1081" s="4" t="str">
        <f t="shared" si="66"/>
        <v>January</v>
      </c>
      <c r="I1081" s="4" t="str">
        <f t="shared" si="67"/>
        <v>2023</v>
      </c>
      <c r="J1081" s="10" t="s">
        <v>12</v>
      </c>
    </row>
    <row r="1082" spans="1:10" x14ac:dyDescent="0.35">
      <c r="A1082" s="9" t="s">
        <v>1937</v>
      </c>
      <c r="B1082" s="3">
        <v>3</v>
      </c>
      <c r="C1082" s="4" t="str">
        <f t="shared" si="64"/>
        <v>Bad</v>
      </c>
      <c r="D1082" s="3" t="s">
        <v>2180</v>
      </c>
      <c r="E1082" s="3" t="s">
        <v>2181</v>
      </c>
      <c r="F1082" s="5" t="s">
        <v>1019</v>
      </c>
      <c r="G1082" s="4" t="str">
        <f t="shared" si="65"/>
        <v>11th</v>
      </c>
      <c r="H1082" s="4" t="str">
        <f t="shared" si="66"/>
        <v>December</v>
      </c>
      <c r="I1082" s="4" t="str">
        <f t="shared" si="67"/>
        <v>2022</v>
      </c>
      <c r="J1082" s="10" t="s">
        <v>12</v>
      </c>
    </row>
    <row r="1083" spans="1:10" x14ac:dyDescent="0.35">
      <c r="A1083" s="9" t="s">
        <v>1937</v>
      </c>
      <c r="B1083" s="3">
        <v>1</v>
      </c>
      <c r="C1083" s="4" t="str">
        <f t="shared" si="64"/>
        <v>Bad</v>
      </c>
      <c r="D1083" s="3" t="s">
        <v>2182</v>
      </c>
      <c r="E1083" s="3" t="s">
        <v>2183</v>
      </c>
      <c r="F1083" s="5" t="s">
        <v>1019</v>
      </c>
      <c r="G1083" s="4" t="str">
        <f t="shared" si="65"/>
        <v>11th</v>
      </c>
      <c r="H1083" s="4" t="str">
        <f t="shared" si="66"/>
        <v>December</v>
      </c>
      <c r="I1083" s="4" t="str">
        <f t="shared" si="67"/>
        <v>2022</v>
      </c>
      <c r="J1083" s="10" t="s">
        <v>12</v>
      </c>
    </row>
    <row r="1084" spans="1:10" x14ac:dyDescent="0.35">
      <c r="A1084" s="9" t="s">
        <v>1937</v>
      </c>
      <c r="B1084" s="3">
        <v>1</v>
      </c>
      <c r="C1084" s="4" t="str">
        <f t="shared" si="64"/>
        <v>Bad</v>
      </c>
      <c r="D1084" s="3" t="s">
        <v>2184</v>
      </c>
      <c r="E1084" s="3" t="s">
        <v>2185</v>
      </c>
      <c r="F1084" s="5" t="s">
        <v>1019</v>
      </c>
      <c r="G1084" s="4" t="str">
        <f t="shared" si="65"/>
        <v>11th</v>
      </c>
      <c r="H1084" s="4" t="str">
        <f t="shared" si="66"/>
        <v>December</v>
      </c>
      <c r="I1084" s="4" t="str">
        <f t="shared" si="67"/>
        <v>2022</v>
      </c>
      <c r="J1084" s="10" t="s">
        <v>12</v>
      </c>
    </row>
    <row r="1085" spans="1:10" x14ac:dyDescent="0.35">
      <c r="A1085" s="9" t="s">
        <v>1937</v>
      </c>
      <c r="B1085" s="3">
        <v>8</v>
      </c>
      <c r="C1085" s="4" t="str">
        <f t="shared" si="64"/>
        <v>Good</v>
      </c>
      <c r="D1085" s="3" t="s">
        <v>2186</v>
      </c>
      <c r="E1085" s="3" t="s">
        <v>35</v>
      </c>
      <c r="F1085" s="5" t="s">
        <v>1019</v>
      </c>
      <c r="G1085" s="4" t="str">
        <f t="shared" si="65"/>
        <v>11th</v>
      </c>
      <c r="H1085" s="4" t="str">
        <f t="shared" si="66"/>
        <v>December</v>
      </c>
      <c r="I1085" s="4" t="str">
        <f t="shared" si="67"/>
        <v>2022</v>
      </c>
      <c r="J1085" s="10" t="s">
        <v>9</v>
      </c>
    </row>
    <row r="1086" spans="1:10" x14ac:dyDescent="0.35">
      <c r="A1086" s="9" t="s">
        <v>1937</v>
      </c>
      <c r="B1086" s="3">
        <v>8</v>
      </c>
      <c r="C1086" s="4" t="str">
        <f t="shared" si="64"/>
        <v>Good</v>
      </c>
      <c r="D1086" s="3" t="s">
        <v>2187</v>
      </c>
      <c r="E1086" s="3" t="s">
        <v>35</v>
      </c>
      <c r="F1086" s="5" t="s">
        <v>1019</v>
      </c>
      <c r="G1086" s="4" t="str">
        <f t="shared" si="65"/>
        <v>11th</v>
      </c>
      <c r="H1086" s="4" t="str">
        <f t="shared" si="66"/>
        <v>December</v>
      </c>
      <c r="I1086" s="4" t="str">
        <f t="shared" si="67"/>
        <v>2022</v>
      </c>
      <c r="J1086" s="10" t="s">
        <v>9</v>
      </c>
    </row>
    <row r="1087" spans="1:10" x14ac:dyDescent="0.35">
      <c r="A1087" s="9" t="s">
        <v>1937</v>
      </c>
      <c r="B1087" s="3">
        <v>1</v>
      </c>
      <c r="C1087" s="4" t="str">
        <f t="shared" si="64"/>
        <v>Bad</v>
      </c>
      <c r="D1087" s="3" t="s">
        <v>2188</v>
      </c>
      <c r="E1087" s="3" t="s">
        <v>2189</v>
      </c>
      <c r="F1087" s="5" t="s">
        <v>1019</v>
      </c>
      <c r="G1087" s="4" t="str">
        <f t="shared" si="65"/>
        <v>11th</v>
      </c>
      <c r="H1087" s="4" t="str">
        <f t="shared" si="66"/>
        <v>December</v>
      </c>
      <c r="I1087" s="4" t="str">
        <f t="shared" si="67"/>
        <v>2022</v>
      </c>
      <c r="J1087" s="10" t="s">
        <v>12</v>
      </c>
    </row>
    <row r="1088" spans="1:10" x14ac:dyDescent="0.35">
      <c r="A1088" s="9" t="s">
        <v>1937</v>
      </c>
      <c r="B1088" s="3">
        <v>1</v>
      </c>
      <c r="C1088" s="4" t="str">
        <f t="shared" si="64"/>
        <v>Bad</v>
      </c>
      <c r="D1088" s="3" t="s">
        <v>2190</v>
      </c>
      <c r="E1088" s="3" t="s">
        <v>2191</v>
      </c>
      <c r="F1088" s="5" t="s">
        <v>1019</v>
      </c>
      <c r="G1088" s="4" t="str">
        <f t="shared" si="65"/>
        <v>11th</v>
      </c>
      <c r="H1088" s="4" t="str">
        <f t="shared" si="66"/>
        <v>December</v>
      </c>
      <c r="I1088" s="4" t="str">
        <f t="shared" si="67"/>
        <v>2022</v>
      </c>
      <c r="J1088" s="10" t="s">
        <v>9</v>
      </c>
    </row>
    <row r="1089" spans="1:10" x14ac:dyDescent="0.35">
      <c r="A1089" s="9" t="s">
        <v>1937</v>
      </c>
      <c r="B1089" s="3">
        <v>10</v>
      </c>
      <c r="C1089" s="4" t="str">
        <f t="shared" si="64"/>
        <v>Good</v>
      </c>
      <c r="D1089" s="3" t="s">
        <v>2192</v>
      </c>
      <c r="E1089" s="3" t="s">
        <v>2193</v>
      </c>
      <c r="F1089" s="5" t="s">
        <v>1019</v>
      </c>
      <c r="G1089" s="4" t="str">
        <f t="shared" si="65"/>
        <v>11th</v>
      </c>
      <c r="H1089" s="4" t="str">
        <f t="shared" si="66"/>
        <v>December</v>
      </c>
      <c r="I1089" s="4" t="str">
        <f t="shared" si="67"/>
        <v>2022</v>
      </c>
      <c r="J1089" s="10" t="s">
        <v>9</v>
      </c>
    </row>
    <row r="1090" spans="1:10" x14ac:dyDescent="0.35">
      <c r="A1090" s="9" t="s">
        <v>1937</v>
      </c>
      <c r="B1090" s="3">
        <v>10</v>
      </c>
      <c r="C1090" s="4" t="str">
        <f t="shared" si="64"/>
        <v>Good</v>
      </c>
      <c r="D1090" s="3" t="s">
        <v>2194</v>
      </c>
      <c r="E1090" s="3" t="s">
        <v>2195</v>
      </c>
      <c r="F1090" s="5" t="s">
        <v>1019</v>
      </c>
      <c r="G1090" s="4" t="str">
        <f t="shared" si="65"/>
        <v>11th</v>
      </c>
      <c r="H1090" s="4" t="str">
        <f t="shared" si="66"/>
        <v>December</v>
      </c>
      <c r="I1090" s="4" t="str">
        <f t="shared" si="67"/>
        <v>2022</v>
      </c>
      <c r="J1090" s="10" t="s">
        <v>9</v>
      </c>
    </row>
    <row r="1091" spans="1:10" x14ac:dyDescent="0.35">
      <c r="A1091" s="9" t="s">
        <v>1937</v>
      </c>
      <c r="B1091" s="3">
        <v>1</v>
      </c>
      <c r="C1091" s="4" t="str">
        <f t="shared" ref="C1091:C1154" si="68">IF(B1091&gt;=8,"Good",IF(B1091&gt;=5,"Neutral","Bad"))</f>
        <v>Bad</v>
      </c>
      <c r="D1091" s="3" t="s">
        <v>2196</v>
      </c>
      <c r="E1091" s="3" t="s">
        <v>2197</v>
      </c>
      <c r="F1091" s="5" t="s">
        <v>1019</v>
      </c>
      <c r="G1091" s="4" t="str">
        <f t="shared" ref="G1091:G1154" si="69">LEFT(F1091, FIND(" ", F1091)-1)</f>
        <v>11th</v>
      </c>
      <c r="H1091" s="4" t="str">
        <f t="shared" ref="H1091:H1154" si="70">TRIM(MID(F1091, FIND(" ", F1091)+1, FIND(" ", F1091, FIND(" ", F1091)+1) - FIND(" ", F1091)-1))</f>
        <v>December</v>
      </c>
      <c r="I1091" s="4" t="str">
        <f t="shared" ref="I1091:I1154" si="71">RIGHT(F1091, 4)</f>
        <v>2022</v>
      </c>
      <c r="J1091" s="10" t="s">
        <v>12</v>
      </c>
    </row>
    <row r="1092" spans="1:10" x14ac:dyDescent="0.35">
      <c r="A1092" s="9" t="s">
        <v>1937</v>
      </c>
      <c r="B1092" s="3">
        <v>3</v>
      </c>
      <c r="C1092" s="4" t="str">
        <f t="shared" si="68"/>
        <v>Bad</v>
      </c>
      <c r="D1092" s="3" t="s">
        <v>2198</v>
      </c>
      <c r="E1092" s="3" t="s">
        <v>2199</v>
      </c>
      <c r="F1092" s="5" t="s">
        <v>2200</v>
      </c>
      <c r="G1092" s="4" t="str">
        <f t="shared" si="69"/>
        <v>30th</v>
      </c>
      <c r="H1092" s="4" t="str">
        <f t="shared" si="70"/>
        <v>October</v>
      </c>
      <c r="I1092" s="4" t="str">
        <f t="shared" si="71"/>
        <v>2022</v>
      </c>
      <c r="J1092" s="10" t="s">
        <v>12</v>
      </c>
    </row>
    <row r="1093" spans="1:10" x14ac:dyDescent="0.35">
      <c r="A1093" s="9" t="s">
        <v>1937</v>
      </c>
      <c r="B1093" s="3">
        <v>1</v>
      </c>
      <c r="C1093" s="4" t="str">
        <f t="shared" si="68"/>
        <v>Bad</v>
      </c>
      <c r="D1093" s="3" t="s">
        <v>2201</v>
      </c>
      <c r="E1093" s="3" t="s">
        <v>2202</v>
      </c>
      <c r="F1093" s="5" t="s">
        <v>2200</v>
      </c>
      <c r="G1093" s="4" t="str">
        <f t="shared" si="69"/>
        <v>30th</v>
      </c>
      <c r="H1093" s="4" t="str">
        <f t="shared" si="70"/>
        <v>October</v>
      </c>
      <c r="I1093" s="4" t="str">
        <f t="shared" si="71"/>
        <v>2022</v>
      </c>
      <c r="J1093" s="10" t="s">
        <v>12</v>
      </c>
    </row>
    <row r="1094" spans="1:10" x14ac:dyDescent="0.35">
      <c r="A1094" s="9" t="s">
        <v>1937</v>
      </c>
      <c r="B1094" s="3">
        <v>1</v>
      </c>
      <c r="C1094" s="4" t="str">
        <f t="shared" si="68"/>
        <v>Bad</v>
      </c>
      <c r="D1094" s="3" t="s">
        <v>2203</v>
      </c>
      <c r="E1094" s="3" t="s">
        <v>2204</v>
      </c>
      <c r="F1094" s="5" t="s">
        <v>2200</v>
      </c>
      <c r="G1094" s="4" t="str">
        <f t="shared" si="69"/>
        <v>30th</v>
      </c>
      <c r="H1094" s="4" t="str">
        <f t="shared" si="70"/>
        <v>October</v>
      </c>
      <c r="I1094" s="4" t="str">
        <f t="shared" si="71"/>
        <v>2022</v>
      </c>
      <c r="J1094" s="10" t="s">
        <v>12</v>
      </c>
    </row>
    <row r="1095" spans="1:10" x14ac:dyDescent="0.35">
      <c r="A1095" s="9" t="s">
        <v>1937</v>
      </c>
      <c r="B1095" s="3">
        <v>1</v>
      </c>
      <c r="C1095" s="4" t="str">
        <f t="shared" si="68"/>
        <v>Bad</v>
      </c>
      <c r="D1095" s="3" t="s">
        <v>2205</v>
      </c>
      <c r="E1095" s="3" t="s">
        <v>2206</v>
      </c>
      <c r="F1095" s="5" t="s">
        <v>2200</v>
      </c>
      <c r="G1095" s="4" t="str">
        <f t="shared" si="69"/>
        <v>30th</v>
      </c>
      <c r="H1095" s="4" t="str">
        <f t="shared" si="70"/>
        <v>October</v>
      </c>
      <c r="I1095" s="4" t="str">
        <f t="shared" si="71"/>
        <v>2022</v>
      </c>
      <c r="J1095" s="10" t="s">
        <v>12</v>
      </c>
    </row>
    <row r="1096" spans="1:10" x14ac:dyDescent="0.35">
      <c r="A1096" s="9" t="s">
        <v>1937</v>
      </c>
      <c r="B1096" s="3">
        <v>1</v>
      </c>
      <c r="C1096" s="4" t="str">
        <f t="shared" si="68"/>
        <v>Bad</v>
      </c>
      <c r="D1096" s="3" t="s">
        <v>2207</v>
      </c>
      <c r="E1096" s="3" t="s">
        <v>2208</v>
      </c>
      <c r="F1096" s="5" t="s">
        <v>2200</v>
      </c>
      <c r="G1096" s="4" t="str">
        <f t="shared" si="69"/>
        <v>30th</v>
      </c>
      <c r="H1096" s="4" t="str">
        <f t="shared" si="70"/>
        <v>October</v>
      </c>
      <c r="I1096" s="4" t="str">
        <f t="shared" si="71"/>
        <v>2022</v>
      </c>
      <c r="J1096" s="10" t="s">
        <v>12</v>
      </c>
    </row>
    <row r="1097" spans="1:10" x14ac:dyDescent="0.35">
      <c r="A1097" s="9" t="s">
        <v>1937</v>
      </c>
      <c r="B1097" s="3">
        <v>1</v>
      </c>
      <c r="C1097" s="4" t="str">
        <f t="shared" si="68"/>
        <v>Bad</v>
      </c>
      <c r="D1097" s="3" t="s">
        <v>2209</v>
      </c>
      <c r="E1097" s="3" t="s">
        <v>2210</v>
      </c>
      <c r="F1097" s="5" t="s">
        <v>2200</v>
      </c>
      <c r="G1097" s="4" t="str">
        <f t="shared" si="69"/>
        <v>30th</v>
      </c>
      <c r="H1097" s="4" t="str">
        <f t="shared" si="70"/>
        <v>October</v>
      </c>
      <c r="I1097" s="4" t="str">
        <f t="shared" si="71"/>
        <v>2022</v>
      </c>
      <c r="J1097" s="10" t="s">
        <v>12</v>
      </c>
    </row>
    <row r="1098" spans="1:10" x14ac:dyDescent="0.35">
      <c r="A1098" s="9" t="s">
        <v>1937</v>
      </c>
      <c r="B1098" s="3">
        <v>1</v>
      </c>
      <c r="C1098" s="4" t="str">
        <f t="shared" si="68"/>
        <v>Bad</v>
      </c>
      <c r="D1098" s="3" t="s">
        <v>2211</v>
      </c>
      <c r="E1098" s="3" t="s">
        <v>2212</v>
      </c>
      <c r="F1098" s="5" t="s">
        <v>2200</v>
      </c>
      <c r="G1098" s="4" t="str">
        <f t="shared" si="69"/>
        <v>30th</v>
      </c>
      <c r="H1098" s="4" t="str">
        <f t="shared" si="70"/>
        <v>October</v>
      </c>
      <c r="I1098" s="4" t="str">
        <f t="shared" si="71"/>
        <v>2022</v>
      </c>
      <c r="J1098" s="10" t="s">
        <v>12</v>
      </c>
    </row>
    <row r="1099" spans="1:10" x14ac:dyDescent="0.35">
      <c r="A1099" s="9" t="s">
        <v>1937</v>
      </c>
      <c r="B1099" s="3">
        <v>3</v>
      </c>
      <c r="C1099" s="4" t="str">
        <f t="shared" si="68"/>
        <v>Bad</v>
      </c>
      <c r="D1099" s="3" t="s">
        <v>2213</v>
      </c>
      <c r="E1099" s="3" t="s">
        <v>2214</v>
      </c>
      <c r="F1099" s="5" t="s">
        <v>2200</v>
      </c>
      <c r="G1099" s="4" t="str">
        <f t="shared" si="69"/>
        <v>30th</v>
      </c>
      <c r="H1099" s="4" t="str">
        <f t="shared" si="70"/>
        <v>October</v>
      </c>
      <c r="I1099" s="4" t="str">
        <f t="shared" si="71"/>
        <v>2022</v>
      </c>
      <c r="J1099" s="10" t="s">
        <v>12</v>
      </c>
    </row>
    <row r="1100" spans="1:10" x14ac:dyDescent="0.35">
      <c r="A1100" s="9" t="s">
        <v>1937</v>
      </c>
      <c r="B1100" s="3">
        <v>1</v>
      </c>
      <c r="C1100" s="4" t="str">
        <f t="shared" si="68"/>
        <v>Bad</v>
      </c>
      <c r="D1100" s="3" t="s">
        <v>2215</v>
      </c>
      <c r="E1100" s="3" t="s">
        <v>2216</v>
      </c>
      <c r="F1100" s="5" t="s">
        <v>2200</v>
      </c>
      <c r="G1100" s="4" t="str">
        <f t="shared" si="69"/>
        <v>30th</v>
      </c>
      <c r="H1100" s="4" t="str">
        <f t="shared" si="70"/>
        <v>October</v>
      </c>
      <c r="I1100" s="4" t="str">
        <f t="shared" si="71"/>
        <v>2022</v>
      </c>
      <c r="J1100" s="10" t="s">
        <v>12</v>
      </c>
    </row>
    <row r="1101" spans="1:10" x14ac:dyDescent="0.35">
      <c r="A1101" s="9" t="s">
        <v>1937</v>
      </c>
      <c r="B1101" s="3">
        <v>1</v>
      </c>
      <c r="C1101" s="4" t="str">
        <f t="shared" si="68"/>
        <v>Bad</v>
      </c>
      <c r="D1101" s="3" t="s">
        <v>2217</v>
      </c>
      <c r="E1101" s="3" t="s">
        <v>514</v>
      </c>
      <c r="F1101" s="5" t="s">
        <v>2200</v>
      </c>
      <c r="G1101" s="4" t="str">
        <f t="shared" si="69"/>
        <v>30th</v>
      </c>
      <c r="H1101" s="4" t="str">
        <f t="shared" si="70"/>
        <v>October</v>
      </c>
      <c r="I1101" s="4" t="str">
        <f t="shared" si="71"/>
        <v>2022</v>
      </c>
      <c r="J1101" s="10" t="s">
        <v>12</v>
      </c>
    </row>
    <row r="1102" spans="1:10" x14ac:dyDescent="0.35">
      <c r="A1102" s="9" t="s">
        <v>1937</v>
      </c>
      <c r="B1102" s="3">
        <v>1</v>
      </c>
      <c r="C1102" s="4" t="str">
        <f t="shared" si="68"/>
        <v>Bad</v>
      </c>
      <c r="D1102" s="3" t="s">
        <v>2218</v>
      </c>
      <c r="E1102" s="3" t="s">
        <v>2219</v>
      </c>
      <c r="F1102" s="5" t="s">
        <v>2220</v>
      </c>
      <c r="G1102" s="4" t="str">
        <f t="shared" si="69"/>
        <v>19th</v>
      </c>
      <c r="H1102" s="4" t="str">
        <f t="shared" si="70"/>
        <v>September</v>
      </c>
      <c r="I1102" s="4" t="str">
        <f t="shared" si="71"/>
        <v>2022</v>
      </c>
      <c r="J1102" s="10" t="s">
        <v>12</v>
      </c>
    </row>
    <row r="1103" spans="1:10" x14ac:dyDescent="0.35">
      <c r="A1103" s="9" t="s">
        <v>1937</v>
      </c>
      <c r="B1103" s="3">
        <v>1</v>
      </c>
      <c r="C1103" s="4" t="str">
        <f t="shared" si="68"/>
        <v>Bad</v>
      </c>
      <c r="D1103" s="3" t="s">
        <v>2221</v>
      </c>
      <c r="E1103" s="3" t="s">
        <v>2222</v>
      </c>
      <c r="F1103" s="5" t="s">
        <v>2220</v>
      </c>
      <c r="G1103" s="4" t="str">
        <f t="shared" si="69"/>
        <v>19th</v>
      </c>
      <c r="H1103" s="4" t="str">
        <f t="shared" si="70"/>
        <v>September</v>
      </c>
      <c r="I1103" s="4" t="str">
        <f t="shared" si="71"/>
        <v>2022</v>
      </c>
      <c r="J1103" s="10" t="s">
        <v>12</v>
      </c>
    </row>
    <row r="1104" spans="1:10" x14ac:dyDescent="0.35">
      <c r="A1104" s="9" t="s">
        <v>1937</v>
      </c>
      <c r="B1104" s="3">
        <v>7</v>
      </c>
      <c r="C1104" s="4" t="str">
        <f t="shared" si="68"/>
        <v>Neutral</v>
      </c>
      <c r="D1104" s="3" t="s">
        <v>2223</v>
      </c>
      <c r="E1104" s="3" t="s">
        <v>35</v>
      </c>
      <c r="F1104" s="5" t="s">
        <v>2220</v>
      </c>
      <c r="G1104" s="4" t="str">
        <f t="shared" si="69"/>
        <v>19th</v>
      </c>
      <c r="H1104" s="4" t="str">
        <f t="shared" si="70"/>
        <v>September</v>
      </c>
      <c r="I1104" s="4" t="str">
        <f t="shared" si="71"/>
        <v>2022</v>
      </c>
      <c r="J1104" s="10" t="s">
        <v>9</v>
      </c>
    </row>
    <row r="1105" spans="1:10" x14ac:dyDescent="0.35">
      <c r="A1105" s="9" t="s">
        <v>1937</v>
      </c>
      <c r="B1105" s="3">
        <v>1</v>
      </c>
      <c r="C1105" s="4" t="str">
        <f t="shared" si="68"/>
        <v>Bad</v>
      </c>
      <c r="D1105" s="3" t="s">
        <v>2224</v>
      </c>
      <c r="E1105" s="3" t="s">
        <v>2225</v>
      </c>
      <c r="F1105" s="5" t="s">
        <v>2220</v>
      </c>
      <c r="G1105" s="4" t="str">
        <f t="shared" si="69"/>
        <v>19th</v>
      </c>
      <c r="H1105" s="4" t="str">
        <f t="shared" si="70"/>
        <v>September</v>
      </c>
      <c r="I1105" s="4" t="str">
        <f t="shared" si="71"/>
        <v>2022</v>
      </c>
      <c r="J1105" s="10" t="s">
        <v>12</v>
      </c>
    </row>
    <row r="1106" spans="1:10" x14ac:dyDescent="0.35">
      <c r="A1106" s="9" t="s">
        <v>1937</v>
      </c>
      <c r="B1106" s="3">
        <v>8</v>
      </c>
      <c r="C1106" s="4" t="str">
        <f t="shared" si="68"/>
        <v>Good</v>
      </c>
      <c r="D1106" s="3" t="s">
        <v>2226</v>
      </c>
      <c r="E1106" s="3" t="s">
        <v>35</v>
      </c>
      <c r="F1106" s="5" t="s">
        <v>2220</v>
      </c>
      <c r="G1106" s="4" t="str">
        <f t="shared" si="69"/>
        <v>19th</v>
      </c>
      <c r="H1106" s="4" t="str">
        <f t="shared" si="70"/>
        <v>September</v>
      </c>
      <c r="I1106" s="4" t="str">
        <f t="shared" si="71"/>
        <v>2022</v>
      </c>
      <c r="J1106" s="10" t="s">
        <v>9</v>
      </c>
    </row>
    <row r="1107" spans="1:10" x14ac:dyDescent="0.35">
      <c r="A1107" s="9" t="s">
        <v>1937</v>
      </c>
      <c r="B1107" s="3">
        <v>10</v>
      </c>
      <c r="C1107" s="4" t="str">
        <f t="shared" si="68"/>
        <v>Good</v>
      </c>
      <c r="D1107" s="3" t="s">
        <v>2227</v>
      </c>
      <c r="E1107" s="3" t="s">
        <v>2228</v>
      </c>
      <c r="F1107" s="5" t="s">
        <v>2220</v>
      </c>
      <c r="G1107" s="4" t="str">
        <f t="shared" si="69"/>
        <v>19th</v>
      </c>
      <c r="H1107" s="4" t="str">
        <f t="shared" si="70"/>
        <v>September</v>
      </c>
      <c r="I1107" s="4" t="str">
        <f t="shared" si="71"/>
        <v>2022</v>
      </c>
      <c r="J1107" s="10" t="s">
        <v>9</v>
      </c>
    </row>
    <row r="1108" spans="1:10" x14ac:dyDescent="0.35">
      <c r="A1108" s="9" t="s">
        <v>1937</v>
      </c>
      <c r="B1108" s="3">
        <v>5</v>
      </c>
      <c r="C1108" s="4" t="str">
        <f t="shared" si="68"/>
        <v>Neutral</v>
      </c>
      <c r="D1108" s="3" t="s">
        <v>2229</v>
      </c>
      <c r="E1108" s="3" t="s">
        <v>2230</v>
      </c>
      <c r="F1108" s="5" t="s">
        <v>2220</v>
      </c>
      <c r="G1108" s="4" t="str">
        <f t="shared" si="69"/>
        <v>19th</v>
      </c>
      <c r="H1108" s="4" t="str">
        <f t="shared" si="70"/>
        <v>September</v>
      </c>
      <c r="I1108" s="4" t="str">
        <f t="shared" si="71"/>
        <v>2022</v>
      </c>
      <c r="J1108" s="10" t="s">
        <v>12</v>
      </c>
    </row>
    <row r="1109" spans="1:10" x14ac:dyDescent="0.35">
      <c r="A1109" s="9" t="s">
        <v>1937</v>
      </c>
      <c r="B1109" s="3">
        <v>3</v>
      </c>
      <c r="C1109" s="4" t="str">
        <f t="shared" si="68"/>
        <v>Bad</v>
      </c>
      <c r="D1109" s="3" t="s">
        <v>2231</v>
      </c>
      <c r="E1109" s="3" t="s">
        <v>2232</v>
      </c>
      <c r="F1109" s="5" t="s">
        <v>2220</v>
      </c>
      <c r="G1109" s="4" t="str">
        <f t="shared" si="69"/>
        <v>19th</v>
      </c>
      <c r="H1109" s="4" t="str">
        <f t="shared" si="70"/>
        <v>September</v>
      </c>
      <c r="I1109" s="4" t="str">
        <f t="shared" si="71"/>
        <v>2022</v>
      </c>
      <c r="J1109" s="10" t="s">
        <v>12</v>
      </c>
    </row>
    <row r="1110" spans="1:10" x14ac:dyDescent="0.35">
      <c r="A1110" s="9" t="s">
        <v>1937</v>
      </c>
      <c r="B1110" s="3">
        <v>1</v>
      </c>
      <c r="C1110" s="4" t="str">
        <f t="shared" si="68"/>
        <v>Bad</v>
      </c>
      <c r="D1110" s="3" t="s">
        <v>2233</v>
      </c>
      <c r="E1110" s="3" t="s">
        <v>2234</v>
      </c>
      <c r="F1110" s="5" t="s">
        <v>2220</v>
      </c>
      <c r="G1110" s="4" t="str">
        <f t="shared" si="69"/>
        <v>19th</v>
      </c>
      <c r="H1110" s="4" t="str">
        <f t="shared" si="70"/>
        <v>September</v>
      </c>
      <c r="I1110" s="4" t="str">
        <f t="shared" si="71"/>
        <v>2022</v>
      </c>
      <c r="J1110" s="10" t="s">
        <v>12</v>
      </c>
    </row>
    <row r="1111" spans="1:10" x14ac:dyDescent="0.35">
      <c r="A1111" s="9" t="s">
        <v>1937</v>
      </c>
      <c r="B1111" s="3">
        <v>7</v>
      </c>
      <c r="C1111" s="4" t="str">
        <f t="shared" si="68"/>
        <v>Neutral</v>
      </c>
      <c r="D1111" s="3" t="s">
        <v>2235</v>
      </c>
      <c r="E1111" s="3" t="s">
        <v>35</v>
      </c>
      <c r="F1111" s="5" t="s">
        <v>2220</v>
      </c>
      <c r="G1111" s="4" t="str">
        <f t="shared" si="69"/>
        <v>19th</v>
      </c>
      <c r="H1111" s="4" t="str">
        <f t="shared" si="70"/>
        <v>September</v>
      </c>
      <c r="I1111" s="4" t="str">
        <f t="shared" si="71"/>
        <v>2022</v>
      </c>
      <c r="J1111" s="10" t="s">
        <v>9</v>
      </c>
    </row>
    <row r="1112" spans="1:10" x14ac:dyDescent="0.35">
      <c r="A1112" s="9" t="s">
        <v>1937</v>
      </c>
      <c r="B1112" s="3">
        <v>7</v>
      </c>
      <c r="C1112" s="4" t="str">
        <f t="shared" si="68"/>
        <v>Neutral</v>
      </c>
      <c r="D1112" s="3" t="s">
        <v>2236</v>
      </c>
      <c r="E1112" s="3" t="s">
        <v>35</v>
      </c>
      <c r="F1112" s="5" t="s">
        <v>2237</v>
      </c>
      <c r="G1112" s="4" t="str">
        <f t="shared" si="69"/>
        <v>16th</v>
      </c>
      <c r="H1112" s="4" t="str">
        <f t="shared" si="70"/>
        <v>July</v>
      </c>
      <c r="I1112" s="4" t="str">
        <f t="shared" si="71"/>
        <v>2022</v>
      </c>
      <c r="J1112" s="10" t="s">
        <v>9</v>
      </c>
    </row>
    <row r="1113" spans="1:10" x14ac:dyDescent="0.35">
      <c r="A1113" s="9" t="s">
        <v>1937</v>
      </c>
      <c r="B1113" s="3">
        <v>8</v>
      </c>
      <c r="C1113" s="4" t="str">
        <f t="shared" si="68"/>
        <v>Good</v>
      </c>
      <c r="D1113" s="3" t="s">
        <v>2238</v>
      </c>
      <c r="E1113" s="3" t="s">
        <v>35</v>
      </c>
      <c r="F1113" s="5" t="s">
        <v>2237</v>
      </c>
      <c r="G1113" s="4" t="str">
        <f t="shared" si="69"/>
        <v>16th</v>
      </c>
      <c r="H1113" s="4" t="str">
        <f t="shared" si="70"/>
        <v>July</v>
      </c>
      <c r="I1113" s="4" t="str">
        <f t="shared" si="71"/>
        <v>2022</v>
      </c>
      <c r="J1113" s="10" t="s">
        <v>9</v>
      </c>
    </row>
    <row r="1114" spans="1:10" x14ac:dyDescent="0.35">
      <c r="A1114" s="9" t="s">
        <v>1937</v>
      </c>
      <c r="B1114" s="3">
        <v>1</v>
      </c>
      <c r="C1114" s="4" t="str">
        <f t="shared" si="68"/>
        <v>Bad</v>
      </c>
      <c r="D1114" s="3" t="s">
        <v>2021</v>
      </c>
      <c r="E1114" s="3" t="s">
        <v>2239</v>
      </c>
      <c r="F1114" s="5" t="s">
        <v>2237</v>
      </c>
      <c r="G1114" s="4" t="str">
        <f t="shared" si="69"/>
        <v>16th</v>
      </c>
      <c r="H1114" s="4" t="str">
        <f t="shared" si="70"/>
        <v>July</v>
      </c>
      <c r="I1114" s="4" t="str">
        <f t="shared" si="71"/>
        <v>2022</v>
      </c>
      <c r="J1114" s="10" t="s">
        <v>12</v>
      </c>
    </row>
    <row r="1115" spans="1:10" x14ac:dyDescent="0.35">
      <c r="A1115" s="9" t="s">
        <v>1937</v>
      </c>
      <c r="B1115" s="3">
        <v>9</v>
      </c>
      <c r="C1115" s="4" t="str">
        <f t="shared" si="68"/>
        <v>Good</v>
      </c>
      <c r="D1115" s="3" t="s">
        <v>2240</v>
      </c>
      <c r="E1115" s="3" t="s">
        <v>2241</v>
      </c>
      <c r="F1115" s="5" t="s">
        <v>2237</v>
      </c>
      <c r="G1115" s="4" t="str">
        <f t="shared" si="69"/>
        <v>16th</v>
      </c>
      <c r="H1115" s="4" t="str">
        <f t="shared" si="70"/>
        <v>July</v>
      </c>
      <c r="I1115" s="4" t="str">
        <f t="shared" si="71"/>
        <v>2022</v>
      </c>
      <c r="J1115" s="10" t="s">
        <v>9</v>
      </c>
    </row>
    <row r="1116" spans="1:10" x14ac:dyDescent="0.35">
      <c r="A1116" s="9" t="s">
        <v>1937</v>
      </c>
      <c r="B1116" s="3">
        <v>8</v>
      </c>
      <c r="C1116" s="4" t="str">
        <f t="shared" si="68"/>
        <v>Good</v>
      </c>
      <c r="D1116" s="3" t="s">
        <v>2242</v>
      </c>
      <c r="E1116" s="3" t="s">
        <v>544</v>
      </c>
      <c r="F1116" s="5" t="s">
        <v>2237</v>
      </c>
      <c r="G1116" s="4" t="str">
        <f t="shared" si="69"/>
        <v>16th</v>
      </c>
      <c r="H1116" s="4" t="str">
        <f t="shared" si="70"/>
        <v>July</v>
      </c>
      <c r="I1116" s="4" t="str">
        <f t="shared" si="71"/>
        <v>2022</v>
      </c>
      <c r="J1116" s="10" t="s">
        <v>9</v>
      </c>
    </row>
    <row r="1117" spans="1:10" x14ac:dyDescent="0.35">
      <c r="A1117" s="9" t="s">
        <v>1937</v>
      </c>
      <c r="B1117" s="3">
        <v>1</v>
      </c>
      <c r="C1117" s="4" t="str">
        <f t="shared" si="68"/>
        <v>Bad</v>
      </c>
      <c r="D1117" s="3" t="s">
        <v>2243</v>
      </c>
      <c r="E1117" s="3" t="s">
        <v>2244</v>
      </c>
      <c r="F1117" s="5" t="s">
        <v>2237</v>
      </c>
      <c r="G1117" s="4" t="str">
        <f t="shared" si="69"/>
        <v>16th</v>
      </c>
      <c r="H1117" s="4" t="str">
        <f t="shared" si="70"/>
        <v>July</v>
      </c>
      <c r="I1117" s="4" t="str">
        <f t="shared" si="71"/>
        <v>2022</v>
      </c>
      <c r="J1117" s="10" t="s">
        <v>12</v>
      </c>
    </row>
    <row r="1118" spans="1:10" x14ac:dyDescent="0.35">
      <c r="A1118" s="9" t="s">
        <v>1937</v>
      </c>
      <c r="B1118" s="3">
        <v>1</v>
      </c>
      <c r="C1118" s="4" t="str">
        <f t="shared" si="68"/>
        <v>Bad</v>
      </c>
      <c r="D1118" s="3" t="s">
        <v>2245</v>
      </c>
      <c r="E1118" s="3" t="s">
        <v>2246</v>
      </c>
      <c r="F1118" s="5" t="s">
        <v>2237</v>
      </c>
      <c r="G1118" s="4" t="str">
        <f t="shared" si="69"/>
        <v>16th</v>
      </c>
      <c r="H1118" s="4" t="str">
        <f t="shared" si="70"/>
        <v>July</v>
      </c>
      <c r="I1118" s="4" t="str">
        <f t="shared" si="71"/>
        <v>2022</v>
      </c>
      <c r="J1118" s="10" t="s">
        <v>12</v>
      </c>
    </row>
    <row r="1119" spans="1:10" x14ac:dyDescent="0.35">
      <c r="A1119" s="9" t="s">
        <v>1937</v>
      </c>
      <c r="B1119" s="3">
        <v>2</v>
      </c>
      <c r="C1119" s="4" t="str">
        <f t="shared" si="68"/>
        <v>Bad</v>
      </c>
      <c r="D1119" s="3" t="s">
        <v>2247</v>
      </c>
      <c r="E1119" s="3" t="s">
        <v>2248</v>
      </c>
      <c r="F1119" s="5" t="s">
        <v>2237</v>
      </c>
      <c r="G1119" s="4" t="str">
        <f t="shared" si="69"/>
        <v>16th</v>
      </c>
      <c r="H1119" s="4" t="str">
        <f t="shared" si="70"/>
        <v>July</v>
      </c>
      <c r="I1119" s="4" t="str">
        <f t="shared" si="71"/>
        <v>2022</v>
      </c>
      <c r="J1119" s="10" t="s">
        <v>12</v>
      </c>
    </row>
    <row r="1120" spans="1:10" x14ac:dyDescent="0.35">
      <c r="A1120" s="9" t="s">
        <v>1937</v>
      </c>
      <c r="B1120" s="3">
        <v>10</v>
      </c>
      <c r="C1120" s="4" t="str">
        <f t="shared" si="68"/>
        <v>Good</v>
      </c>
      <c r="D1120" s="3" t="s">
        <v>2249</v>
      </c>
      <c r="E1120" s="3" t="s">
        <v>2250</v>
      </c>
      <c r="F1120" s="5" t="s">
        <v>2237</v>
      </c>
      <c r="G1120" s="4" t="str">
        <f t="shared" si="69"/>
        <v>16th</v>
      </c>
      <c r="H1120" s="4" t="str">
        <f t="shared" si="70"/>
        <v>July</v>
      </c>
      <c r="I1120" s="4" t="str">
        <f t="shared" si="71"/>
        <v>2022</v>
      </c>
      <c r="J1120" s="10" t="s">
        <v>9</v>
      </c>
    </row>
    <row r="1121" spans="1:10" x14ac:dyDescent="0.35">
      <c r="A1121" s="9" t="s">
        <v>1937</v>
      </c>
      <c r="B1121" s="3">
        <v>4</v>
      </c>
      <c r="C1121" s="4" t="str">
        <f t="shared" si="68"/>
        <v>Bad</v>
      </c>
      <c r="D1121" s="3" t="s">
        <v>2251</v>
      </c>
      <c r="E1121" s="3" t="s">
        <v>2252</v>
      </c>
      <c r="F1121" s="5" t="s">
        <v>2237</v>
      </c>
      <c r="G1121" s="4" t="str">
        <f t="shared" si="69"/>
        <v>16th</v>
      </c>
      <c r="H1121" s="4" t="str">
        <f t="shared" si="70"/>
        <v>July</v>
      </c>
      <c r="I1121" s="4" t="str">
        <f t="shared" si="71"/>
        <v>2022</v>
      </c>
      <c r="J1121" s="10" t="s">
        <v>9</v>
      </c>
    </row>
    <row r="1122" spans="1:10" x14ac:dyDescent="0.35">
      <c r="A1122" s="9" t="s">
        <v>1937</v>
      </c>
      <c r="B1122" s="3">
        <v>5</v>
      </c>
      <c r="C1122" s="4" t="str">
        <f t="shared" si="68"/>
        <v>Neutral</v>
      </c>
      <c r="D1122" s="3" t="s">
        <v>2253</v>
      </c>
      <c r="E1122" s="3" t="s">
        <v>2254</v>
      </c>
      <c r="F1122" s="5" t="s">
        <v>2255</v>
      </c>
      <c r="G1122" s="4" t="str">
        <f t="shared" si="69"/>
        <v>15th</v>
      </c>
      <c r="H1122" s="4" t="str">
        <f t="shared" si="70"/>
        <v>May</v>
      </c>
      <c r="I1122" s="4" t="str">
        <f t="shared" si="71"/>
        <v>2022</v>
      </c>
      <c r="J1122" s="10" t="s">
        <v>12</v>
      </c>
    </row>
    <row r="1123" spans="1:10" x14ac:dyDescent="0.35">
      <c r="A1123" s="9" t="s">
        <v>1937</v>
      </c>
      <c r="B1123" s="3">
        <v>9</v>
      </c>
      <c r="C1123" s="4" t="str">
        <f t="shared" si="68"/>
        <v>Good</v>
      </c>
      <c r="D1123" s="3" t="s">
        <v>2256</v>
      </c>
      <c r="E1123" s="3" t="s">
        <v>2257</v>
      </c>
      <c r="F1123" s="5" t="s">
        <v>2255</v>
      </c>
      <c r="G1123" s="4" t="str">
        <f t="shared" si="69"/>
        <v>15th</v>
      </c>
      <c r="H1123" s="4" t="str">
        <f t="shared" si="70"/>
        <v>May</v>
      </c>
      <c r="I1123" s="4" t="str">
        <f t="shared" si="71"/>
        <v>2022</v>
      </c>
      <c r="J1123" s="10" t="s">
        <v>9</v>
      </c>
    </row>
    <row r="1124" spans="1:10" x14ac:dyDescent="0.35">
      <c r="A1124" s="9" t="s">
        <v>1937</v>
      </c>
      <c r="B1124" s="3">
        <v>2</v>
      </c>
      <c r="C1124" s="4" t="str">
        <f t="shared" si="68"/>
        <v>Bad</v>
      </c>
      <c r="D1124" s="3" t="s">
        <v>2258</v>
      </c>
      <c r="E1124" s="3" t="s">
        <v>2259</v>
      </c>
      <c r="F1124" s="5" t="s">
        <v>2255</v>
      </c>
      <c r="G1124" s="4" t="str">
        <f t="shared" si="69"/>
        <v>15th</v>
      </c>
      <c r="H1124" s="4" t="str">
        <f t="shared" si="70"/>
        <v>May</v>
      </c>
      <c r="I1124" s="4" t="str">
        <f t="shared" si="71"/>
        <v>2022</v>
      </c>
      <c r="J1124" s="10" t="s">
        <v>12</v>
      </c>
    </row>
    <row r="1125" spans="1:10" x14ac:dyDescent="0.35">
      <c r="A1125" s="9" t="s">
        <v>1937</v>
      </c>
      <c r="B1125" s="3">
        <v>8</v>
      </c>
      <c r="C1125" s="4" t="str">
        <f t="shared" si="68"/>
        <v>Good</v>
      </c>
      <c r="D1125" s="3" t="s">
        <v>2260</v>
      </c>
      <c r="E1125" s="3" t="s">
        <v>35</v>
      </c>
      <c r="F1125" s="5" t="s">
        <v>2255</v>
      </c>
      <c r="G1125" s="4" t="str">
        <f t="shared" si="69"/>
        <v>15th</v>
      </c>
      <c r="H1125" s="4" t="str">
        <f t="shared" si="70"/>
        <v>May</v>
      </c>
      <c r="I1125" s="4" t="str">
        <f t="shared" si="71"/>
        <v>2022</v>
      </c>
      <c r="J1125" s="10" t="s">
        <v>9</v>
      </c>
    </row>
    <row r="1126" spans="1:10" x14ac:dyDescent="0.35">
      <c r="A1126" s="9" t="s">
        <v>1937</v>
      </c>
      <c r="B1126" s="3">
        <v>2</v>
      </c>
      <c r="C1126" s="4" t="str">
        <f t="shared" si="68"/>
        <v>Bad</v>
      </c>
      <c r="D1126" s="3" t="s">
        <v>2261</v>
      </c>
      <c r="E1126" s="3" t="s">
        <v>2262</v>
      </c>
      <c r="F1126" s="5" t="s">
        <v>2255</v>
      </c>
      <c r="G1126" s="4" t="str">
        <f t="shared" si="69"/>
        <v>15th</v>
      </c>
      <c r="H1126" s="4" t="str">
        <f t="shared" si="70"/>
        <v>May</v>
      </c>
      <c r="I1126" s="4" t="str">
        <f t="shared" si="71"/>
        <v>2022</v>
      </c>
      <c r="J1126" s="10" t="s">
        <v>12</v>
      </c>
    </row>
    <row r="1127" spans="1:10" x14ac:dyDescent="0.35">
      <c r="A1127" s="9" t="s">
        <v>1937</v>
      </c>
      <c r="B1127" s="3">
        <v>8</v>
      </c>
      <c r="C1127" s="4" t="str">
        <f t="shared" si="68"/>
        <v>Good</v>
      </c>
      <c r="D1127" s="3" t="s">
        <v>2263</v>
      </c>
      <c r="E1127" s="3" t="s">
        <v>2264</v>
      </c>
      <c r="F1127" s="5" t="s">
        <v>2255</v>
      </c>
      <c r="G1127" s="4" t="str">
        <f t="shared" si="69"/>
        <v>15th</v>
      </c>
      <c r="H1127" s="4" t="str">
        <f t="shared" si="70"/>
        <v>May</v>
      </c>
      <c r="I1127" s="4" t="str">
        <f t="shared" si="71"/>
        <v>2022</v>
      </c>
      <c r="J1127" s="10" t="s">
        <v>9</v>
      </c>
    </row>
    <row r="1128" spans="1:10" x14ac:dyDescent="0.35">
      <c r="A1128" s="9" t="s">
        <v>1937</v>
      </c>
      <c r="B1128" s="3">
        <v>10</v>
      </c>
      <c r="C1128" s="4" t="str">
        <f t="shared" si="68"/>
        <v>Good</v>
      </c>
      <c r="D1128" s="3" t="s">
        <v>2265</v>
      </c>
      <c r="E1128" s="3" t="s">
        <v>2266</v>
      </c>
      <c r="F1128" s="5" t="s">
        <v>2255</v>
      </c>
      <c r="G1128" s="4" t="str">
        <f t="shared" si="69"/>
        <v>15th</v>
      </c>
      <c r="H1128" s="4" t="str">
        <f t="shared" si="70"/>
        <v>May</v>
      </c>
      <c r="I1128" s="4" t="str">
        <f t="shared" si="71"/>
        <v>2022</v>
      </c>
      <c r="J1128" s="10" t="s">
        <v>9</v>
      </c>
    </row>
    <row r="1129" spans="1:10" x14ac:dyDescent="0.35">
      <c r="A1129" s="9" t="s">
        <v>1937</v>
      </c>
      <c r="B1129" s="3">
        <v>8</v>
      </c>
      <c r="C1129" s="4" t="str">
        <f t="shared" si="68"/>
        <v>Good</v>
      </c>
      <c r="D1129" s="3" t="s">
        <v>2267</v>
      </c>
      <c r="E1129" s="3" t="s">
        <v>1826</v>
      </c>
      <c r="F1129" s="5" t="s">
        <v>2255</v>
      </c>
      <c r="G1129" s="4" t="str">
        <f t="shared" si="69"/>
        <v>15th</v>
      </c>
      <c r="H1129" s="4" t="str">
        <f t="shared" si="70"/>
        <v>May</v>
      </c>
      <c r="I1129" s="4" t="str">
        <f t="shared" si="71"/>
        <v>2022</v>
      </c>
      <c r="J1129" s="10" t="s">
        <v>9</v>
      </c>
    </row>
    <row r="1130" spans="1:10" x14ac:dyDescent="0.35">
      <c r="A1130" s="9" t="s">
        <v>1937</v>
      </c>
      <c r="B1130" s="3">
        <v>1</v>
      </c>
      <c r="C1130" s="4" t="str">
        <f t="shared" si="68"/>
        <v>Bad</v>
      </c>
      <c r="D1130" s="3" t="s">
        <v>2268</v>
      </c>
      <c r="E1130" s="3" t="s">
        <v>2269</v>
      </c>
      <c r="F1130" s="5" t="s">
        <v>2255</v>
      </c>
      <c r="G1130" s="4" t="str">
        <f t="shared" si="69"/>
        <v>15th</v>
      </c>
      <c r="H1130" s="4" t="str">
        <f t="shared" si="70"/>
        <v>May</v>
      </c>
      <c r="I1130" s="4" t="str">
        <f t="shared" si="71"/>
        <v>2022</v>
      </c>
      <c r="J1130" s="10" t="s">
        <v>12</v>
      </c>
    </row>
    <row r="1131" spans="1:10" x14ac:dyDescent="0.35">
      <c r="A1131" s="9" t="s">
        <v>1937</v>
      </c>
      <c r="B1131" s="3">
        <v>1</v>
      </c>
      <c r="C1131" s="4" t="str">
        <f t="shared" si="68"/>
        <v>Bad</v>
      </c>
      <c r="D1131" s="3" t="s">
        <v>2270</v>
      </c>
      <c r="E1131" s="3" t="s">
        <v>2271</v>
      </c>
      <c r="F1131" s="5" t="s">
        <v>2255</v>
      </c>
      <c r="G1131" s="4" t="str">
        <f t="shared" si="69"/>
        <v>15th</v>
      </c>
      <c r="H1131" s="4" t="str">
        <f t="shared" si="70"/>
        <v>May</v>
      </c>
      <c r="I1131" s="4" t="str">
        <f t="shared" si="71"/>
        <v>2022</v>
      </c>
      <c r="J1131" s="10" t="s">
        <v>12</v>
      </c>
    </row>
    <row r="1132" spans="1:10" x14ac:dyDescent="0.35">
      <c r="A1132" s="9" t="s">
        <v>1937</v>
      </c>
      <c r="B1132" s="3">
        <v>4</v>
      </c>
      <c r="C1132" s="4" t="str">
        <f t="shared" si="68"/>
        <v>Bad</v>
      </c>
      <c r="D1132" s="3" t="s">
        <v>2272</v>
      </c>
      <c r="E1132" s="3" t="s">
        <v>2273</v>
      </c>
      <c r="F1132" s="5" t="s">
        <v>2274</v>
      </c>
      <c r="G1132" s="4" t="str">
        <f t="shared" si="69"/>
        <v>27th</v>
      </c>
      <c r="H1132" s="4" t="str">
        <f t="shared" si="70"/>
        <v>February</v>
      </c>
      <c r="I1132" s="4" t="str">
        <f t="shared" si="71"/>
        <v>2022</v>
      </c>
      <c r="J1132" s="10" t="s">
        <v>12</v>
      </c>
    </row>
    <row r="1133" spans="1:10" x14ac:dyDescent="0.35">
      <c r="A1133" s="9" t="s">
        <v>1937</v>
      </c>
      <c r="B1133" s="3">
        <v>4</v>
      </c>
      <c r="C1133" s="4" t="str">
        <f t="shared" si="68"/>
        <v>Bad</v>
      </c>
      <c r="D1133" s="3" t="s">
        <v>2275</v>
      </c>
      <c r="E1133" s="3" t="s">
        <v>2276</v>
      </c>
      <c r="F1133" s="5" t="s">
        <v>2274</v>
      </c>
      <c r="G1133" s="4" t="str">
        <f t="shared" si="69"/>
        <v>27th</v>
      </c>
      <c r="H1133" s="4" t="str">
        <f t="shared" si="70"/>
        <v>February</v>
      </c>
      <c r="I1133" s="4" t="str">
        <f t="shared" si="71"/>
        <v>2022</v>
      </c>
      <c r="J1133" s="10" t="s">
        <v>12</v>
      </c>
    </row>
    <row r="1134" spans="1:10" x14ac:dyDescent="0.35">
      <c r="A1134" s="9" t="s">
        <v>1937</v>
      </c>
      <c r="B1134" s="3">
        <v>9</v>
      </c>
      <c r="C1134" s="4" t="str">
        <f t="shared" si="68"/>
        <v>Good</v>
      </c>
      <c r="D1134" s="3" t="s">
        <v>2277</v>
      </c>
      <c r="E1134" s="3" t="s">
        <v>2278</v>
      </c>
      <c r="F1134" s="5" t="s">
        <v>2274</v>
      </c>
      <c r="G1134" s="4" t="str">
        <f t="shared" si="69"/>
        <v>27th</v>
      </c>
      <c r="H1134" s="4" t="str">
        <f t="shared" si="70"/>
        <v>February</v>
      </c>
      <c r="I1134" s="4" t="str">
        <f t="shared" si="71"/>
        <v>2022</v>
      </c>
      <c r="J1134" s="10" t="s">
        <v>9</v>
      </c>
    </row>
    <row r="1135" spans="1:10" x14ac:dyDescent="0.35">
      <c r="A1135" s="9" t="s">
        <v>1937</v>
      </c>
      <c r="B1135" s="3">
        <v>1</v>
      </c>
      <c r="C1135" s="4" t="str">
        <f t="shared" si="68"/>
        <v>Bad</v>
      </c>
      <c r="D1135" s="3" t="s">
        <v>2279</v>
      </c>
      <c r="E1135" s="3" t="s">
        <v>2280</v>
      </c>
      <c r="F1135" s="5" t="s">
        <v>2274</v>
      </c>
      <c r="G1135" s="4" t="str">
        <f t="shared" si="69"/>
        <v>27th</v>
      </c>
      <c r="H1135" s="4" t="str">
        <f t="shared" si="70"/>
        <v>February</v>
      </c>
      <c r="I1135" s="4" t="str">
        <f t="shared" si="71"/>
        <v>2022</v>
      </c>
      <c r="J1135" s="10" t="s">
        <v>12</v>
      </c>
    </row>
    <row r="1136" spans="1:10" x14ac:dyDescent="0.35">
      <c r="A1136" s="9" t="s">
        <v>1937</v>
      </c>
      <c r="B1136" s="3">
        <v>5</v>
      </c>
      <c r="C1136" s="4" t="str">
        <f t="shared" si="68"/>
        <v>Neutral</v>
      </c>
      <c r="D1136" s="3" t="s">
        <v>2281</v>
      </c>
      <c r="E1136" s="3" t="s">
        <v>544</v>
      </c>
      <c r="F1136" s="5" t="s">
        <v>2274</v>
      </c>
      <c r="G1136" s="4" t="str">
        <f t="shared" si="69"/>
        <v>27th</v>
      </c>
      <c r="H1136" s="4" t="str">
        <f t="shared" si="70"/>
        <v>February</v>
      </c>
      <c r="I1136" s="4" t="str">
        <f t="shared" si="71"/>
        <v>2022</v>
      </c>
      <c r="J1136" s="10" t="s">
        <v>9</v>
      </c>
    </row>
    <row r="1137" spans="1:10" x14ac:dyDescent="0.35">
      <c r="A1137" s="9" t="s">
        <v>1937</v>
      </c>
      <c r="B1137" s="3">
        <v>9</v>
      </c>
      <c r="C1137" s="4" t="str">
        <f t="shared" si="68"/>
        <v>Good</v>
      </c>
      <c r="D1137" s="3" t="s">
        <v>2282</v>
      </c>
      <c r="E1137" s="3" t="s">
        <v>2283</v>
      </c>
      <c r="F1137" s="5" t="s">
        <v>2274</v>
      </c>
      <c r="G1137" s="4" t="str">
        <f t="shared" si="69"/>
        <v>27th</v>
      </c>
      <c r="H1137" s="4" t="str">
        <f t="shared" si="70"/>
        <v>February</v>
      </c>
      <c r="I1137" s="4" t="str">
        <f t="shared" si="71"/>
        <v>2022</v>
      </c>
      <c r="J1137" s="10" t="s">
        <v>9</v>
      </c>
    </row>
    <row r="1138" spans="1:10" x14ac:dyDescent="0.35">
      <c r="A1138" s="9" t="s">
        <v>1937</v>
      </c>
      <c r="B1138" s="3">
        <v>2</v>
      </c>
      <c r="C1138" s="4" t="str">
        <f t="shared" si="68"/>
        <v>Bad</v>
      </c>
      <c r="D1138" s="3" t="s">
        <v>2284</v>
      </c>
      <c r="E1138" s="3" t="s">
        <v>2285</v>
      </c>
      <c r="F1138" s="5" t="s">
        <v>2274</v>
      </c>
      <c r="G1138" s="4" t="str">
        <f t="shared" si="69"/>
        <v>27th</v>
      </c>
      <c r="H1138" s="4" t="str">
        <f t="shared" si="70"/>
        <v>February</v>
      </c>
      <c r="I1138" s="4" t="str">
        <f t="shared" si="71"/>
        <v>2022</v>
      </c>
      <c r="J1138" s="10" t="s">
        <v>12</v>
      </c>
    </row>
    <row r="1139" spans="1:10" x14ac:dyDescent="0.35">
      <c r="A1139" s="9" t="s">
        <v>1937</v>
      </c>
      <c r="B1139" s="3">
        <v>2</v>
      </c>
      <c r="C1139" s="4" t="str">
        <f t="shared" si="68"/>
        <v>Bad</v>
      </c>
      <c r="D1139" s="3" t="s">
        <v>2286</v>
      </c>
      <c r="E1139" s="3" t="s">
        <v>2287</v>
      </c>
      <c r="F1139" s="5" t="s">
        <v>2274</v>
      </c>
      <c r="G1139" s="4" t="str">
        <f t="shared" si="69"/>
        <v>27th</v>
      </c>
      <c r="H1139" s="4" t="str">
        <f t="shared" si="70"/>
        <v>February</v>
      </c>
      <c r="I1139" s="4" t="str">
        <f t="shared" si="71"/>
        <v>2022</v>
      </c>
      <c r="J1139" s="10" t="s">
        <v>12</v>
      </c>
    </row>
    <row r="1140" spans="1:10" x14ac:dyDescent="0.35">
      <c r="A1140" s="9" t="s">
        <v>1937</v>
      </c>
      <c r="B1140" s="3">
        <v>10</v>
      </c>
      <c r="C1140" s="4" t="str">
        <f t="shared" si="68"/>
        <v>Good</v>
      </c>
      <c r="D1140" s="3" t="s">
        <v>646</v>
      </c>
      <c r="E1140" s="3" t="s">
        <v>2288</v>
      </c>
      <c r="F1140" s="5" t="s">
        <v>2274</v>
      </c>
      <c r="G1140" s="4" t="str">
        <f t="shared" si="69"/>
        <v>27th</v>
      </c>
      <c r="H1140" s="4" t="str">
        <f t="shared" si="70"/>
        <v>February</v>
      </c>
      <c r="I1140" s="4" t="str">
        <f t="shared" si="71"/>
        <v>2022</v>
      </c>
      <c r="J1140" s="10" t="s">
        <v>9</v>
      </c>
    </row>
    <row r="1141" spans="1:10" x14ac:dyDescent="0.35">
      <c r="A1141" s="9" t="s">
        <v>1937</v>
      </c>
      <c r="B1141" s="3">
        <v>9</v>
      </c>
      <c r="C1141" s="4" t="str">
        <f t="shared" si="68"/>
        <v>Good</v>
      </c>
      <c r="D1141" s="3" t="s">
        <v>2289</v>
      </c>
      <c r="E1141" s="3" t="s">
        <v>2290</v>
      </c>
      <c r="F1141" s="5" t="s">
        <v>2274</v>
      </c>
      <c r="G1141" s="4" t="str">
        <f t="shared" si="69"/>
        <v>27th</v>
      </c>
      <c r="H1141" s="4" t="str">
        <f t="shared" si="70"/>
        <v>February</v>
      </c>
      <c r="I1141" s="4" t="str">
        <f t="shared" si="71"/>
        <v>2022</v>
      </c>
      <c r="J1141" s="10" t="s">
        <v>9</v>
      </c>
    </row>
    <row r="1142" spans="1:10" x14ac:dyDescent="0.35">
      <c r="A1142" s="9" t="s">
        <v>1937</v>
      </c>
      <c r="B1142" s="3">
        <v>1</v>
      </c>
      <c r="C1142" s="4" t="str">
        <f t="shared" si="68"/>
        <v>Bad</v>
      </c>
      <c r="D1142" s="3" t="s">
        <v>2291</v>
      </c>
      <c r="E1142" s="3" t="s">
        <v>2292</v>
      </c>
      <c r="F1142" s="5" t="s">
        <v>2293</v>
      </c>
      <c r="G1142" s="4" t="str">
        <f t="shared" si="69"/>
        <v>10th</v>
      </c>
      <c r="H1142" s="4" t="str">
        <f t="shared" si="70"/>
        <v>September</v>
      </c>
      <c r="I1142" s="4" t="str">
        <f t="shared" si="71"/>
        <v>2021</v>
      </c>
      <c r="J1142" s="10" t="s">
        <v>12</v>
      </c>
    </row>
    <row r="1143" spans="1:10" x14ac:dyDescent="0.35">
      <c r="A1143" s="9" t="s">
        <v>1937</v>
      </c>
      <c r="B1143" s="3">
        <v>10</v>
      </c>
      <c r="C1143" s="4" t="str">
        <f t="shared" si="68"/>
        <v>Good</v>
      </c>
      <c r="D1143" s="3" t="s">
        <v>2294</v>
      </c>
      <c r="E1143" s="3" t="s">
        <v>2295</v>
      </c>
      <c r="F1143" s="5" t="s">
        <v>2293</v>
      </c>
      <c r="G1143" s="4" t="str">
        <f t="shared" si="69"/>
        <v>10th</v>
      </c>
      <c r="H1143" s="4" t="str">
        <f t="shared" si="70"/>
        <v>September</v>
      </c>
      <c r="I1143" s="4" t="str">
        <f t="shared" si="71"/>
        <v>2021</v>
      </c>
      <c r="J1143" s="10" t="s">
        <v>9</v>
      </c>
    </row>
    <row r="1144" spans="1:10" x14ac:dyDescent="0.35">
      <c r="A1144" s="9" t="s">
        <v>1937</v>
      </c>
      <c r="B1144" s="3">
        <v>10</v>
      </c>
      <c r="C1144" s="4" t="str">
        <f t="shared" si="68"/>
        <v>Good</v>
      </c>
      <c r="D1144" s="3" t="s">
        <v>2296</v>
      </c>
      <c r="E1144" s="3" t="s">
        <v>2297</v>
      </c>
      <c r="F1144" s="5" t="s">
        <v>2293</v>
      </c>
      <c r="G1144" s="4" t="str">
        <f t="shared" si="69"/>
        <v>10th</v>
      </c>
      <c r="H1144" s="4" t="str">
        <f t="shared" si="70"/>
        <v>September</v>
      </c>
      <c r="I1144" s="4" t="str">
        <f t="shared" si="71"/>
        <v>2021</v>
      </c>
      <c r="J1144" s="10" t="s">
        <v>9</v>
      </c>
    </row>
    <row r="1145" spans="1:10" x14ac:dyDescent="0.35">
      <c r="A1145" s="9" t="s">
        <v>1937</v>
      </c>
      <c r="B1145" s="3">
        <v>2</v>
      </c>
      <c r="C1145" s="4" t="str">
        <f t="shared" si="68"/>
        <v>Bad</v>
      </c>
      <c r="D1145" s="3" t="s">
        <v>2298</v>
      </c>
      <c r="E1145" s="3" t="s">
        <v>2299</v>
      </c>
      <c r="F1145" s="5" t="s">
        <v>2293</v>
      </c>
      <c r="G1145" s="4" t="str">
        <f t="shared" si="69"/>
        <v>10th</v>
      </c>
      <c r="H1145" s="4" t="str">
        <f t="shared" si="70"/>
        <v>September</v>
      </c>
      <c r="I1145" s="4" t="str">
        <f t="shared" si="71"/>
        <v>2021</v>
      </c>
      <c r="J1145" s="10" t="s">
        <v>12</v>
      </c>
    </row>
    <row r="1146" spans="1:10" x14ac:dyDescent="0.35">
      <c r="A1146" s="9" t="s">
        <v>1937</v>
      </c>
      <c r="B1146" s="3">
        <v>10</v>
      </c>
      <c r="C1146" s="4" t="str">
        <f t="shared" si="68"/>
        <v>Good</v>
      </c>
      <c r="D1146" s="3" t="s">
        <v>2294</v>
      </c>
      <c r="E1146" s="3" t="s">
        <v>2295</v>
      </c>
      <c r="F1146" s="5" t="s">
        <v>2293</v>
      </c>
      <c r="G1146" s="4" t="str">
        <f t="shared" si="69"/>
        <v>10th</v>
      </c>
      <c r="H1146" s="4" t="str">
        <f t="shared" si="70"/>
        <v>September</v>
      </c>
      <c r="I1146" s="4" t="str">
        <f t="shared" si="71"/>
        <v>2021</v>
      </c>
      <c r="J1146" s="10" t="s">
        <v>9</v>
      </c>
    </row>
    <row r="1147" spans="1:10" x14ac:dyDescent="0.35">
      <c r="A1147" s="9" t="s">
        <v>1937</v>
      </c>
      <c r="B1147" s="3">
        <v>10</v>
      </c>
      <c r="C1147" s="4" t="str">
        <f t="shared" si="68"/>
        <v>Good</v>
      </c>
      <c r="D1147" s="3" t="s">
        <v>2300</v>
      </c>
      <c r="E1147" s="3" t="s">
        <v>2301</v>
      </c>
      <c r="F1147" s="5" t="s">
        <v>2293</v>
      </c>
      <c r="G1147" s="4" t="str">
        <f t="shared" si="69"/>
        <v>10th</v>
      </c>
      <c r="H1147" s="4" t="str">
        <f t="shared" si="70"/>
        <v>September</v>
      </c>
      <c r="I1147" s="4" t="str">
        <f t="shared" si="71"/>
        <v>2021</v>
      </c>
      <c r="J1147" s="10" t="s">
        <v>9</v>
      </c>
    </row>
    <row r="1148" spans="1:10" x14ac:dyDescent="0.35">
      <c r="A1148" s="9" t="s">
        <v>1937</v>
      </c>
      <c r="B1148" s="3">
        <v>1</v>
      </c>
      <c r="C1148" s="4" t="str">
        <f t="shared" si="68"/>
        <v>Bad</v>
      </c>
      <c r="D1148" s="3" t="s">
        <v>2302</v>
      </c>
      <c r="E1148" s="3" t="s">
        <v>2303</v>
      </c>
      <c r="F1148" s="5" t="s">
        <v>2293</v>
      </c>
      <c r="G1148" s="4" t="str">
        <f t="shared" si="69"/>
        <v>10th</v>
      </c>
      <c r="H1148" s="4" t="str">
        <f t="shared" si="70"/>
        <v>September</v>
      </c>
      <c r="I1148" s="4" t="str">
        <f t="shared" si="71"/>
        <v>2021</v>
      </c>
      <c r="J1148" s="10" t="s">
        <v>12</v>
      </c>
    </row>
    <row r="1149" spans="1:10" x14ac:dyDescent="0.35">
      <c r="A1149" s="9" t="s">
        <v>1937</v>
      </c>
      <c r="B1149" s="3">
        <v>1</v>
      </c>
      <c r="C1149" s="4" t="str">
        <f t="shared" si="68"/>
        <v>Bad</v>
      </c>
      <c r="D1149" s="3" t="s">
        <v>2304</v>
      </c>
      <c r="E1149" s="3" t="s">
        <v>2305</v>
      </c>
      <c r="F1149" s="5" t="s">
        <v>2293</v>
      </c>
      <c r="G1149" s="4" t="str">
        <f t="shared" si="69"/>
        <v>10th</v>
      </c>
      <c r="H1149" s="4" t="str">
        <f t="shared" si="70"/>
        <v>September</v>
      </c>
      <c r="I1149" s="4" t="str">
        <f t="shared" si="71"/>
        <v>2021</v>
      </c>
      <c r="J1149" s="10" t="s">
        <v>12</v>
      </c>
    </row>
    <row r="1150" spans="1:10" x14ac:dyDescent="0.35">
      <c r="A1150" s="9" t="s">
        <v>1937</v>
      </c>
      <c r="B1150" s="3">
        <v>8</v>
      </c>
      <c r="C1150" s="4" t="str">
        <f t="shared" si="68"/>
        <v>Good</v>
      </c>
      <c r="D1150" s="3" t="s">
        <v>2306</v>
      </c>
      <c r="E1150" s="3" t="s">
        <v>2307</v>
      </c>
      <c r="F1150" s="5" t="s">
        <v>2293</v>
      </c>
      <c r="G1150" s="4" t="str">
        <f t="shared" si="69"/>
        <v>10th</v>
      </c>
      <c r="H1150" s="4" t="str">
        <f t="shared" si="70"/>
        <v>September</v>
      </c>
      <c r="I1150" s="4" t="str">
        <f t="shared" si="71"/>
        <v>2021</v>
      </c>
      <c r="J1150" s="10" t="s">
        <v>9</v>
      </c>
    </row>
    <row r="1151" spans="1:10" x14ac:dyDescent="0.35">
      <c r="A1151" s="9" t="s">
        <v>1937</v>
      </c>
      <c r="B1151" s="3">
        <v>2</v>
      </c>
      <c r="C1151" s="4" t="str">
        <f t="shared" si="68"/>
        <v>Bad</v>
      </c>
      <c r="D1151" s="3" t="s">
        <v>2308</v>
      </c>
      <c r="E1151" s="3" t="s">
        <v>2309</v>
      </c>
      <c r="F1151" s="5" t="s">
        <v>2293</v>
      </c>
      <c r="G1151" s="4" t="str">
        <f t="shared" si="69"/>
        <v>10th</v>
      </c>
      <c r="H1151" s="4" t="str">
        <f t="shared" si="70"/>
        <v>September</v>
      </c>
      <c r="I1151" s="4" t="str">
        <f t="shared" si="71"/>
        <v>2021</v>
      </c>
      <c r="J1151" s="10" t="s">
        <v>12</v>
      </c>
    </row>
    <row r="1152" spans="1:10" x14ac:dyDescent="0.35">
      <c r="A1152" s="9" t="s">
        <v>1937</v>
      </c>
      <c r="B1152" s="3">
        <v>10</v>
      </c>
      <c r="C1152" s="4" t="str">
        <f t="shared" si="68"/>
        <v>Good</v>
      </c>
      <c r="D1152" s="3" t="s">
        <v>2310</v>
      </c>
      <c r="E1152" s="3" t="s">
        <v>1257</v>
      </c>
      <c r="F1152" s="5" t="s">
        <v>2311</v>
      </c>
      <c r="G1152" s="4" t="str">
        <f t="shared" si="69"/>
        <v>17th</v>
      </c>
      <c r="H1152" s="4" t="str">
        <f t="shared" si="70"/>
        <v>March</v>
      </c>
      <c r="I1152" s="4" t="str">
        <f t="shared" si="71"/>
        <v>2021</v>
      </c>
      <c r="J1152" s="10" t="s">
        <v>9</v>
      </c>
    </row>
    <row r="1153" spans="1:10" x14ac:dyDescent="0.35">
      <c r="A1153" s="9" t="s">
        <v>1937</v>
      </c>
      <c r="B1153" s="3">
        <v>10</v>
      </c>
      <c r="C1153" s="4" t="str">
        <f t="shared" si="68"/>
        <v>Good</v>
      </c>
      <c r="D1153" s="3" t="s">
        <v>2312</v>
      </c>
      <c r="E1153" s="3" t="s">
        <v>514</v>
      </c>
      <c r="F1153" s="5" t="s">
        <v>2311</v>
      </c>
      <c r="G1153" s="4" t="str">
        <f t="shared" si="69"/>
        <v>17th</v>
      </c>
      <c r="H1153" s="4" t="str">
        <f t="shared" si="70"/>
        <v>March</v>
      </c>
      <c r="I1153" s="4" t="str">
        <f t="shared" si="71"/>
        <v>2021</v>
      </c>
      <c r="J1153" s="10" t="s">
        <v>9</v>
      </c>
    </row>
    <row r="1154" spans="1:10" x14ac:dyDescent="0.35">
      <c r="A1154" s="9" t="s">
        <v>1937</v>
      </c>
      <c r="B1154" s="3">
        <v>5</v>
      </c>
      <c r="C1154" s="4" t="str">
        <f t="shared" si="68"/>
        <v>Neutral</v>
      </c>
      <c r="D1154" s="3" t="s">
        <v>2313</v>
      </c>
      <c r="E1154" s="3" t="s">
        <v>2314</v>
      </c>
      <c r="F1154" s="5" t="s">
        <v>2311</v>
      </c>
      <c r="G1154" s="4" t="str">
        <f t="shared" si="69"/>
        <v>17th</v>
      </c>
      <c r="H1154" s="4" t="str">
        <f t="shared" si="70"/>
        <v>March</v>
      </c>
      <c r="I1154" s="4" t="str">
        <f t="shared" si="71"/>
        <v>2021</v>
      </c>
      <c r="J1154" s="10" t="s">
        <v>9</v>
      </c>
    </row>
    <row r="1155" spans="1:10" x14ac:dyDescent="0.35">
      <c r="A1155" s="9" t="s">
        <v>1937</v>
      </c>
      <c r="B1155" s="3">
        <v>9</v>
      </c>
      <c r="C1155" s="4" t="str">
        <f t="shared" ref="C1155:C1218" si="72">IF(B1155&gt;=8,"Good",IF(B1155&gt;=5,"Neutral","Bad"))</f>
        <v>Good</v>
      </c>
      <c r="D1155" s="3" t="s">
        <v>2315</v>
      </c>
      <c r="E1155" s="3" t="s">
        <v>2316</v>
      </c>
      <c r="F1155" s="5" t="s">
        <v>2311</v>
      </c>
      <c r="G1155" s="4" t="str">
        <f t="shared" ref="G1155:G1218" si="73">LEFT(F1155, FIND(" ", F1155)-1)</f>
        <v>17th</v>
      </c>
      <c r="H1155" s="4" t="str">
        <f t="shared" ref="H1155:H1218" si="74">TRIM(MID(F1155, FIND(" ", F1155)+1, FIND(" ", F1155, FIND(" ", F1155)+1) - FIND(" ", F1155)-1))</f>
        <v>March</v>
      </c>
      <c r="I1155" s="4" t="str">
        <f t="shared" ref="I1155:I1218" si="75">RIGHT(F1155, 4)</f>
        <v>2021</v>
      </c>
      <c r="J1155" s="10" t="s">
        <v>9</v>
      </c>
    </row>
    <row r="1156" spans="1:10" x14ac:dyDescent="0.35">
      <c r="A1156" s="9" t="s">
        <v>1937</v>
      </c>
      <c r="B1156" s="3">
        <v>2</v>
      </c>
      <c r="C1156" s="4" t="str">
        <f t="shared" si="72"/>
        <v>Bad</v>
      </c>
      <c r="D1156" s="3" t="s">
        <v>2317</v>
      </c>
      <c r="E1156" s="3" t="s">
        <v>695</v>
      </c>
      <c r="F1156" s="5" t="s">
        <v>2311</v>
      </c>
      <c r="G1156" s="4" t="str">
        <f t="shared" si="73"/>
        <v>17th</v>
      </c>
      <c r="H1156" s="4" t="str">
        <f t="shared" si="74"/>
        <v>March</v>
      </c>
      <c r="I1156" s="4" t="str">
        <f t="shared" si="75"/>
        <v>2021</v>
      </c>
      <c r="J1156" s="10" t="s">
        <v>12</v>
      </c>
    </row>
    <row r="1157" spans="1:10" x14ac:dyDescent="0.35">
      <c r="A1157" s="9" t="s">
        <v>1937</v>
      </c>
      <c r="B1157" s="3">
        <v>1</v>
      </c>
      <c r="C1157" s="4" t="str">
        <f t="shared" si="72"/>
        <v>Bad</v>
      </c>
      <c r="D1157" s="3" t="s">
        <v>2318</v>
      </c>
      <c r="E1157" s="3" t="s">
        <v>2319</v>
      </c>
      <c r="F1157" s="5" t="s">
        <v>2311</v>
      </c>
      <c r="G1157" s="4" t="str">
        <f t="shared" si="73"/>
        <v>17th</v>
      </c>
      <c r="H1157" s="4" t="str">
        <f t="shared" si="74"/>
        <v>March</v>
      </c>
      <c r="I1157" s="4" t="str">
        <f t="shared" si="75"/>
        <v>2021</v>
      </c>
      <c r="J1157" s="10" t="s">
        <v>12</v>
      </c>
    </row>
    <row r="1158" spans="1:10" x14ac:dyDescent="0.35">
      <c r="A1158" s="9" t="s">
        <v>1937</v>
      </c>
      <c r="B1158" s="3">
        <v>1</v>
      </c>
      <c r="C1158" s="4" t="str">
        <f t="shared" si="72"/>
        <v>Bad</v>
      </c>
      <c r="D1158" s="3" t="s">
        <v>2320</v>
      </c>
      <c r="E1158" s="3" t="s">
        <v>2321</v>
      </c>
      <c r="F1158" s="5" t="s">
        <v>2311</v>
      </c>
      <c r="G1158" s="4" t="str">
        <f t="shared" si="73"/>
        <v>17th</v>
      </c>
      <c r="H1158" s="4" t="str">
        <f t="shared" si="74"/>
        <v>March</v>
      </c>
      <c r="I1158" s="4" t="str">
        <f t="shared" si="75"/>
        <v>2021</v>
      </c>
      <c r="J1158" s="10" t="s">
        <v>12</v>
      </c>
    </row>
    <row r="1159" spans="1:10" x14ac:dyDescent="0.35">
      <c r="A1159" s="9" t="s">
        <v>1937</v>
      </c>
      <c r="B1159" s="3">
        <v>9</v>
      </c>
      <c r="C1159" s="4" t="str">
        <f t="shared" si="72"/>
        <v>Good</v>
      </c>
      <c r="D1159" s="3" t="s">
        <v>2322</v>
      </c>
      <c r="E1159" s="3" t="s">
        <v>2323</v>
      </c>
      <c r="F1159" s="5" t="s">
        <v>2311</v>
      </c>
      <c r="G1159" s="4" t="str">
        <f t="shared" si="73"/>
        <v>17th</v>
      </c>
      <c r="H1159" s="4" t="str">
        <f t="shared" si="74"/>
        <v>March</v>
      </c>
      <c r="I1159" s="4" t="str">
        <f t="shared" si="75"/>
        <v>2021</v>
      </c>
      <c r="J1159" s="10" t="s">
        <v>9</v>
      </c>
    </row>
    <row r="1160" spans="1:10" x14ac:dyDescent="0.35">
      <c r="A1160" s="9" t="s">
        <v>1937</v>
      </c>
      <c r="B1160" s="3">
        <v>1</v>
      </c>
      <c r="C1160" s="4" t="str">
        <f t="shared" si="72"/>
        <v>Bad</v>
      </c>
      <c r="D1160" s="3" t="s">
        <v>2324</v>
      </c>
      <c r="E1160" s="3" t="s">
        <v>2325</v>
      </c>
      <c r="F1160" s="5" t="s">
        <v>2311</v>
      </c>
      <c r="G1160" s="4" t="str">
        <f t="shared" si="73"/>
        <v>17th</v>
      </c>
      <c r="H1160" s="4" t="str">
        <f t="shared" si="74"/>
        <v>March</v>
      </c>
      <c r="I1160" s="4" t="str">
        <f t="shared" si="75"/>
        <v>2021</v>
      </c>
      <c r="J1160" s="10" t="s">
        <v>12</v>
      </c>
    </row>
    <row r="1161" spans="1:10" x14ac:dyDescent="0.35">
      <c r="A1161" s="9" t="s">
        <v>1937</v>
      </c>
      <c r="B1161" s="3">
        <v>10</v>
      </c>
      <c r="C1161" s="4" t="str">
        <f t="shared" si="72"/>
        <v>Good</v>
      </c>
      <c r="D1161" s="3" t="s">
        <v>2326</v>
      </c>
      <c r="E1161" s="3" t="s">
        <v>2327</v>
      </c>
      <c r="F1161" s="5" t="s">
        <v>2311</v>
      </c>
      <c r="G1161" s="4" t="str">
        <f t="shared" si="73"/>
        <v>17th</v>
      </c>
      <c r="H1161" s="4" t="str">
        <f t="shared" si="74"/>
        <v>March</v>
      </c>
      <c r="I1161" s="4" t="str">
        <f t="shared" si="75"/>
        <v>2021</v>
      </c>
      <c r="J1161" s="10" t="s">
        <v>9</v>
      </c>
    </row>
    <row r="1162" spans="1:10" x14ac:dyDescent="0.35">
      <c r="A1162" s="9" t="s">
        <v>1937</v>
      </c>
      <c r="B1162" s="3">
        <v>10</v>
      </c>
      <c r="C1162" s="4" t="str">
        <f t="shared" si="72"/>
        <v>Good</v>
      </c>
      <c r="D1162" s="3" t="s">
        <v>2328</v>
      </c>
      <c r="E1162" s="3" t="s">
        <v>2329</v>
      </c>
      <c r="F1162" s="5" t="s">
        <v>2330</v>
      </c>
      <c r="G1162" s="4" t="str">
        <f t="shared" si="73"/>
        <v>9th</v>
      </c>
      <c r="H1162" s="4" t="str">
        <f t="shared" si="74"/>
        <v>November</v>
      </c>
      <c r="I1162" s="4" t="str">
        <f t="shared" si="75"/>
        <v>2020</v>
      </c>
      <c r="J1162" s="10" t="s">
        <v>9</v>
      </c>
    </row>
    <row r="1163" spans="1:10" x14ac:dyDescent="0.35">
      <c r="A1163" s="9" t="s">
        <v>1937</v>
      </c>
      <c r="B1163" s="3">
        <v>9</v>
      </c>
      <c r="C1163" s="4" t="str">
        <f t="shared" si="72"/>
        <v>Good</v>
      </c>
      <c r="D1163" s="3" t="s">
        <v>2331</v>
      </c>
      <c r="E1163" s="3" t="s">
        <v>2332</v>
      </c>
      <c r="F1163" s="5" t="s">
        <v>2330</v>
      </c>
      <c r="G1163" s="4" t="str">
        <f t="shared" si="73"/>
        <v>9th</v>
      </c>
      <c r="H1163" s="4" t="str">
        <f t="shared" si="74"/>
        <v>November</v>
      </c>
      <c r="I1163" s="4" t="str">
        <f t="shared" si="75"/>
        <v>2020</v>
      </c>
      <c r="J1163" s="10" t="s">
        <v>9</v>
      </c>
    </row>
    <row r="1164" spans="1:10" x14ac:dyDescent="0.35">
      <c r="A1164" s="9" t="s">
        <v>1937</v>
      </c>
      <c r="B1164" s="3">
        <v>10</v>
      </c>
      <c r="C1164" s="4" t="str">
        <f t="shared" si="72"/>
        <v>Good</v>
      </c>
      <c r="D1164" s="3" t="s">
        <v>2333</v>
      </c>
      <c r="E1164" s="3" t="s">
        <v>2334</v>
      </c>
      <c r="F1164" s="5" t="s">
        <v>2330</v>
      </c>
      <c r="G1164" s="4" t="str">
        <f t="shared" si="73"/>
        <v>9th</v>
      </c>
      <c r="H1164" s="4" t="str">
        <f t="shared" si="74"/>
        <v>November</v>
      </c>
      <c r="I1164" s="4" t="str">
        <f t="shared" si="75"/>
        <v>2020</v>
      </c>
      <c r="J1164" s="10" t="s">
        <v>9</v>
      </c>
    </row>
    <row r="1165" spans="1:10" x14ac:dyDescent="0.35">
      <c r="A1165" s="9" t="s">
        <v>1937</v>
      </c>
      <c r="B1165" s="3">
        <v>10</v>
      </c>
      <c r="C1165" s="4" t="str">
        <f t="shared" si="72"/>
        <v>Good</v>
      </c>
      <c r="D1165" s="3" t="s">
        <v>2335</v>
      </c>
      <c r="E1165" s="3" t="s">
        <v>2336</v>
      </c>
      <c r="F1165" s="5" t="s">
        <v>2330</v>
      </c>
      <c r="G1165" s="4" t="str">
        <f t="shared" si="73"/>
        <v>9th</v>
      </c>
      <c r="H1165" s="4" t="str">
        <f t="shared" si="74"/>
        <v>November</v>
      </c>
      <c r="I1165" s="4" t="str">
        <f t="shared" si="75"/>
        <v>2020</v>
      </c>
      <c r="J1165" s="10" t="s">
        <v>9</v>
      </c>
    </row>
    <row r="1166" spans="1:10" x14ac:dyDescent="0.35">
      <c r="A1166" s="9" t="s">
        <v>1937</v>
      </c>
      <c r="B1166" s="3">
        <v>1</v>
      </c>
      <c r="C1166" s="4" t="str">
        <f t="shared" si="72"/>
        <v>Bad</v>
      </c>
      <c r="D1166" s="3" t="s">
        <v>776</v>
      </c>
      <c r="E1166" s="3" t="s">
        <v>2337</v>
      </c>
      <c r="F1166" s="5" t="s">
        <v>2330</v>
      </c>
      <c r="G1166" s="4" t="str">
        <f t="shared" si="73"/>
        <v>9th</v>
      </c>
      <c r="H1166" s="4" t="str">
        <f t="shared" si="74"/>
        <v>November</v>
      </c>
      <c r="I1166" s="4" t="str">
        <f t="shared" si="75"/>
        <v>2020</v>
      </c>
      <c r="J1166" s="10" t="s">
        <v>12</v>
      </c>
    </row>
    <row r="1167" spans="1:10" x14ac:dyDescent="0.35">
      <c r="A1167" s="9" t="s">
        <v>1937</v>
      </c>
      <c r="B1167" s="3">
        <v>10</v>
      </c>
      <c r="C1167" s="4" t="str">
        <f t="shared" si="72"/>
        <v>Good</v>
      </c>
      <c r="D1167" s="3" t="s">
        <v>2338</v>
      </c>
      <c r="E1167" s="3" t="s">
        <v>2339</v>
      </c>
      <c r="F1167" s="5" t="s">
        <v>2330</v>
      </c>
      <c r="G1167" s="4" t="str">
        <f t="shared" si="73"/>
        <v>9th</v>
      </c>
      <c r="H1167" s="4" t="str">
        <f t="shared" si="74"/>
        <v>November</v>
      </c>
      <c r="I1167" s="4" t="str">
        <f t="shared" si="75"/>
        <v>2020</v>
      </c>
      <c r="J1167" s="10" t="s">
        <v>9</v>
      </c>
    </row>
    <row r="1168" spans="1:10" x14ac:dyDescent="0.35">
      <c r="A1168" s="9" t="s">
        <v>1937</v>
      </c>
      <c r="B1168" s="3">
        <v>9</v>
      </c>
      <c r="C1168" s="4" t="str">
        <f t="shared" si="72"/>
        <v>Good</v>
      </c>
      <c r="D1168" s="3" t="s">
        <v>2340</v>
      </c>
      <c r="E1168" s="3" t="s">
        <v>2341</v>
      </c>
      <c r="F1168" s="5" t="s">
        <v>2330</v>
      </c>
      <c r="G1168" s="4" t="str">
        <f t="shared" si="73"/>
        <v>9th</v>
      </c>
      <c r="H1168" s="4" t="str">
        <f t="shared" si="74"/>
        <v>November</v>
      </c>
      <c r="I1168" s="4" t="str">
        <f t="shared" si="75"/>
        <v>2020</v>
      </c>
      <c r="J1168" s="10" t="s">
        <v>9</v>
      </c>
    </row>
    <row r="1169" spans="1:10" x14ac:dyDescent="0.35">
      <c r="A1169" s="9" t="s">
        <v>1937</v>
      </c>
      <c r="B1169" s="3">
        <v>9</v>
      </c>
      <c r="C1169" s="4" t="str">
        <f t="shared" si="72"/>
        <v>Good</v>
      </c>
      <c r="D1169" s="3" t="s">
        <v>2342</v>
      </c>
      <c r="E1169" s="3" t="s">
        <v>2343</v>
      </c>
      <c r="F1169" s="5" t="s">
        <v>2330</v>
      </c>
      <c r="G1169" s="4" t="str">
        <f t="shared" si="73"/>
        <v>9th</v>
      </c>
      <c r="H1169" s="4" t="str">
        <f t="shared" si="74"/>
        <v>November</v>
      </c>
      <c r="I1169" s="4" t="str">
        <f t="shared" si="75"/>
        <v>2020</v>
      </c>
      <c r="J1169" s="10" t="s">
        <v>9</v>
      </c>
    </row>
    <row r="1170" spans="1:10" x14ac:dyDescent="0.35">
      <c r="A1170" s="9" t="s">
        <v>1937</v>
      </c>
      <c r="B1170" s="3">
        <v>9</v>
      </c>
      <c r="C1170" s="4" t="str">
        <f t="shared" si="72"/>
        <v>Good</v>
      </c>
      <c r="D1170" s="3" t="s">
        <v>2344</v>
      </c>
      <c r="E1170" s="3" t="s">
        <v>2345</v>
      </c>
      <c r="F1170" s="5" t="s">
        <v>2330</v>
      </c>
      <c r="G1170" s="4" t="str">
        <f t="shared" si="73"/>
        <v>9th</v>
      </c>
      <c r="H1170" s="4" t="str">
        <f t="shared" si="74"/>
        <v>November</v>
      </c>
      <c r="I1170" s="4" t="str">
        <f t="shared" si="75"/>
        <v>2020</v>
      </c>
      <c r="J1170" s="10" t="s">
        <v>9</v>
      </c>
    </row>
    <row r="1171" spans="1:10" x14ac:dyDescent="0.35">
      <c r="A1171" s="9" t="s">
        <v>1937</v>
      </c>
      <c r="B1171" s="3">
        <v>10</v>
      </c>
      <c r="C1171" s="4" t="str">
        <f t="shared" si="72"/>
        <v>Good</v>
      </c>
      <c r="D1171" s="3" t="s">
        <v>2346</v>
      </c>
      <c r="E1171" s="3" t="s">
        <v>2347</v>
      </c>
      <c r="F1171" s="5" t="s">
        <v>2330</v>
      </c>
      <c r="G1171" s="4" t="str">
        <f t="shared" si="73"/>
        <v>9th</v>
      </c>
      <c r="H1171" s="4" t="str">
        <f t="shared" si="74"/>
        <v>November</v>
      </c>
      <c r="I1171" s="4" t="str">
        <f t="shared" si="75"/>
        <v>2020</v>
      </c>
      <c r="J1171" s="10" t="s">
        <v>9</v>
      </c>
    </row>
    <row r="1172" spans="1:10" x14ac:dyDescent="0.35">
      <c r="A1172" s="9" t="s">
        <v>1937</v>
      </c>
      <c r="B1172" s="3">
        <v>9</v>
      </c>
      <c r="C1172" s="4" t="str">
        <f t="shared" si="72"/>
        <v>Good</v>
      </c>
      <c r="D1172" s="3" t="s">
        <v>2348</v>
      </c>
      <c r="E1172" s="3" t="s">
        <v>2349</v>
      </c>
      <c r="F1172" s="5" t="s">
        <v>2350</v>
      </c>
      <c r="G1172" s="4" t="str">
        <f t="shared" si="73"/>
        <v>5th</v>
      </c>
      <c r="H1172" s="4" t="str">
        <f t="shared" si="74"/>
        <v>March</v>
      </c>
      <c r="I1172" s="4" t="str">
        <f t="shared" si="75"/>
        <v>2020</v>
      </c>
      <c r="J1172" s="10" t="s">
        <v>9</v>
      </c>
    </row>
    <row r="1173" spans="1:10" x14ac:dyDescent="0.35">
      <c r="A1173" s="9" t="s">
        <v>1937</v>
      </c>
      <c r="B1173" s="3">
        <v>2</v>
      </c>
      <c r="C1173" s="4" t="str">
        <f t="shared" si="72"/>
        <v>Bad</v>
      </c>
      <c r="D1173" s="3" t="s">
        <v>2351</v>
      </c>
      <c r="E1173" s="3" t="s">
        <v>2352</v>
      </c>
      <c r="F1173" s="5" t="s">
        <v>2350</v>
      </c>
      <c r="G1173" s="4" t="str">
        <f t="shared" si="73"/>
        <v>5th</v>
      </c>
      <c r="H1173" s="4" t="str">
        <f t="shared" si="74"/>
        <v>March</v>
      </c>
      <c r="I1173" s="4" t="str">
        <f t="shared" si="75"/>
        <v>2020</v>
      </c>
      <c r="J1173" s="10" t="s">
        <v>12</v>
      </c>
    </row>
    <row r="1174" spans="1:10" x14ac:dyDescent="0.35">
      <c r="A1174" s="9" t="s">
        <v>1937</v>
      </c>
      <c r="B1174" s="3">
        <v>5</v>
      </c>
      <c r="C1174" s="4" t="str">
        <f t="shared" si="72"/>
        <v>Neutral</v>
      </c>
      <c r="D1174" s="3" t="s">
        <v>2353</v>
      </c>
      <c r="E1174" s="3" t="s">
        <v>2354</v>
      </c>
      <c r="F1174" s="5" t="s">
        <v>2350</v>
      </c>
      <c r="G1174" s="4" t="str">
        <f t="shared" si="73"/>
        <v>5th</v>
      </c>
      <c r="H1174" s="4" t="str">
        <f t="shared" si="74"/>
        <v>March</v>
      </c>
      <c r="I1174" s="4" t="str">
        <f t="shared" si="75"/>
        <v>2020</v>
      </c>
      <c r="J1174" s="10" t="s">
        <v>12</v>
      </c>
    </row>
    <row r="1175" spans="1:10" x14ac:dyDescent="0.35">
      <c r="A1175" s="9" t="s">
        <v>1937</v>
      </c>
      <c r="B1175" s="3">
        <v>1</v>
      </c>
      <c r="C1175" s="4" t="str">
        <f t="shared" si="72"/>
        <v>Bad</v>
      </c>
      <c r="D1175" s="3" t="s">
        <v>2355</v>
      </c>
      <c r="E1175" s="3" t="s">
        <v>2356</v>
      </c>
      <c r="F1175" s="5" t="s">
        <v>2350</v>
      </c>
      <c r="G1175" s="4" t="str">
        <f t="shared" si="73"/>
        <v>5th</v>
      </c>
      <c r="H1175" s="4" t="str">
        <f t="shared" si="74"/>
        <v>March</v>
      </c>
      <c r="I1175" s="4" t="str">
        <f t="shared" si="75"/>
        <v>2020</v>
      </c>
      <c r="J1175" s="10" t="s">
        <v>12</v>
      </c>
    </row>
    <row r="1176" spans="1:10" x14ac:dyDescent="0.35">
      <c r="A1176" s="9" t="s">
        <v>1937</v>
      </c>
      <c r="B1176" s="3">
        <v>1</v>
      </c>
      <c r="C1176" s="4" t="str">
        <f t="shared" si="72"/>
        <v>Bad</v>
      </c>
      <c r="D1176" s="3" t="s">
        <v>2357</v>
      </c>
      <c r="E1176" s="3" t="s">
        <v>2358</v>
      </c>
      <c r="F1176" s="5" t="s">
        <v>2350</v>
      </c>
      <c r="G1176" s="4" t="str">
        <f t="shared" si="73"/>
        <v>5th</v>
      </c>
      <c r="H1176" s="4" t="str">
        <f t="shared" si="74"/>
        <v>March</v>
      </c>
      <c r="I1176" s="4" t="str">
        <f t="shared" si="75"/>
        <v>2020</v>
      </c>
      <c r="J1176" s="10" t="s">
        <v>12</v>
      </c>
    </row>
    <row r="1177" spans="1:10" x14ac:dyDescent="0.35">
      <c r="A1177" s="9" t="s">
        <v>1937</v>
      </c>
      <c r="B1177" s="3">
        <v>1</v>
      </c>
      <c r="C1177" s="4" t="str">
        <f t="shared" si="72"/>
        <v>Bad</v>
      </c>
      <c r="D1177" s="3" t="s">
        <v>2359</v>
      </c>
      <c r="E1177" s="3" t="s">
        <v>2360</v>
      </c>
      <c r="F1177" s="5" t="s">
        <v>2350</v>
      </c>
      <c r="G1177" s="4" t="str">
        <f t="shared" si="73"/>
        <v>5th</v>
      </c>
      <c r="H1177" s="4" t="str">
        <f t="shared" si="74"/>
        <v>March</v>
      </c>
      <c r="I1177" s="4" t="str">
        <f t="shared" si="75"/>
        <v>2020</v>
      </c>
      <c r="J1177" s="10" t="s">
        <v>12</v>
      </c>
    </row>
    <row r="1178" spans="1:10" x14ac:dyDescent="0.35">
      <c r="A1178" s="9" t="s">
        <v>1937</v>
      </c>
      <c r="B1178" s="3">
        <v>10</v>
      </c>
      <c r="C1178" s="4" t="str">
        <f t="shared" si="72"/>
        <v>Good</v>
      </c>
      <c r="D1178" s="3" t="s">
        <v>624</v>
      </c>
      <c r="E1178" s="3" t="s">
        <v>2361</v>
      </c>
      <c r="F1178" s="5" t="s">
        <v>2350</v>
      </c>
      <c r="G1178" s="4" t="str">
        <f t="shared" si="73"/>
        <v>5th</v>
      </c>
      <c r="H1178" s="4" t="str">
        <f t="shared" si="74"/>
        <v>March</v>
      </c>
      <c r="I1178" s="4" t="str">
        <f t="shared" si="75"/>
        <v>2020</v>
      </c>
      <c r="J1178" s="10" t="s">
        <v>9</v>
      </c>
    </row>
    <row r="1179" spans="1:10" x14ac:dyDescent="0.35">
      <c r="A1179" s="9" t="s">
        <v>1937</v>
      </c>
      <c r="B1179" s="3">
        <v>1</v>
      </c>
      <c r="C1179" s="4" t="str">
        <f t="shared" si="72"/>
        <v>Bad</v>
      </c>
      <c r="D1179" s="3" t="s">
        <v>2362</v>
      </c>
      <c r="E1179" s="3" t="s">
        <v>2363</v>
      </c>
      <c r="F1179" s="5" t="s">
        <v>2350</v>
      </c>
      <c r="G1179" s="4" t="str">
        <f t="shared" si="73"/>
        <v>5th</v>
      </c>
      <c r="H1179" s="4" t="str">
        <f t="shared" si="74"/>
        <v>March</v>
      </c>
      <c r="I1179" s="4" t="str">
        <f t="shared" si="75"/>
        <v>2020</v>
      </c>
      <c r="J1179" s="10" t="s">
        <v>12</v>
      </c>
    </row>
    <row r="1180" spans="1:10" x14ac:dyDescent="0.35">
      <c r="A1180" s="9" t="s">
        <v>1937</v>
      </c>
      <c r="B1180" s="3">
        <v>7</v>
      </c>
      <c r="C1180" s="4" t="str">
        <f t="shared" si="72"/>
        <v>Neutral</v>
      </c>
      <c r="D1180" s="3" t="s">
        <v>2364</v>
      </c>
      <c r="E1180" s="3" t="s">
        <v>2365</v>
      </c>
      <c r="F1180" s="5" t="s">
        <v>2350</v>
      </c>
      <c r="G1180" s="4" t="str">
        <f t="shared" si="73"/>
        <v>5th</v>
      </c>
      <c r="H1180" s="4" t="str">
        <f t="shared" si="74"/>
        <v>March</v>
      </c>
      <c r="I1180" s="4" t="str">
        <f t="shared" si="75"/>
        <v>2020</v>
      </c>
      <c r="J1180" s="10" t="s">
        <v>9</v>
      </c>
    </row>
    <row r="1181" spans="1:10" x14ac:dyDescent="0.35">
      <c r="A1181" s="9" t="s">
        <v>1937</v>
      </c>
      <c r="B1181" s="3">
        <v>9</v>
      </c>
      <c r="C1181" s="4" t="str">
        <f t="shared" si="72"/>
        <v>Good</v>
      </c>
      <c r="D1181" s="3" t="s">
        <v>2366</v>
      </c>
      <c r="E1181" s="3" t="s">
        <v>2367</v>
      </c>
      <c r="F1181" s="5" t="s">
        <v>2350</v>
      </c>
      <c r="G1181" s="4" t="str">
        <f t="shared" si="73"/>
        <v>5th</v>
      </c>
      <c r="H1181" s="4" t="str">
        <f t="shared" si="74"/>
        <v>March</v>
      </c>
      <c r="I1181" s="4" t="str">
        <f t="shared" si="75"/>
        <v>2020</v>
      </c>
      <c r="J1181" s="10" t="s">
        <v>9</v>
      </c>
    </row>
    <row r="1182" spans="1:10" x14ac:dyDescent="0.35">
      <c r="A1182" s="9" t="s">
        <v>1937</v>
      </c>
      <c r="B1182" s="3">
        <v>1</v>
      </c>
      <c r="C1182" s="4" t="str">
        <f t="shared" si="72"/>
        <v>Bad</v>
      </c>
      <c r="D1182" s="3" t="s">
        <v>2368</v>
      </c>
      <c r="E1182" s="3" t="s">
        <v>2369</v>
      </c>
      <c r="F1182" s="5" t="s">
        <v>2370</v>
      </c>
      <c r="G1182" s="4" t="str">
        <f t="shared" si="73"/>
        <v>13th</v>
      </c>
      <c r="H1182" s="4" t="str">
        <f t="shared" si="74"/>
        <v>December</v>
      </c>
      <c r="I1182" s="4" t="str">
        <f t="shared" si="75"/>
        <v>2019</v>
      </c>
      <c r="J1182" s="10" t="s">
        <v>12</v>
      </c>
    </row>
    <row r="1183" spans="1:10" x14ac:dyDescent="0.35">
      <c r="A1183" s="9" t="s">
        <v>1937</v>
      </c>
      <c r="B1183" s="3">
        <v>10</v>
      </c>
      <c r="C1183" s="4" t="str">
        <f t="shared" si="72"/>
        <v>Good</v>
      </c>
      <c r="D1183" s="3" t="s">
        <v>2371</v>
      </c>
      <c r="E1183" s="3" t="s">
        <v>2372</v>
      </c>
      <c r="F1183" s="5" t="s">
        <v>2370</v>
      </c>
      <c r="G1183" s="4" t="str">
        <f t="shared" si="73"/>
        <v>13th</v>
      </c>
      <c r="H1183" s="4" t="str">
        <f t="shared" si="74"/>
        <v>December</v>
      </c>
      <c r="I1183" s="4" t="str">
        <f t="shared" si="75"/>
        <v>2019</v>
      </c>
      <c r="J1183" s="10" t="s">
        <v>9</v>
      </c>
    </row>
    <row r="1184" spans="1:10" x14ac:dyDescent="0.35">
      <c r="A1184" s="9" t="s">
        <v>1937</v>
      </c>
      <c r="B1184" s="3">
        <v>1</v>
      </c>
      <c r="C1184" s="4" t="str">
        <f t="shared" si="72"/>
        <v>Bad</v>
      </c>
      <c r="D1184" s="3" t="s">
        <v>2373</v>
      </c>
      <c r="E1184" s="3" t="s">
        <v>2374</v>
      </c>
      <c r="F1184" s="5" t="s">
        <v>2370</v>
      </c>
      <c r="G1184" s="4" t="str">
        <f t="shared" si="73"/>
        <v>13th</v>
      </c>
      <c r="H1184" s="4" t="str">
        <f t="shared" si="74"/>
        <v>December</v>
      </c>
      <c r="I1184" s="4" t="str">
        <f t="shared" si="75"/>
        <v>2019</v>
      </c>
      <c r="J1184" s="10" t="s">
        <v>12</v>
      </c>
    </row>
    <row r="1185" spans="1:10" x14ac:dyDescent="0.35">
      <c r="A1185" s="9" t="s">
        <v>1937</v>
      </c>
      <c r="B1185" s="3">
        <v>10</v>
      </c>
      <c r="C1185" s="4" t="str">
        <f t="shared" si="72"/>
        <v>Good</v>
      </c>
      <c r="D1185" s="3" t="s">
        <v>2375</v>
      </c>
      <c r="E1185" s="3" t="s">
        <v>2376</v>
      </c>
      <c r="F1185" s="5" t="s">
        <v>2370</v>
      </c>
      <c r="G1185" s="4" t="str">
        <f t="shared" si="73"/>
        <v>13th</v>
      </c>
      <c r="H1185" s="4" t="str">
        <f t="shared" si="74"/>
        <v>December</v>
      </c>
      <c r="I1185" s="4" t="str">
        <f t="shared" si="75"/>
        <v>2019</v>
      </c>
      <c r="J1185" s="10" t="s">
        <v>9</v>
      </c>
    </row>
    <row r="1186" spans="1:10" x14ac:dyDescent="0.35">
      <c r="A1186" s="9" t="s">
        <v>1937</v>
      </c>
      <c r="B1186" s="3">
        <v>9</v>
      </c>
      <c r="C1186" s="4" t="str">
        <f t="shared" si="72"/>
        <v>Good</v>
      </c>
      <c r="D1186" s="3" t="s">
        <v>2377</v>
      </c>
      <c r="E1186" s="3" t="s">
        <v>2378</v>
      </c>
      <c r="F1186" s="5" t="s">
        <v>2370</v>
      </c>
      <c r="G1186" s="4" t="str">
        <f t="shared" si="73"/>
        <v>13th</v>
      </c>
      <c r="H1186" s="4" t="str">
        <f t="shared" si="74"/>
        <v>December</v>
      </c>
      <c r="I1186" s="4" t="str">
        <f t="shared" si="75"/>
        <v>2019</v>
      </c>
      <c r="J1186" s="10" t="s">
        <v>9</v>
      </c>
    </row>
    <row r="1187" spans="1:10" x14ac:dyDescent="0.35">
      <c r="A1187" s="9" t="s">
        <v>1937</v>
      </c>
      <c r="B1187" s="3">
        <v>8</v>
      </c>
      <c r="C1187" s="4" t="str">
        <f t="shared" si="72"/>
        <v>Good</v>
      </c>
      <c r="D1187" s="3" t="s">
        <v>2379</v>
      </c>
      <c r="E1187" s="3" t="s">
        <v>2380</v>
      </c>
      <c r="F1187" s="5" t="s">
        <v>2370</v>
      </c>
      <c r="G1187" s="4" t="str">
        <f t="shared" si="73"/>
        <v>13th</v>
      </c>
      <c r="H1187" s="4" t="str">
        <f t="shared" si="74"/>
        <v>December</v>
      </c>
      <c r="I1187" s="4" t="str">
        <f t="shared" si="75"/>
        <v>2019</v>
      </c>
      <c r="J1187" s="10" t="s">
        <v>9</v>
      </c>
    </row>
    <row r="1188" spans="1:10" x14ac:dyDescent="0.35">
      <c r="A1188" s="9" t="s">
        <v>1937</v>
      </c>
      <c r="B1188" s="3">
        <v>8</v>
      </c>
      <c r="C1188" s="4" t="str">
        <f t="shared" si="72"/>
        <v>Good</v>
      </c>
      <c r="D1188" s="3" t="s">
        <v>2381</v>
      </c>
      <c r="E1188" s="3" t="s">
        <v>2382</v>
      </c>
      <c r="F1188" s="5" t="s">
        <v>2370</v>
      </c>
      <c r="G1188" s="4" t="str">
        <f t="shared" si="73"/>
        <v>13th</v>
      </c>
      <c r="H1188" s="4" t="str">
        <f t="shared" si="74"/>
        <v>December</v>
      </c>
      <c r="I1188" s="4" t="str">
        <f t="shared" si="75"/>
        <v>2019</v>
      </c>
      <c r="J1188" s="10" t="s">
        <v>9</v>
      </c>
    </row>
    <row r="1189" spans="1:10" x14ac:dyDescent="0.35">
      <c r="A1189" s="9" t="s">
        <v>1937</v>
      </c>
      <c r="B1189" s="3">
        <v>2</v>
      </c>
      <c r="C1189" s="4" t="str">
        <f t="shared" si="72"/>
        <v>Bad</v>
      </c>
      <c r="D1189" s="3" t="s">
        <v>2383</v>
      </c>
      <c r="E1189" s="3" t="s">
        <v>2384</v>
      </c>
      <c r="F1189" s="5" t="s">
        <v>2370</v>
      </c>
      <c r="G1189" s="4" t="str">
        <f t="shared" si="73"/>
        <v>13th</v>
      </c>
      <c r="H1189" s="4" t="str">
        <f t="shared" si="74"/>
        <v>December</v>
      </c>
      <c r="I1189" s="4" t="str">
        <f t="shared" si="75"/>
        <v>2019</v>
      </c>
      <c r="J1189" s="10" t="s">
        <v>12</v>
      </c>
    </row>
    <row r="1190" spans="1:10" x14ac:dyDescent="0.35">
      <c r="A1190" s="9" t="s">
        <v>1937</v>
      </c>
      <c r="B1190" s="3">
        <v>10</v>
      </c>
      <c r="C1190" s="4" t="str">
        <f t="shared" si="72"/>
        <v>Good</v>
      </c>
      <c r="D1190" s="3" t="s">
        <v>2385</v>
      </c>
      <c r="E1190" s="3" t="s">
        <v>2386</v>
      </c>
      <c r="F1190" s="5" t="s">
        <v>2370</v>
      </c>
      <c r="G1190" s="4" t="str">
        <f t="shared" si="73"/>
        <v>13th</v>
      </c>
      <c r="H1190" s="4" t="str">
        <f t="shared" si="74"/>
        <v>December</v>
      </c>
      <c r="I1190" s="4" t="str">
        <f t="shared" si="75"/>
        <v>2019</v>
      </c>
      <c r="J1190" s="10" t="s">
        <v>9</v>
      </c>
    </row>
    <row r="1191" spans="1:10" x14ac:dyDescent="0.35">
      <c r="A1191" s="9" t="s">
        <v>1937</v>
      </c>
      <c r="B1191" s="3">
        <v>1</v>
      </c>
      <c r="C1191" s="4" t="str">
        <f t="shared" si="72"/>
        <v>Bad</v>
      </c>
      <c r="D1191" s="3" t="s">
        <v>2387</v>
      </c>
      <c r="E1191" s="3" t="s">
        <v>2388</v>
      </c>
      <c r="F1191" s="5" t="s">
        <v>2370</v>
      </c>
      <c r="G1191" s="4" t="str">
        <f t="shared" si="73"/>
        <v>13th</v>
      </c>
      <c r="H1191" s="4" t="str">
        <f t="shared" si="74"/>
        <v>December</v>
      </c>
      <c r="I1191" s="4" t="str">
        <f t="shared" si="75"/>
        <v>2019</v>
      </c>
      <c r="J1191" s="10" t="s">
        <v>12</v>
      </c>
    </row>
    <row r="1192" spans="1:10" x14ac:dyDescent="0.35">
      <c r="A1192" s="9" t="s">
        <v>1937</v>
      </c>
      <c r="B1192" s="3">
        <v>2</v>
      </c>
      <c r="C1192" s="4" t="str">
        <f t="shared" si="72"/>
        <v>Bad</v>
      </c>
      <c r="D1192" s="3" t="s">
        <v>2389</v>
      </c>
      <c r="E1192" s="3" t="s">
        <v>2390</v>
      </c>
      <c r="F1192" s="5" t="s">
        <v>2391</v>
      </c>
      <c r="G1192" s="4" t="str">
        <f t="shared" si="73"/>
        <v>13th</v>
      </c>
      <c r="H1192" s="4" t="str">
        <f t="shared" si="74"/>
        <v>November</v>
      </c>
      <c r="I1192" s="4" t="str">
        <f t="shared" si="75"/>
        <v>2019</v>
      </c>
      <c r="J1192" s="10" t="s">
        <v>12</v>
      </c>
    </row>
    <row r="1193" spans="1:10" x14ac:dyDescent="0.35">
      <c r="A1193" s="9" t="s">
        <v>1937</v>
      </c>
      <c r="B1193" s="3">
        <v>8</v>
      </c>
      <c r="C1193" s="4" t="str">
        <f t="shared" si="72"/>
        <v>Good</v>
      </c>
      <c r="D1193" s="3" t="s">
        <v>2392</v>
      </c>
      <c r="E1193" s="3" t="s">
        <v>2393</v>
      </c>
      <c r="F1193" s="5" t="s">
        <v>2391</v>
      </c>
      <c r="G1193" s="4" t="str">
        <f t="shared" si="73"/>
        <v>13th</v>
      </c>
      <c r="H1193" s="4" t="str">
        <f t="shared" si="74"/>
        <v>November</v>
      </c>
      <c r="I1193" s="4" t="str">
        <f t="shared" si="75"/>
        <v>2019</v>
      </c>
      <c r="J1193" s="10" t="s">
        <v>9</v>
      </c>
    </row>
    <row r="1194" spans="1:10" x14ac:dyDescent="0.35">
      <c r="A1194" s="9" t="s">
        <v>1937</v>
      </c>
      <c r="B1194" s="3">
        <v>5</v>
      </c>
      <c r="C1194" s="4" t="str">
        <f t="shared" si="72"/>
        <v>Neutral</v>
      </c>
      <c r="D1194" s="3" t="s">
        <v>2394</v>
      </c>
      <c r="E1194" s="3" t="s">
        <v>2395</v>
      </c>
      <c r="F1194" s="5" t="s">
        <v>2391</v>
      </c>
      <c r="G1194" s="4" t="str">
        <f t="shared" si="73"/>
        <v>13th</v>
      </c>
      <c r="H1194" s="4" t="str">
        <f t="shared" si="74"/>
        <v>November</v>
      </c>
      <c r="I1194" s="4" t="str">
        <f t="shared" si="75"/>
        <v>2019</v>
      </c>
      <c r="J1194" s="10" t="s">
        <v>12</v>
      </c>
    </row>
    <row r="1195" spans="1:10" x14ac:dyDescent="0.35">
      <c r="A1195" s="9" t="s">
        <v>1937</v>
      </c>
      <c r="B1195" s="3">
        <v>3</v>
      </c>
      <c r="C1195" s="4" t="str">
        <f t="shared" si="72"/>
        <v>Bad</v>
      </c>
      <c r="D1195" s="3" t="s">
        <v>2396</v>
      </c>
      <c r="E1195" s="3" t="s">
        <v>2397</v>
      </c>
      <c r="F1195" s="5" t="s">
        <v>2391</v>
      </c>
      <c r="G1195" s="4" t="str">
        <f t="shared" si="73"/>
        <v>13th</v>
      </c>
      <c r="H1195" s="4" t="str">
        <f t="shared" si="74"/>
        <v>November</v>
      </c>
      <c r="I1195" s="4" t="str">
        <f t="shared" si="75"/>
        <v>2019</v>
      </c>
      <c r="J1195" s="10" t="s">
        <v>12</v>
      </c>
    </row>
    <row r="1196" spans="1:10" x14ac:dyDescent="0.35">
      <c r="A1196" s="9" t="s">
        <v>1937</v>
      </c>
      <c r="B1196" s="3">
        <v>1</v>
      </c>
      <c r="C1196" s="4" t="str">
        <f t="shared" si="72"/>
        <v>Bad</v>
      </c>
      <c r="D1196" s="3" t="s">
        <v>2398</v>
      </c>
      <c r="E1196" s="3" t="s">
        <v>2399</v>
      </c>
      <c r="F1196" s="5" t="s">
        <v>2391</v>
      </c>
      <c r="G1196" s="4" t="str">
        <f t="shared" si="73"/>
        <v>13th</v>
      </c>
      <c r="H1196" s="4" t="str">
        <f t="shared" si="74"/>
        <v>November</v>
      </c>
      <c r="I1196" s="4" t="str">
        <f t="shared" si="75"/>
        <v>2019</v>
      </c>
      <c r="J1196" s="10" t="s">
        <v>12</v>
      </c>
    </row>
    <row r="1197" spans="1:10" x14ac:dyDescent="0.35">
      <c r="A1197" s="9" t="s">
        <v>1937</v>
      </c>
      <c r="B1197" s="3">
        <v>9</v>
      </c>
      <c r="C1197" s="4" t="str">
        <f t="shared" si="72"/>
        <v>Good</v>
      </c>
      <c r="D1197" s="3" t="s">
        <v>2400</v>
      </c>
      <c r="E1197" s="3" t="s">
        <v>2401</v>
      </c>
      <c r="F1197" s="5" t="s">
        <v>2391</v>
      </c>
      <c r="G1197" s="4" t="str">
        <f t="shared" si="73"/>
        <v>13th</v>
      </c>
      <c r="H1197" s="4" t="str">
        <f t="shared" si="74"/>
        <v>November</v>
      </c>
      <c r="I1197" s="4" t="str">
        <f t="shared" si="75"/>
        <v>2019</v>
      </c>
      <c r="J1197" s="10" t="s">
        <v>9</v>
      </c>
    </row>
    <row r="1198" spans="1:10" x14ac:dyDescent="0.35">
      <c r="A1198" s="9" t="s">
        <v>1937</v>
      </c>
      <c r="B1198" s="3">
        <v>9</v>
      </c>
      <c r="C1198" s="4" t="str">
        <f t="shared" si="72"/>
        <v>Good</v>
      </c>
      <c r="D1198" s="3" t="s">
        <v>2402</v>
      </c>
      <c r="E1198" s="3" t="s">
        <v>2403</v>
      </c>
      <c r="F1198" s="5" t="s">
        <v>2391</v>
      </c>
      <c r="G1198" s="4" t="str">
        <f t="shared" si="73"/>
        <v>13th</v>
      </c>
      <c r="H1198" s="4" t="str">
        <f t="shared" si="74"/>
        <v>November</v>
      </c>
      <c r="I1198" s="4" t="str">
        <f t="shared" si="75"/>
        <v>2019</v>
      </c>
      <c r="J1198" s="10" t="s">
        <v>9</v>
      </c>
    </row>
    <row r="1199" spans="1:10" x14ac:dyDescent="0.35">
      <c r="A1199" s="9" t="s">
        <v>1937</v>
      </c>
      <c r="B1199" s="3">
        <v>9</v>
      </c>
      <c r="C1199" s="4" t="str">
        <f t="shared" si="72"/>
        <v>Good</v>
      </c>
      <c r="D1199" s="3" t="s">
        <v>2404</v>
      </c>
      <c r="E1199" s="3" t="s">
        <v>2405</v>
      </c>
      <c r="F1199" s="5" t="s">
        <v>2391</v>
      </c>
      <c r="G1199" s="4" t="str">
        <f t="shared" si="73"/>
        <v>13th</v>
      </c>
      <c r="H1199" s="4" t="str">
        <f t="shared" si="74"/>
        <v>November</v>
      </c>
      <c r="I1199" s="4" t="str">
        <f t="shared" si="75"/>
        <v>2019</v>
      </c>
      <c r="J1199" s="10" t="s">
        <v>9</v>
      </c>
    </row>
    <row r="1200" spans="1:10" x14ac:dyDescent="0.35">
      <c r="A1200" s="9" t="s">
        <v>1937</v>
      </c>
      <c r="B1200" s="3">
        <v>8</v>
      </c>
      <c r="C1200" s="4" t="str">
        <f t="shared" si="72"/>
        <v>Good</v>
      </c>
      <c r="D1200" s="3" t="s">
        <v>2406</v>
      </c>
      <c r="E1200" s="3" t="s">
        <v>2407</v>
      </c>
      <c r="F1200" s="5" t="s">
        <v>2391</v>
      </c>
      <c r="G1200" s="4" t="str">
        <f t="shared" si="73"/>
        <v>13th</v>
      </c>
      <c r="H1200" s="4" t="str">
        <f t="shared" si="74"/>
        <v>November</v>
      </c>
      <c r="I1200" s="4" t="str">
        <f t="shared" si="75"/>
        <v>2019</v>
      </c>
      <c r="J1200" s="10" t="s">
        <v>9</v>
      </c>
    </row>
    <row r="1201" spans="1:10" x14ac:dyDescent="0.35">
      <c r="A1201" s="9" t="s">
        <v>1937</v>
      </c>
      <c r="B1201" s="3">
        <v>9</v>
      </c>
      <c r="C1201" s="4" t="str">
        <f t="shared" si="72"/>
        <v>Good</v>
      </c>
      <c r="D1201" s="3" t="s">
        <v>2408</v>
      </c>
      <c r="E1201" s="3" t="s">
        <v>2409</v>
      </c>
      <c r="F1201" s="5" t="s">
        <v>2391</v>
      </c>
      <c r="G1201" s="4" t="str">
        <f t="shared" si="73"/>
        <v>13th</v>
      </c>
      <c r="H1201" s="4" t="str">
        <f t="shared" si="74"/>
        <v>November</v>
      </c>
      <c r="I1201" s="4" t="str">
        <f t="shared" si="75"/>
        <v>2019</v>
      </c>
      <c r="J1201" s="10" t="s">
        <v>9</v>
      </c>
    </row>
    <row r="1202" spans="1:10" x14ac:dyDescent="0.35">
      <c r="A1202" s="9" t="s">
        <v>1937</v>
      </c>
      <c r="B1202" s="3">
        <v>10</v>
      </c>
      <c r="C1202" s="4" t="str">
        <f t="shared" si="72"/>
        <v>Good</v>
      </c>
      <c r="D1202" s="3" t="s">
        <v>2410</v>
      </c>
      <c r="E1202" s="3" t="s">
        <v>2411</v>
      </c>
      <c r="F1202" s="5" t="s">
        <v>2412</v>
      </c>
      <c r="G1202" s="4" t="str">
        <f t="shared" si="73"/>
        <v>17th</v>
      </c>
      <c r="H1202" s="4" t="str">
        <f t="shared" si="74"/>
        <v>September</v>
      </c>
      <c r="I1202" s="4" t="str">
        <f t="shared" si="75"/>
        <v>2019</v>
      </c>
      <c r="J1202" s="10" t="s">
        <v>9</v>
      </c>
    </row>
    <row r="1203" spans="1:10" x14ac:dyDescent="0.35">
      <c r="A1203" s="9" t="s">
        <v>1937</v>
      </c>
      <c r="B1203" s="3">
        <v>10</v>
      </c>
      <c r="C1203" s="4" t="str">
        <f t="shared" si="72"/>
        <v>Good</v>
      </c>
      <c r="D1203" s="3" t="s">
        <v>2413</v>
      </c>
      <c r="E1203" s="3" t="s">
        <v>2414</v>
      </c>
      <c r="F1203" s="5" t="s">
        <v>2412</v>
      </c>
      <c r="G1203" s="4" t="str">
        <f t="shared" si="73"/>
        <v>17th</v>
      </c>
      <c r="H1203" s="4" t="str">
        <f t="shared" si="74"/>
        <v>September</v>
      </c>
      <c r="I1203" s="4" t="str">
        <f t="shared" si="75"/>
        <v>2019</v>
      </c>
      <c r="J1203" s="10" t="s">
        <v>9</v>
      </c>
    </row>
    <row r="1204" spans="1:10" x14ac:dyDescent="0.35">
      <c r="A1204" s="9" t="s">
        <v>1937</v>
      </c>
      <c r="B1204" s="3">
        <v>7</v>
      </c>
      <c r="C1204" s="4" t="str">
        <f t="shared" si="72"/>
        <v>Neutral</v>
      </c>
      <c r="D1204" s="3" t="s">
        <v>2415</v>
      </c>
      <c r="E1204" s="3" t="s">
        <v>2416</v>
      </c>
      <c r="F1204" s="5" t="s">
        <v>2412</v>
      </c>
      <c r="G1204" s="4" t="str">
        <f t="shared" si="73"/>
        <v>17th</v>
      </c>
      <c r="H1204" s="4" t="str">
        <f t="shared" si="74"/>
        <v>September</v>
      </c>
      <c r="I1204" s="4" t="str">
        <f t="shared" si="75"/>
        <v>2019</v>
      </c>
      <c r="J1204" s="10" t="s">
        <v>12</v>
      </c>
    </row>
    <row r="1205" spans="1:10" x14ac:dyDescent="0.35">
      <c r="A1205" s="9" t="s">
        <v>1937</v>
      </c>
      <c r="B1205" s="3">
        <v>9</v>
      </c>
      <c r="C1205" s="4" t="str">
        <f t="shared" si="72"/>
        <v>Good</v>
      </c>
      <c r="D1205" s="3" t="s">
        <v>2417</v>
      </c>
      <c r="E1205" s="3" t="s">
        <v>2418</v>
      </c>
      <c r="F1205" s="5" t="s">
        <v>2412</v>
      </c>
      <c r="G1205" s="4" t="str">
        <f t="shared" si="73"/>
        <v>17th</v>
      </c>
      <c r="H1205" s="4" t="str">
        <f t="shared" si="74"/>
        <v>September</v>
      </c>
      <c r="I1205" s="4" t="str">
        <f t="shared" si="75"/>
        <v>2019</v>
      </c>
      <c r="J1205" s="10" t="s">
        <v>9</v>
      </c>
    </row>
    <row r="1206" spans="1:10" x14ac:dyDescent="0.35">
      <c r="A1206" s="9" t="s">
        <v>1937</v>
      </c>
      <c r="B1206" s="3">
        <v>2</v>
      </c>
      <c r="C1206" s="4" t="str">
        <f t="shared" si="72"/>
        <v>Bad</v>
      </c>
      <c r="D1206" s="3" t="s">
        <v>2419</v>
      </c>
      <c r="E1206" s="3" t="s">
        <v>2420</v>
      </c>
      <c r="F1206" s="5" t="s">
        <v>2412</v>
      </c>
      <c r="G1206" s="4" t="str">
        <f t="shared" si="73"/>
        <v>17th</v>
      </c>
      <c r="H1206" s="4" t="str">
        <f t="shared" si="74"/>
        <v>September</v>
      </c>
      <c r="I1206" s="4" t="str">
        <f t="shared" si="75"/>
        <v>2019</v>
      </c>
      <c r="J1206" s="10" t="s">
        <v>9</v>
      </c>
    </row>
    <row r="1207" spans="1:10" x14ac:dyDescent="0.35">
      <c r="A1207" s="9" t="s">
        <v>1937</v>
      </c>
      <c r="B1207" s="3">
        <v>8</v>
      </c>
      <c r="C1207" s="4" t="str">
        <f t="shared" si="72"/>
        <v>Good</v>
      </c>
      <c r="D1207" s="3" t="s">
        <v>2421</v>
      </c>
      <c r="E1207" s="3" t="s">
        <v>2422</v>
      </c>
      <c r="F1207" s="5" t="s">
        <v>2412</v>
      </c>
      <c r="G1207" s="4" t="str">
        <f t="shared" si="73"/>
        <v>17th</v>
      </c>
      <c r="H1207" s="4" t="str">
        <f t="shared" si="74"/>
        <v>September</v>
      </c>
      <c r="I1207" s="4" t="str">
        <f t="shared" si="75"/>
        <v>2019</v>
      </c>
      <c r="J1207" s="10" t="s">
        <v>9</v>
      </c>
    </row>
    <row r="1208" spans="1:10" x14ac:dyDescent="0.35">
      <c r="A1208" s="9" t="s">
        <v>1937</v>
      </c>
      <c r="B1208" s="3">
        <v>6</v>
      </c>
      <c r="C1208" s="4" t="str">
        <f t="shared" si="72"/>
        <v>Neutral</v>
      </c>
      <c r="D1208" s="3" t="s">
        <v>2423</v>
      </c>
      <c r="E1208" s="3" t="s">
        <v>1515</v>
      </c>
      <c r="F1208" s="5" t="s">
        <v>2412</v>
      </c>
      <c r="G1208" s="4" t="str">
        <f t="shared" si="73"/>
        <v>17th</v>
      </c>
      <c r="H1208" s="4" t="str">
        <f t="shared" si="74"/>
        <v>September</v>
      </c>
      <c r="I1208" s="4" t="str">
        <f t="shared" si="75"/>
        <v>2019</v>
      </c>
      <c r="J1208" s="10" t="s">
        <v>12</v>
      </c>
    </row>
    <row r="1209" spans="1:10" x14ac:dyDescent="0.35">
      <c r="A1209" s="9" t="s">
        <v>1937</v>
      </c>
      <c r="B1209" s="3">
        <v>10</v>
      </c>
      <c r="C1209" s="4" t="str">
        <f t="shared" si="72"/>
        <v>Good</v>
      </c>
      <c r="D1209" s="3" t="s">
        <v>2424</v>
      </c>
      <c r="E1209" s="3" t="s">
        <v>2425</v>
      </c>
      <c r="F1209" s="5" t="s">
        <v>2412</v>
      </c>
      <c r="G1209" s="4" t="str">
        <f t="shared" si="73"/>
        <v>17th</v>
      </c>
      <c r="H1209" s="4" t="str">
        <f t="shared" si="74"/>
        <v>September</v>
      </c>
      <c r="I1209" s="4" t="str">
        <f t="shared" si="75"/>
        <v>2019</v>
      </c>
      <c r="J1209" s="10" t="s">
        <v>9</v>
      </c>
    </row>
    <row r="1210" spans="1:10" x14ac:dyDescent="0.35">
      <c r="A1210" s="9" t="s">
        <v>1937</v>
      </c>
      <c r="B1210" s="3">
        <v>5</v>
      </c>
      <c r="C1210" s="4" t="str">
        <f t="shared" si="72"/>
        <v>Neutral</v>
      </c>
      <c r="D1210" s="3" t="s">
        <v>2426</v>
      </c>
      <c r="E1210" s="3" t="s">
        <v>2427</v>
      </c>
      <c r="F1210" s="5" t="s">
        <v>2412</v>
      </c>
      <c r="G1210" s="4" t="str">
        <f t="shared" si="73"/>
        <v>17th</v>
      </c>
      <c r="H1210" s="4" t="str">
        <f t="shared" si="74"/>
        <v>September</v>
      </c>
      <c r="I1210" s="4" t="str">
        <f t="shared" si="75"/>
        <v>2019</v>
      </c>
      <c r="J1210" s="10" t="s">
        <v>9</v>
      </c>
    </row>
    <row r="1211" spans="1:10" x14ac:dyDescent="0.35">
      <c r="A1211" s="9" t="s">
        <v>1937</v>
      </c>
      <c r="B1211" s="3">
        <v>9</v>
      </c>
      <c r="C1211" s="4" t="str">
        <f t="shared" si="72"/>
        <v>Good</v>
      </c>
      <c r="D1211" s="3" t="s">
        <v>2428</v>
      </c>
      <c r="E1211" s="3" t="s">
        <v>2429</v>
      </c>
      <c r="F1211" s="5" t="s">
        <v>2412</v>
      </c>
      <c r="G1211" s="4" t="str">
        <f t="shared" si="73"/>
        <v>17th</v>
      </c>
      <c r="H1211" s="4" t="str">
        <f t="shared" si="74"/>
        <v>September</v>
      </c>
      <c r="I1211" s="4" t="str">
        <f t="shared" si="75"/>
        <v>2019</v>
      </c>
      <c r="J1211" s="10" t="s">
        <v>9</v>
      </c>
    </row>
    <row r="1212" spans="1:10" x14ac:dyDescent="0.35">
      <c r="A1212" s="9" t="s">
        <v>1937</v>
      </c>
      <c r="B1212" s="3">
        <v>10</v>
      </c>
      <c r="C1212" s="4" t="str">
        <f t="shared" si="72"/>
        <v>Good</v>
      </c>
      <c r="D1212" s="3" t="s">
        <v>2430</v>
      </c>
      <c r="E1212" s="3" t="s">
        <v>2431</v>
      </c>
      <c r="F1212" s="5" t="s">
        <v>2432</v>
      </c>
      <c r="G1212" s="4" t="str">
        <f t="shared" si="73"/>
        <v>21st</v>
      </c>
      <c r="H1212" s="4" t="str">
        <f t="shared" si="74"/>
        <v>July</v>
      </c>
      <c r="I1212" s="4" t="str">
        <f t="shared" si="75"/>
        <v>2019</v>
      </c>
      <c r="J1212" s="10" t="s">
        <v>9</v>
      </c>
    </row>
    <row r="1213" spans="1:10" x14ac:dyDescent="0.35">
      <c r="A1213" s="9" t="s">
        <v>1937</v>
      </c>
      <c r="B1213" s="3">
        <v>1</v>
      </c>
      <c r="C1213" s="4" t="str">
        <f t="shared" si="72"/>
        <v>Bad</v>
      </c>
      <c r="D1213" s="3" t="s">
        <v>2433</v>
      </c>
      <c r="E1213" s="3" t="s">
        <v>2434</v>
      </c>
      <c r="F1213" s="5" t="s">
        <v>2432</v>
      </c>
      <c r="G1213" s="4" t="str">
        <f t="shared" si="73"/>
        <v>21st</v>
      </c>
      <c r="H1213" s="4" t="str">
        <f t="shared" si="74"/>
        <v>July</v>
      </c>
      <c r="I1213" s="4" t="str">
        <f t="shared" si="75"/>
        <v>2019</v>
      </c>
      <c r="J1213" s="10" t="s">
        <v>12</v>
      </c>
    </row>
    <row r="1214" spans="1:10" x14ac:dyDescent="0.35">
      <c r="A1214" s="9" t="s">
        <v>1937</v>
      </c>
      <c r="B1214" s="3">
        <v>1</v>
      </c>
      <c r="C1214" s="4" t="str">
        <f t="shared" si="72"/>
        <v>Bad</v>
      </c>
      <c r="D1214" s="3" t="s">
        <v>2435</v>
      </c>
      <c r="E1214" s="3" t="s">
        <v>2436</v>
      </c>
      <c r="F1214" s="5" t="s">
        <v>2432</v>
      </c>
      <c r="G1214" s="4" t="str">
        <f t="shared" si="73"/>
        <v>21st</v>
      </c>
      <c r="H1214" s="4" t="str">
        <f t="shared" si="74"/>
        <v>July</v>
      </c>
      <c r="I1214" s="4" t="str">
        <f t="shared" si="75"/>
        <v>2019</v>
      </c>
      <c r="J1214" s="10" t="s">
        <v>12</v>
      </c>
    </row>
    <row r="1215" spans="1:10" x14ac:dyDescent="0.35">
      <c r="A1215" s="9" t="s">
        <v>1937</v>
      </c>
      <c r="B1215" s="3">
        <v>4</v>
      </c>
      <c r="C1215" s="4" t="str">
        <f t="shared" si="72"/>
        <v>Bad</v>
      </c>
      <c r="D1215" s="3" t="s">
        <v>2437</v>
      </c>
      <c r="E1215" s="3" t="s">
        <v>2438</v>
      </c>
      <c r="F1215" s="5" t="s">
        <v>2432</v>
      </c>
      <c r="G1215" s="4" t="str">
        <f t="shared" si="73"/>
        <v>21st</v>
      </c>
      <c r="H1215" s="4" t="str">
        <f t="shared" si="74"/>
        <v>July</v>
      </c>
      <c r="I1215" s="4" t="str">
        <f t="shared" si="75"/>
        <v>2019</v>
      </c>
      <c r="J1215" s="10" t="s">
        <v>12</v>
      </c>
    </row>
    <row r="1216" spans="1:10" x14ac:dyDescent="0.35">
      <c r="A1216" s="9" t="s">
        <v>1937</v>
      </c>
      <c r="B1216" s="3">
        <v>4</v>
      </c>
      <c r="C1216" s="4" t="str">
        <f t="shared" si="72"/>
        <v>Bad</v>
      </c>
      <c r="D1216" s="3" t="s">
        <v>2439</v>
      </c>
      <c r="E1216" s="3" t="s">
        <v>2440</v>
      </c>
      <c r="F1216" s="5" t="s">
        <v>2432</v>
      </c>
      <c r="G1216" s="4" t="str">
        <f t="shared" si="73"/>
        <v>21st</v>
      </c>
      <c r="H1216" s="4" t="str">
        <f t="shared" si="74"/>
        <v>July</v>
      </c>
      <c r="I1216" s="4" t="str">
        <f t="shared" si="75"/>
        <v>2019</v>
      </c>
      <c r="J1216" s="10" t="s">
        <v>12</v>
      </c>
    </row>
    <row r="1217" spans="1:10" x14ac:dyDescent="0.35">
      <c r="A1217" s="9" t="s">
        <v>1937</v>
      </c>
      <c r="B1217" s="3">
        <v>3</v>
      </c>
      <c r="C1217" s="4" t="str">
        <f t="shared" si="72"/>
        <v>Bad</v>
      </c>
      <c r="D1217" s="3" t="s">
        <v>2441</v>
      </c>
      <c r="E1217" s="3" t="s">
        <v>2442</v>
      </c>
      <c r="F1217" s="5" t="s">
        <v>2432</v>
      </c>
      <c r="G1217" s="4" t="str">
        <f t="shared" si="73"/>
        <v>21st</v>
      </c>
      <c r="H1217" s="4" t="str">
        <f t="shared" si="74"/>
        <v>July</v>
      </c>
      <c r="I1217" s="4" t="str">
        <f t="shared" si="75"/>
        <v>2019</v>
      </c>
      <c r="J1217" s="10" t="s">
        <v>12</v>
      </c>
    </row>
    <row r="1218" spans="1:10" x14ac:dyDescent="0.35">
      <c r="A1218" s="9" t="s">
        <v>1937</v>
      </c>
      <c r="B1218" s="3">
        <v>10</v>
      </c>
      <c r="C1218" s="4" t="str">
        <f t="shared" si="72"/>
        <v>Good</v>
      </c>
      <c r="D1218" s="3" t="s">
        <v>2443</v>
      </c>
      <c r="E1218" s="3" t="s">
        <v>2444</v>
      </c>
      <c r="F1218" s="5" t="s">
        <v>2432</v>
      </c>
      <c r="G1218" s="4" t="str">
        <f t="shared" si="73"/>
        <v>21st</v>
      </c>
      <c r="H1218" s="4" t="str">
        <f t="shared" si="74"/>
        <v>July</v>
      </c>
      <c r="I1218" s="4" t="str">
        <f t="shared" si="75"/>
        <v>2019</v>
      </c>
      <c r="J1218" s="10" t="s">
        <v>9</v>
      </c>
    </row>
    <row r="1219" spans="1:10" x14ac:dyDescent="0.35">
      <c r="A1219" s="9" t="s">
        <v>1937</v>
      </c>
      <c r="B1219" s="3">
        <v>1</v>
      </c>
      <c r="C1219" s="4" t="str">
        <f t="shared" ref="C1219:C1282" si="76">IF(B1219&gt;=8,"Good",IF(B1219&gt;=5,"Neutral","Bad"))</f>
        <v>Bad</v>
      </c>
      <c r="D1219" s="3" t="s">
        <v>2445</v>
      </c>
      <c r="E1219" s="3" t="s">
        <v>2446</v>
      </c>
      <c r="F1219" s="5" t="s">
        <v>2432</v>
      </c>
      <c r="G1219" s="4" t="str">
        <f t="shared" ref="G1219:G1282" si="77">LEFT(F1219, FIND(" ", F1219)-1)</f>
        <v>21st</v>
      </c>
      <c r="H1219" s="4" t="str">
        <f t="shared" ref="H1219:H1282" si="78">TRIM(MID(F1219, FIND(" ", F1219)+1, FIND(" ", F1219, FIND(" ", F1219)+1) - FIND(" ", F1219)-1))</f>
        <v>July</v>
      </c>
      <c r="I1219" s="4" t="str">
        <f t="shared" ref="I1219:I1282" si="79">RIGHT(F1219, 4)</f>
        <v>2019</v>
      </c>
      <c r="J1219" s="10" t="s">
        <v>12</v>
      </c>
    </row>
    <row r="1220" spans="1:10" x14ac:dyDescent="0.35">
      <c r="A1220" s="9" t="s">
        <v>1937</v>
      </c>
      <c r="B1220" s="3">
        <v>10</v>
      </c>
      <c r="C1220" s="4" t="str">
        <f t="shared" si="76"/>
        <v>Good</v>
      </c>
      <c r="D1220" s="3" t="s">
        <v>2447</v>
      </c>
      <c r="E1220" s="3" t="s">
        <v>1257</v>
      </c>
      <c r="F1220" s="5" t="s">
        <v>2432</v>
      </c>
      <c r="G1220" s="4" t="str">
        <f t="shared" si="77"/>
        <v>21st</v>
      </c>
      <c r="H1220" s="4" t="str">
        <f t="shared" si="78"/>
        <v>July</v>
      </c>
      <c r="I1220" s="4" t="str">
        <f t="shared" si="79"/>
        <v>2019</v>
      </c>
      <c r="J1220" s="10" t="s">
        <v>9</v>
      </c>
    </row>
    <row r="1221" spans="1:10" x14ac:dyDescent="0.35">
      <c r="A1221" s="9" t="s">
        <v>1937</v>
      </c>
      <c r="B1221" s="3">
        <v>2</v>
      </c>
      <c r="C1221" s="4" t="str">
        <f t="shared" si="76"/>
        <v>Bad</v>
      </c>
      <c r="D1221" s="3" t="s">
        <v>2448</v>
      </c>
      <c r="E1221" s="3" t="s">
        <v>2449</v>
      </c>
      <c r="F1221" s="5" t="s">
        <v>2432</v>
      </c>
      <c r="G1221" s="4" t="str">
        <f t="shared" si="77"/>
        <v>21st</v>
      </c>
      <c r="H1221" s="4" t="str">
        <f t="shared" si="78"/>
        <v>July</v>
      </c>
      <c r="I1221" s="4" t="str">
        <f t="shared" si="79"/>
        <v>2019</v>
      </c>
      <c r="J1221" s="10" t="s">
        <v>12</v>
      </c>
    </row>
    <row r="1222" spans="1:10" x14ac:dyDescent="0.35">
      <c r="A1222" s="9" t="s">
        <v>1937</v>
      </c>
      <c r="B1222" s="3">
        <v>9</v>
      </c>
      <c r="C1222" s="4" t="str">
        <f t="shared" si="76"/>
        <v>Good</v>
      </c>
      <c r="D1222" s="3" t="s">
        <v>2450</v>
      </c>
      <c r="E1222" s="3" t="s">
        <v>2451</v>
      </c>
      <c r="F1222" s="5" t="s">
        <v>2452</v>
      </c>
      <c r="G1222" s="4" t="str">
        <f t="shared" si="77"/>
        <v>31st</v>
      </c>
      <c r="H1222" s="4" t="str">
        <f t="shared" si="78"/>
        <v>May</v>
      </c>
      <c r="I1222" s="4" t="str">
        <f t="shared" si="79"/>
        <v>2019</v>
      </c>
      <c r="J1222" s="10" t="s">
        <v>9</v>
      </c>
    </row>
    <row r="1223" spans="1:10" x14ac:dyDescent="0.35">
      <c r="A1223" s="9" t="s">
        <v>1937</v>
      </c>
      <c r="B1223" s="3">
        <v>10</v>
      </c>
      <c r="C1223" s="4" t="str">
        <f t="shared" si="76"/>
        <v>Good</v>
      </c>
      <c r="D1223" s="3" t="s">
        <v>2453</v>
      </c>
      <c r="E1223" s="3" t="s">
        <v>2454</v>
      </c>
      <c r="F1223" s="5" t="s">
        <v>2452</v>
      </c>
      <c r="G1223" s="4" t="str">
        <f t="shared" si="77"/>
        <v>31st</v>
      </c>
      <c r="H1223" s="4" t="str">
        <f t="shared" si="78"/>
        <v>May</v>
      </c>
      <c r="I1223" s="4" t="str">
        <f t="shared" si="79"/>
        <v>2019</v>
      </c>
      <c r="J1223" s="10" t="s">
        <v>9</v>
      </c>
    </row>
    <row r="1224" spans="1:10" x14ac:dyDescent="0.35">
      <c r="A1224" s="9" t="s">
        <v>1937</v>
      </c>
      <c r="B1224" s="3">
        <v>2</v>
      </c>
      <c r="C1224" s="4" t="str">
        <f t="shared" si="76"/>
        <v>Bad</v>
      </c>
      <c r="D1224" s="3" t="s">
        <v>2455</v>
      </c>
      <c r="E1224" s="3" t="s">
        <v>2456</v>
      </c>
      <c r="F1224" s="5" t="s">
        <v>2452</v>
      </c>
      <c r="G1224" s="4" t="str">
        <f t="shared" si="77"/>
        <v>31st</v>
      </c>
      <c r="H1224" s="4" t="str">
        <f t="shared" si="78"/>
        <v>May</v>
      </c>
      <c r="I1224" s="4" t="str">
        <f t="shared" si="79"/>
        <v>2019</v>
      </c>
      <c r="J1224" s="10" t="s">
        <v>12</v>
      </c>
    </row>
    <row r="1225" spans="1:10" x14ac:dyDescent="0.35">
      <c r="A1225" s="9" t="s">
        <v>1937</v>
      </c>
      <c r="B1225" s="3">
        <v>1</v>
      </c>
      <c r="C1225" s="4" t="str">
        <f t="shared" si="76"/>
        <v>Bad</v>
      </c>
      <c r="D1225" s="3" t="s">
        <v>2457</v>
      </c>
      <c r="E1225" s="3" t="s">
        <v>2458</v>
      </c>
      <c r="F1225" s="5" t="s">
        <v>2452</v>
      </c>
      <c r="G1225" s="4" t="str">
        <f t="shared" si="77"/>
        <v>31st</v>
      </c>
      <c r="H1225" s="4" t="str">
        <f t="shared" si="78"/>
        <v>May</v>
      </c>
      <c r="I1225" s="4" t="str">
        <f t="shared" si="79"/>
        <v>2019</v>
      </c>
      <c r="J1225" s="10" t="s">
        <v>12</v>
      </c>
    </row>
    <row r="1226" spans="1:10" x14ac:dyDescent="0.35">
      <c r="A1226" s="9" t="s">
        <v>1937</v>
      </c>
      <c r="B1226" s="3">
        <v>6</v>
      </c>
      <c r="C1226" s="4" t="str">
        <f t="shared" si="76"/>
        <v>Neutral</v>
      </c>
      <c r="D1226" s="3" t="s">
        <v>2459</v>
      </c>
      <c r="E1226" s="3" t="s">
        <v>2460</v>
      </c>
      <c r="F1226" s="5" t="s">
        <v>2452</v>
      </c>
      <c r="G1226" s="4" t="str">
        <f t="shared" si="77"/>
        <v>31st</v>
      </c>
      <c r="H1226" s="4" t="str">
        <f t="shared" si="78"/>
        <v>May</v>
      </c>
      <c r="I1226" s="4" t="str">
        <f t="shared" si="79"/>
        <v>2019</v>
      </c>
      <c r="J1226" s="10" t="s">
        <v>12</v>
      </c>
    </row>
    <row r="1227" spans="1:10" x14ac:dyDescent="0.35">
      <c r="A1227" s="9" t="s">
        <v>1937</v>
      </c>
      <c r="B1227" s="3">
        <v>5</v>
      </c>
      <c r="C1227" s="4" t="str">
        <f t="shared" si="76"/>
        <v>Neutral</v>
      </c>
      <c r="D1227" s="3" t="s">
        <v>2461</v>
      </c>
      <c r="E1227" s="3" t="s">
        <v>2462</v>
      </c>
      <c r="F1227" s="5" t="s">
        <v>2452</v>
      </c>
      <c r="G1227" s="4" t="str">
        <f t="shared" si="77"/>
        <v>31st</v>
      </c>
      <c r="H1227" s="4" t="str">
        <f t="shared" si="78"/>
        <v>May</v>
      </c>
      <c r="I1227" s="4" t="str">
        <f t="shared" si="79"/>
        <v>2019</v>
      </c>
      <c r="J1227" s="10" t="s">
        <v>12</v>
      </c>
    </row>
    <row r="1228" spans="1:10" x14ac:dyDescent="0.35">
      <c r="A1228" s="9" t="s">
        <v>1937</v>
      </c>
      <c r="B1228" s="3">
        <v>6</v>
      </c>
      <c r="C1228" s="4" t="str">
        <f t="shared" si="76"/>
        <v>Neutral</v>
      </c>
      <c r="D1228" s="3" t="s">
        <v>2463</v>
      </c>
      <c r="E1228" s="3" t="s">
        <v>2464</v>
      </c>
      <c r="F1228" s="5" t="s">
        <v>2452</v>
      </c>
      <c r="G1228" s="4" t="str">
        <f t="shared" si="77"/>
        <v>31st</v>
      </c>
      <c r="H1228" s="4" t="str">
        <f t="shared" si="78"/>
        <v>May</v>
      </c>
      <c r="I1228" s="4" t="str">
        <f t="shared" si="79"/>
        <v>2019</v>
      </c>
      <c r="J1228" s="10" t="s">
        <v>12</v>
      </c>
    </row>
    <row r="1229" spans="1:10" x14ac:dyDescent="0.35">
      <c r="A1229" s="9" t="s">
        <v>1937</v>
      </c>
      <c r="B1229" s="3">
        <v>1</v>
      </c>
      <c r="C1229" s="4" t="str">
        <f t="shared" si="76"/>
        <v>Bad</v>
      </c>
      <c r="D1229" s="3" t="s">
        <v>2465</v>
      </c>
      <c r="E1229" s="3" t="s">
        <v>2466</v>
      </c>
      <c r="F1229" s="5" t="s">
        <v>2452</v>
      </c>
      <c r="G1229" s="4" t="str">
        <f t="shared" si="77"/>
        <v>31st</v>
      </c>
      <c r="H1229" s="4" t="str">
        <f t="shared" si="78"/>
        <v>May</v>
      </c>
      <c r="I1229" s="4" t="str">
        <f t="shared" si="79"/>
        <v>2019</v>
      </c>
      <c r="J1229" s="10" t="s">
        <v>12</v>
      </c>
    </row>
    <row r="1230" spans="1:10" x14ac:dyDescent="0.35">
      <c r="A1230" s="9" t="s">
        <v>1937</v>
      </c>
      <c r="B1230" s="3">
        <v>1</v>
      </c>
      <c r="C1230" s="4" t="str">
        <f t="shared" si="76"/>
        <v>Bad</v>
      </c>
      <c r="D1230" s="3" t="s">
        <v>2467</v>
      </c>
      <c r="E1230" s="3" t="s">
        <v>2468</v>
      </c>
      <c r="F1230" s="5" t="s">
        <v>2452</v>
      </c>
      <c r="G1230" s="4" t="str">
        <f t="shared" si="77"/>
        <v>31st</v>
      </c>
      <c r="H1230" s="4" t="str">
        <f t="shared" si="78"/>
        <v>May</v>
      </c>
      <c r="I1230" s="4" t="str">
        <f t="shared" si="79"/>
        <v>2019</v>
      </c>
      <c r="J1230" s="10" t="s">
        <v>12</v>
      </c>
    </row>
    <row r="1231" spans="1:10" x14ac:dyDescent="0.35">
      <c r="A1231" s="9" t="s">
        <v>1937</v>
      </c>
      <c r="B1231" s="3">
        <v>9</v>
      </c>
      <c r="C1231" s="4" t="str">
        <f t="shared" si="76"/>
        <v>Good</v>
      </c>
      <c r="D1231" s="3" t="s">
        <v>2469</v>
      </c>
      <c r="E1231" s="3" t="s">
        <v>2470</v>
      </c>
      <c r="F1231" s="5" t="s">
        <v>2452</v>
      </c>
      <c r="G1231" s="4" t="str">
        <f t="shared" si="77"/>
        <v>31st</v>
      </c>
      <c r="H1231" s="4" t="str">
        <f t="shared" si="78"/>
        <v>May</v>
      </c>
      <c r="I1231" s="4" t="str">
        <f t="shared" si="79"/>
        <v>2019</v>
      </c>
      <c r="J1231" s="10" t="s">
        <v>9</v>
      </c>
    </row>
    <row r="1232" spans="1:10" x14ac:dyDescent="0.35">
      <c r="A1232" s="9" t="s">
        <v>1937</v>
      </c>
      <c r="B1232" s="3">
        <v>3</v>
      </c>
      <c r="C1232" s="4" t="str">
        <f t="shared" si="76"/>
        <v>Bad</v>
      </c>
      <c r="D1232" s="3" t="s">
        <v>2471</v>
      </c>
      <c r="E1232" s="3" t="s">
        <v>2472</v>
      </c>
      <c r="F1232" s="5" t="s">
        <v>2473</v>
      </c>
      <c r="G1232" s="4" t="str">
        <f t="shared" si="77"/>
        <v>18th</v>
      </c>
      <c r="H1232" s="4" t="str">
        <f t="shared" si="78"/>
        <v>April</v>
      </c>
      <c r="I1232" s="4" t="str">
        <f t="shared" si="79"/>
        <v>2019</v>
      </c>
      <c r="J1232" s="10" t="s">
        <v>12</v>
      </c>
    </row>
    <row r="1233" spans="1:10" x14ac:dyDescent="0.35">
      <c r="A1233" s="9" t="s">
        <v>1937</v>
      </c>
      <c r="B1233" s="3">
        <v>10</v>
      </c>
      <c r="C1233" s="4" t="str">
        <f t="shared" si="76"/>
        <v>Good</v>
      </c>
      <c r="D1233" s="3" t="s">
        <v>2474</v>
      </c>
      <c r="E1233" s="3" t="s">
        <v>2475</v>
      </c>
      <c r="F1233" s="5" t="s">
        <v>2473</v>
      </c>
      <c r="G1233" s="4" t="str">
        <f t="shared" si="77"/>
        <v>18th</v>
      </c>
      <c r="H1233" s="4" t="str">
        <f t="shared" si="78"/>
        <v>April</v>
      </c>
      <c r="I1233" s="4" t="str">
        <f t="shared" si="79"/>
        <v>2019</v>
      </c>
      <c r="J1233" s="10" t="s">
        <v>9</v>
      </c>
    </row>
    <row r="1234" spans="1:10" x14ac:dyDescent="0.35">
      <c r="A1234" s="9" t="s">
        <v>1937</v>
      </c>
      <c r="B1234" s="3">
        <v>9</v>
      </c>
      <c r="C1234" s="4" t="str">
        <f t="shared" si="76"/>
        <v>Good</v>
      </c>
      <c r="D1234" s="3" t="s">
        <v>2476</v>
      </c>
      <c r="E1234" s="3" t="s">
        <v>2477</v>
      </c>
      <c r="F1234" s="5" t="s">
        <v>2473</v>
      </c>
      <c r="G1234" s="4" t="str">
        <f t="shared" si="77"/>
        <v>18th</v>
      </c>
      <c r="H1234" s="4" t="str">
        <f t="shared" si="78"/>
        <v>April</v>
      </c>
      <c r="I1234" s="4" t="str">
        <f t="shared" si="79"/>
        <v>2019</v>
      </c>
      <c r="J1234" s="10" t="s">
        <v>9</v>
      </c>
    </row>
    <row r="1235" spans="1:10" x14ac:dyDescent="0.35">
      <c r="A1235" s="9" t="s">
        <v>1937</v>
      </c>
      <c r="B1235" s="3">
        <v>1</v>
      </c>
      <c r="C1235" s="4" t="str">
        <f t="shared" si="76"/>
        <v>Bad</v>
      </c>
      <c r="D1235" s="3" t="s">
        <v>2478</v>
      </c>
      <c r="E1235" s="3" t="s">
        <v>2479</v>
      </c>
      <c r="F1235" s="5" t="s">
        <v>2473</v>
      </c>
      <c r="G1235" s="4" t="str">
        <f t="shared" si="77"/>
        <v>18th</v>
      </c>
      <c r="H1235" s="4" t="str">
        <f t="shared" si="78"/>
        <v>April</v>
      </c>
      <c r="I1235" s="4" t="str">
        <f t="shared" si="79"/>
        <v>2019</v>
      </c>
      <c r="J1235" s="10" t="s">
        <v>12</v>
      </c>
    </row>
    <row r="1236" spans="1:10" x14ac:dyDescent="0.35">
      <c r="A1236" s="9" t="s">
        <v>1937</v>
      </c>
      <c r="B1236" s="3">
        <v>10</v>
      </c>
      <c r="C1236" s="4" t="str">
        <f t="shared" si="76"/>
        <v>Good</v>
      </c>
      <c r="D1236" s="3" t="s">
        <v>2480</v>
      </c>
      <c r="E1236" s="3" t="s">
        <v>2481</v>
      </c>
      <c r="F1236" s="5" t="s">
        <v>2473</v>
      </c>
      <c r="G1236" s="4" t="str">
        <f t="shared" si="77"/>
        <v>18th</v>
      </c>
      <c r="H1236" s="4" t="str">
        <f t="shared" si="78"/>
        <v>April</v>
      </c>
      <c r="I1236" s="4" t="str">
        <f t="shared" si="79"/>
        <v>2019</v>
      </c>
      <c r="J1236" s="10" t="s">
        <v>9</v>
      </c>
    </row>
    <row r="1237" spans="1:10" x14ac:dyDescent="0.35">
      <c r="A1237" s="9" t="s">
        <v>1937</v>
      </c>
      <c r="B1237" s="3">
        <v>3</v>
      </c>
      <c r="C1237" s="4" t="str">
        <f t="shared" si="76"/>
        <v>Bad</v>
      </c>
      <c r="D1237" s="3" t="s">
        <v>2482</v>
      </c>
      <c r="E1237" s="3" t="s">
        <v>2483</v>
      </c>
      <c r="F1237" s="5" t="s">
        <v>2473</v>
      </c>
      <c r="G1237" s="4" t="str">
        <f t="shared" si="77"/>
        <v>18th</v>
      </c>
      <c r="H1237" s="4" t="str">
        <f t="shared" si="78"/>
        <v>April</v>
      </c>
      <c r="I1237" s="4" t="str">
        <f t="shared" si="79"/>
        <v>2019</v>
      </c>
      <c r="J1237" s="10" t="s">
        <v>12</v>
      </c>
    </row>
    <row r="1238" spans="1:10" x14ac:dyDescent="0.35">
      <c r="A1238" s="9" t="s">
        <v>1937</v>
      </c>
      <c r="B1238" s="3">
        <v>10</v>
      </c>
      <c r="C1238" s="4" t="str">
        <f t="shared" si="76"/>
        <v>Good</v>
      </c>
      <c r="D1238" s="3" t="s">
        <v>2484</v>
      </c>
      <c r="E1238" s="3" t="s">
        <v>2485</v>
      </c>
      <c r="F1238" s="5" t="s">
        <v>2473</v>
      </c>
      <c r="G1238" s="4" t="str">
        <f t="shared" si="77"/>
        <v>18th</v>
      </c>
      <c r="H1238" s="4" t="str">
        <f t="shared" si="78"/>
        <v>April</v>
      </c>
      <c r="I1238" s="4" t="str">
        <f t="shared" si="79"/>
        <v>2019</v>
      </c>
      <c r="J1238" s="10" t="s">
        <v>9</v>
      </c>
    </row>
    <row r="1239" spans="1:10" x14ac:dyDescent="0.35">
      <c r="A1239" s="9" t="s">
        <v>1937</v>
      </c>
      <c r="B1239" s="3">
        <v>10</v>
      </c>
      <c r="C1239" s="4" t="str">
        <f t="shared" si="76"/>
        <v>Good</v>
      </c>
      <c r="D1239" s="3" t="s">
        <v>2486</v>
      </c>
      <c r="E1239" s="3" t="s">
        <v>2487</v>
      </c>
      <c r="F1239" s="5" t="s">
        <v>2473</v>
      </c>
      <c r="G1239" s="4" t="str">
        <f t="shared" si="77"/>
        <v>18th</v>
      </c>
      <c r="H1239" s="4" t="str">
        <f t="shared" si="78"/>
        <v>April</v>
      </c>
      <c r="I1239" s="4" t="str">
        <f t="shared" si="79"/>
        <v>2019</v>
      </c>
      <c r="J1239" s="10" t="s">
        <v>9</v>
      </c>
    </row>
    <row r="1240" spans="1:10" x14ac:dyDescent="0.35">
      <c r="A1240" s="9" t="s">
        <v>1937</v>
      </c>
      <c r="B1240" s="3">
        <v>3</v>
      </c>
      <c r="C1240" s="4" t="str">
        <f t="shared" si="76"/>
        <v>Bad</v>
      </c>
      <c r="D1240" s="3" t="s">
        <v>2488</v>
      </c>
      <c r="E1240" s="3" t="s">
        <v>2489</v>
      </c>
      <c r="F1240" s="5" t="s">
        <v>2473</v>
      </c>
      <c r="G1240" s="4" t="str">
        <f t="shared" si="77"/>
        <v>18th</v>
      </c>
      <c r="H1240" s="4" t="str">
        <f t="shared" si="78"/>
        <v>April</v>
      </c>
      <c r="I1240" s="4" t="str">
        <f t="shared" si="79"/>
        <v>2019</v>
      </c>
      <c r="J1240" s="10" t="s">
        <v>12</v>
      </c>
    </row>
    <row r="1241" spans="1:10" x14ac:dyDescent="0.35">
      <c r="A1241" s="9" t="s">
        <v>1937</v>
      </c>
      <c r="B1241" s="3">
        <v>1</v>
      </c>
      <c r="C1241" s="4" t="str">
        <f t="shared" si="76"/>
        <v>Bad</v>
      </c>
      <c r="D1241" s="3" t="s">
        <v>1654</v>
      </c>
      <c r="E1241" s="3" t="s">
        <v>2490</v>
      </c>
      <c r="F1241" s="5" t="s">
        <v>2473</v>
      </c>
      <c r="G1241" s="4" t="str">
        <f t="shared" si="77"/>
        <v>18th</v>
      </c>
      <c r="H1241" s="4" t="str">
        <f t="shared" si="78"/>
        <v>April</v>
      </c>
      <c r="I1241" s="4" t="str">
        <f t="shared" si="79"/>
        <v>2019</v>
      </c>
      <c r="J1241" s="10" t="s">
        <v>12</v>
      </c>
    </row>
    <row r="1242" spans="1:10" x14ac:dyDescent="0.35">
      <c r="A1242" s="9" t="s">
        <v>1937</v>
      </c>
      <c r="B1242" s="3">
        <v>2</v>
      </c>
      <c r="C1242" s="4" t="str">
        <f t="shared" si="76"/>
        <v>Bad</v>
      </c>
      <c r="D1242" s="3" t="s">
        <v>2491</v>
      </c>
      <c r="E1242" s="3" t="s">
        <v>2492</v>
      </c>
      <c r="F1242" s="5" t="s">
        <v>2493</v>
      </c>
      <c r="G1242" s="4" t="str">
        <f t="shared" si="77"/>
        <v>12th</v>
      </c>
      <c r="H1242" s="4" t="str">
        <f t="shared" si="78"/>
        <v>February</v>
      </c>
      <c r="I1242" s="4" t="str">
        <f t="shared" si="79"/>
        <v>2019</v>
      </c>
      <c r="J1242" s="10" t="s">
        <v>12</v>
      </c>
    </row>
    <row r="1243" spans="1:10" x14ac:dyDescent="0.35">
      <c r="A1243" s="9" t="s">
        <v>1937</v>
      </c>
      <c r="B1243" s="3">
        <v>1</v>
      </c>
      <c r="C1243" s="4" t="str">
        <f t="shared" si="76"/>
        <v>Bad</v>
      </c>
      <c r="D1243" s="3" t="s">
        <v>2494</v>
      </c>
      <c r="E1243" s="3" t="s">
        <v>2495</v>
      </c>
      <c r="F1243" s="5" t="s">
        <v>2493</v>
      </c>
      <c r="G1243" s="4" t="str">
        <f t="shared" si="77"/>
        <v>12th</v>
      </c>
      <c r="H1243" s="4" t="str">
        <f t="shared" si="78"/>
        <v>February</v>
      </c>
      <c r="I1243" s="4" t="str">
        <f t="shared" si="79"/>
        <v>2019</v>
      </c>
      <c r="J1243" s="10" t="s">
        <v>12</v>
      </c>
    </row>
    <row r="1244" spans="1:10" x14ac:dyDescent="0.35">
      <c r="A1244" s="9" t="s">
        <v>1937</v>
      </c>
      <c r="B1244" s="3">
        <v>7</v>
      </c>
      <c r="C1244" s="4" t="str">
        <f t="shared" si="76"/>
        <v>Neutral</v>
      </c>
      <c r="D1244" s="3" t="s">
        <v>2496</v>
      </c>
      <c r="E1244" s="3" t="s">
        <v>2497</v>
      </c>
      <c r="F1244" s="5" t="s">
        <v>2493</v>
      </c>
      <c r="G1244" s="4" t="str">
        <f t="shared" si="77"/>
        <v>12th</v>
      </c>
      <c r="H1244" s="4" t="str">
        <f t="shared" si="78"/>
        <v>February</v>
      </c>
      <c r="I1244" s="4" t="str">
        <f t="shared" si="79"/>
        <v>2019</v>
      </c>
      <c r="J1244" s="10" t="s">
        <v>9</v>
      </c>
    </row>
    <row r="1245" spans="1:10" x14ac:dyDescent="0.35">
      <c r="A1245" s="9" t="s">
        <v>1937</v>
      </c>
      <c r="B1245" s="3">
        <v>1</v>
      </c>
      <c r="C1245" s="4" t="str">
        <f t="shared" si="76"/>
        <v>Bad</v>
      </c>
      <c r="D1245" s="3" t="s">
        <v>2498</v>
      </c>
      <c r="E1245" s="3" t="s">
        <v>2499</v>
      </c>
      <c r="F1245" s="5" t="s">
        <v>2493</v>
      </c>
      <c r="G1245" s="4" t="str">
        <f t="shared" si="77"/>
        <v>12th</v>
      </c>
      <c r="H1245" s="4" t="str">
        <f t="shared" si="78"/>
        <v>February</v>
      </c>
      <c r="I1245" s="4" t="str">
        <f t="shared" si="79"/>
        <v>2019</v>
      </c>
      <c r="J1245" s="10" t="s">
        <v>12</v>
      </c>
    </row>
    <row r="1246" spans="1:10" x14ac:dyDescent="0.35">
      <c r="A1246" s="9" t="s">
        <v>1937</v>
      </c>
      <c r="B1246" s="3">
        <v>1</v>
      </c>
      <c r="C1246" s="4" t="str">
        <f t="shared" si="76"/>
        <v>Bad</v>
      </c>
      <c r="D1246" s="3" t="s">
        <v>2500</v>
      </c>
      <c r="E1246" s="3" t="s">
        <v>2501</v>
      </c>
      <c r="F1246" s="5" t="s">
        <v>2493</v>
      </c>
      <c r="G1246" s="4" t="str">
        <f t="shared" si="77"/>
        <v>12th</v>
      </c>
      <c r="H1246" s="4" t="str">
        <f t="shared" si="78"/>
        <v>February</v>
      </c>
      <c r="I1246" s="4" t="str">
        <f t="shared" si="79"/>
        <v>2019</v>
      </c>
      <c r="J1246" s="10" t="s">
        <v>12</v>
      </c>
    </row>
    <row r="1247" spans="1:10" x14ac:dyDescent="0.35">
      <c r="A1247" s="9" t="s">
        <v>1937</v>
      </c>
      <c r="B1247" s="3">
        <v>1</v>
      </c>
      <c r="C1247" s="4" t="str">
        <f t="shared" si="76"/>
        <v>Bad</v>
      </c>
      <c r="D1247" s="3" t="s">
        <v>2502</v>
      </c>
      <c r="E1247" s="3" t="s">
        <v>2503</v>
      </c>
      <c r="F1247" s="5" t="s">
        <v>2493</v>
      </c>
      <c r="G1247" s="4" t="str">
        <f t="shared" si="77"/>
        <v>12th</v>
      </c>
      <c r="H1247" s="4" t="str">
        <f t="shared" si="78"/>
        <v>February</v>
      </c>
      <c r="I1247" s="4" t="str">
        <f t="shared" si="79"/>
        <v>2019</v>
      </c>
      <c r="J1247" s="10" t="s">
        <v>12</v>
      </c>
    </row>
    <row r="1248" spans="1:10" x14ac:dyDescent="0.35">
      <c r="A1248" s="9" t="s">
        <v>1937</v>
      </c>
      <c r="B1248" s="3">
        <v>6</v>
      </c>
      <c r="C1248" s="4" t="str">
        <f t="shared" si="76"/>
        <v>Neutral</v>
      </c>
      <c r="D1248" s="3" t="s">
        <v>2504</v>
      </c>
      <c r="E1248" s="3" t="s">
        <v>2505</v>
      </c>
      <c r="F1248" s="5" t="s">
        <v>2493</v>
      </c>
      <c r="G1248" s="4" t="str">
        <f t="shared" si="77"/>
        <v>12th</v>
      </c>
      <c r="H1248" s="4" t="str">
        <f t="shared" si="78"/>
        <v>February</v>
      </c>
      <c r="I1248" s="4" t="str">
        <f t="shared" si="79"/>
        <v>2019</v>
      </c>
      <c r="J1248" s="10" t="s">
        <v>9</v>
      </c>
    </row>
    <row r="1249" spans="1:10" x14ac:dyDescent="0.35">
      <c r="A1249" s="9" t="s">
        <v>1937</v>
      </c>
      <c r="B1249" s="3">
        <v>1</v>
      </c>
      <c r="C1249" s="4" t="str">
        <f t="shared" si="76"/>
        <v>Bad</v>
      </c>
      <c r="D1249" s="3" t="s">
        <v>2506</v>
      </c>
      <c r="E1249" s="3" t="s">
        <v>2507</v>
      </c>
      <c r="F1249" s="5" t="s">
        <v>2493</v>
      </c>
      <c r="G1249" s="4" t="str">
        <f t="shared" si="77"/>
        <v>12th</v>
      </c>
      <c r="H1249" s="4" t="str">
        <f t="shared" si="78"/>
        <v>February</v>
      </c>
      <c r="I1249" s="4" t="str">
        <f t="shared" si="79"/>
        <v>2019</v>
      </c>
      <c r="J1249" s="10" t="s">
        <v>12</v>
      </c>
    </row>
    <row r="1250" spans="1:10" x14ac:dyDescent="0.35">
      <c r="A1250" s="9" t="s">
        <v>1937</v>
      </c>
      <c r="B1250" s="3">
        <v>1</v>
      </c>
      <c r="C1250" s="4" t="str">
        <f t="shared" si="76"/>
        <v>Bad</v>
      </c>
      <c r="D1250" s="3" t="s">
        <v>2508</v>
      </c>
      <c r="E1250" s="3" t="s">
        <v>2509</v>
      </c>
      <c r="F1250" s="5" t="s">
        <v>2493</v>
      </c>
      <c r="G1250" s="4" t="str">
        <f t="shared" si="77"/>
        <v>12th</v>
      </c>
      <c r="H1250" s="4" t="str">
        <f t="shared" si="78"/>
        <v>February</v>
      </c>
      <c r="I1250" s="4" t="str">
        <f t="shared" si="79"/>
        <v>2019</v>
      </c>
      <c r="J1250" s="10" t="s">
        <v>12</v>
      </c>
    </row>
    <row r="1251" spans="1:10" x14ac:dyDescent="0.35">
      <c r="A1251" s="9" t="s">
        <v>1937</v>
      </c>
      <c r="B1251" s="3">
        <v>1</v>
      </c>
      <c r="C1251" s="4" t="str">
        <f t="shared" si="76"/>
        <v>Bad</v>
      </c>
      <c r="D1251" s="3" t="s">
        <v>2021</v>
      </c>
      <c r="E1251" s="3" t="s">
        <v>2510</v>
      </c>
      <c r="F1251" s="5" t="s">
        <v>2493</v>
      </c>
      <c r="G1251" s="4" t="str">
        <f t="shared" si="77"/>
        <v>12th</v>
      </c>
      <c r="H1251" s="4" t="str">
        <f t="shared" si="78"/>
        <v>February</v>
      </c>
      <c r="I1251" s="4" t="str">
        <f t="shared" si="79"/>
        <v>2019</v>
      </c>
      <c r="J1251" s="10" t="s">
        <v>12</v>
      </c>
    </row>
    <row r="1252" spans="1:10" x14ac:dyDescent="0.35">
      <c r="A1252" s="9" t="s">
        <v>1937</v>
      </c>
      <c r="B1252" s="3">
        <v>1</v>
      </c>
      <c r="C1252" s="4" t="str">
        <f t="shared" si="76"/>
        <v>Bad</v>
      </c>
      <c r="D1252" s="3" t="s">
        <v>2511</v>
      </c>
      <c r="E1252" s="3" t="s">
        <v>2512</v>
      </c>
      <c r="F1252" s="5" t="s">
        <v>2513</v>
      </c>
      <c r="G1252" s="4" t="str">
        <f t="shared" si="77"/>
        <v>21st</v>
      </c>
      <c r="H1252" s="4" t="str">
        <f t="shared" si="78"/>
        <v>December</v>
      </c>
      <c r="I1252" s="4" t="str">
        <f t="shared" si="79"/>
        <v>2018</v>
      </c>
      <c r="J1252" s="10" t="s">
        <v>12</v>
      </c>
    </row>
    <row r="1253" spans="1:10" x14ac:dyDescent="0.35">
      <c r="A1253" s="9" t="s">
        <v>1937</v>
      </c>
      <c r="B1253" s="3">
        <v>1</v>
      </c>
      <c r="C1253" s="4" t="str">
        <f t="shared" si="76"/>
        <v>Bad</v>
      </c>
      <c r="D1253" s="3" t="s">
        <v>2514</v>
      </c>
      <c r="E1253" s="3" t="s">
        <v>2515</v>
      </c>
      <c r="F1253" s="5" t="s">
        <v>2513</v>
      </c>
      <c r="G1253" s="4" t="str">
        <f t="shared" si="77"/>
        <v>21st</v>
      </c>
      <c r="H1253" s="4" t="str">
        <f t="shared" si="78"/>
        <v>December</v>
      </c>
      <c r="I1253" s="4" t="str">
        <f t="shared" si="79"/>
        <v>2018</v>
      </c>
      <c r="J1253" s="10" t="s">
        <v>12</v>
      </c>
    </row>
    <row r="1254" spans="1:10" x14ac:dyDescent="0.35">
      <c r="A1254" s="9" t="s">
        <v>1937</v>
      </c>
      <c r="B1254" s="3">
        <v>3</v>
      </c>
      <c r="C1254" s="4" t="str">
        <f t="shared" si="76"/>
        <v>Bad</v>
      </c>
      <c r="D1254" s="3" t="s">
        <v>2516</v>
      </c>
      <c r="E1254" s="3" t="s">
        <v>2517</v>
      </c>
      <c r="F1254" s="5" t="s">
        <v>2513</v>
      </c>
      <c r="G1254" s="4" t="str">
        <f t="shared" si="77"/>
        <v>21st</v>
      </c>
      <c r="H1254" s="4" t="str">
        <f t="shared" si="78"/>
        <v>December</v>
      </c>
      <c r="I1254" s="4" t="str">
        <f t="shared" si="79"/>
        <v>2018</v>
      </c>
      <c r="J1254" s="10" t="s">
        <v>12</v>
      </c>
    </row>
    <row r="1255" spans="1:10" x14ac:dyDescent="0.35">
      <c r="A1255" s="9" t="s">
        <v>1937</v>
      </c>
      <c r="B1255" s="3">
        <v>2</v>
      </c>
      <c r="C1255" s="4" t="str">
        <f t="shared" si="76"/>
        <v>Bad</v>
      </c>
      <c r="D1255" s="3" t="s">
        <v>2518</v>
      </c>
      <c r="E1255" s="3" t="s">
        <v>2519</v>
      </c>
      <c r="F1255" s="5" t="s">
        <v>2513</v>
      </c>
      <c r="G1255" s="4" t="str">
        <f t="shared" si="77"/>
        <v>21st</v>
      </c>
      <c r="H1255" s="4" t="str">
        <f t="shared" si="78"/>
        <v>December</v>
      </c>
      <c r="I1255" s="4" t="str">
        <f t="shared" si="79"/>
        <v>2018</v>
      </c>
      <c r="J1255" s="10" t="s">
        <v>12</v>
      </c>
    </row>
    <row r="1256" spans="1:10" x14ac:dyDescent="0.35">
      <c r="A1256" s="9" t="s">
        <v>1937</v>
      </c>
      <c r="B1256" s="3">
        <v>3</v>
      </c>
      <c r="C1256" s="4" t="str">
        <f t="shared" si="76"/>
        <v>Bad</v>
      </c>
      <c r="D1256" s="3" t="s">
        <v>2520</v>
      </c>
      <c r="E1256" s="3" t="s">
        <v>2521</v>
      </c>
      <c r="F1256" s="5" t="s">
        <v>2513</v>
      </c>
      <c r="G1256" s="4" t="str">
        <f t="shared" si="77"/>
        <v>21st</v>
      </c>
      <c r="H1256" s="4" t="str">
        <f t="shared" si="78"/>
        <v>December</v>
      </c>
      <c r="I1256" s="4" t="str">
        <f t="shared" si="79"/>
        <v>2018</v>
      </c>
      <c r="J1256" s="10" t="s">
        <v>12</v>
      </c>
    </row>
    <row r="1257" spans="1:10" x14ac:dyDescent="0.35">
      <c r="A1257" s="9" t="s">
        <v>1937</v>
      </c>
      <c r="B1257" s="3">
        <v>1</v>
      </c>
      <c r="C1257" s="4" t="str">
        <f t="shared" si="76"/>
        <v>Bad</v>
      </c>
      <c r="D1257" s="3" t="s">
        <v>2522</v>
      </c>
      <c r="E1257" s="3" t="s">
        <v>2523</v>
      </c>
      <c r="F1257" s="5" t="s">
        <v>2513</v>
      </c>
      <c r="G1257" s="4" t="str">
        <f t="shared" si="77"/>
        <v>21st</v>
      </c>
      <c r="H1257" s="4" t="str">
        <f t="shared" si="78"/>
        <v>December</v>
      </c>
      <c r="I1257" s="4" t="str">
        <f t="shared" si="79"/>
        <v>2018</v>
      </c>
      <c r="J1257" s="10" t="s">
        <v>12</v>
      </c>
    </row>
    <row r="1258" spans="1:10" x14ac:dyDescent="0.35">
      <c r="A1258" s="9" t="s">
        <v>1937</v>
      </c>
      <c r="B1258" s="3">
        <v>8</v>
      </c>
      <c r="C1258" s="4" t="str">
        <f t="shared" si="76"/>
        <v>Good</v>
      </c>
      <c r="D1258" s="3" t="s">
        <v>2524</v>
      </c>
      <c r="E1258" s="3" t="s">
        <v>2525</v>
      </c>
      <c r="F1258" s="5" t="s">
        <v>2513</v>
      </c>
      <c r="G1258" s="4" t="str">
        <f t="shared" si="77"/>
        <v>21st</v>
      </c>
      <c r="H1258" s="4" t="str">
        <f t="shared" si="78"/>
        <v>December</v>
      </c>
      <c r="I1258" s="4" t="str">
        <f t="shared" si="79"/>
        <v>2018</v>
      </c>
      <c r="J1258" s="10" t="s">
        <v>9</v>
      </c>
    </row>
    <row r="1259" spans="1:10" x14ac:dyDescent="0.35">
      <c r="A1259" s="9" t="s">
        <v>1937</v>
      </c>
      <c r="B1259" s="3">
        <v>1</v>
      </c>
      <c r="C1259" s="4" t="str">
        <f t="shared" si="76"/>
        <v>Bad</v>
      </c>
      <c r="D1259" s="3" t="s">
        <v>2526</v>
      </c>
      <c r="E1259" s="3" t="s">
        <v>2527</v>
      </c>
      <c r="F1259" s="5" t="s">
        <v>2513</v>
      </c>
      <c r="G1259" s="4" t="str">
        <f t="shared" si="77"/>
        <v>21st</v>
      </c>
      <c r="H1259" s="4" t="str">
        <f t="shared" si="78"/>
        <v>December</v>
      </c>
      <c r="I1259" s="4" t="str">
        <f t="shared" si="79"/>
        <v>2018</v>
      </c>
      <c r="J1259" s="10" t="s">
        <v>12</v>
      </c>
    </row>
    <row r="1260" spans="1:10" x14ac:dyDescent="0.35">
      <c r="A1260" s="9" t="s">
        <v>1937</v>
      </c>
      <c r="B1260" s="3">
        <v>4</v>
      </c>
      <c r="C1260" s="4" t="str">
        <f t="shared" si="76"/>
        <v>Bad</v>
      </c>
      <c r="D1260" s="3" t="s">
        <v>2528</v>
      </c>
      <c r="E1260" s="3" t="s">
        <v>2529</v>
      </c>
      <c r="F1260" s="5" t="s">
        <v>2513</v>
      </c>
      <c r="G1260" s="4" t="str">
        <f t="shared" si="77"/>
        <v>21st</v>
      </c>
      <c r="H1260" s="4" t="str">
        <f t="shared" si="78"/>
        <v>December</v>
      </c>
      <c r="I1260" s="4" t="str">
        <f t="shared" si="79"/>
        <v>2018</v>
      </c>
      <c r="J1260" s="10" t="s">
        <v>12</v>
      </c>
    </row>
    <row r="1261" spans="1:10" x14ac:dyDescent="0.35">
      <c r="A1261" s="9" t="s">
        <v>1937</v>
      </c>
      <c r="B1261" s="3">
        <v>1</v>
      </c>
      <c r="C1261" s="4" t="str">
        <f t="shared" si="76"/>
        <v>Bad</v>
      </c>
      <c r="D1261" s="3" t="s">
        <v>2530</v>
      </c>
      <c r="E1261" s="3" t="s">
        <v>2531</v>
      </c>
      <c r="F1261" s="5" t="s">
        <v>2513</v>
      </c>
      <c r="G1261" s="4" t="str">
        <f t="shared" si="77"/>
        <v>21st</v>
      </c>
      <c r="H1261" s="4" t="str">
        <f t="shared" si="78"/>
        <v>December</v>
      </c>
      <c r="I1261" s="4" t="str">
        <f t="shared" si="79"/>
        <v>2018</v>
      </c>
      <c r="J1261" s="10" t="s">
        <v>12</v>
      </c>
    </row>
    <row r="1262" spans="1:10" x14ac:dyDescent="0.35">
      <c r="A1262" s="9" t="s">
        <v>1937</v>
      </c>
      <c r="B1262" s="3">
        <v>1</v>
      </c>
      <c r="C1262" s="4" t="str">
        <f t="shared" si="76"/>
        <v>Bad</v>
      </c>
      <c r="D1262" s="3" t="s">
        <v>2532</v>
      </c>
      <c r="E1262" s="3" t="s">
        <v>2533</v>
      </c>
      <c r="F1262" s="5" t="s">
        <v>2534</v>
      </c>
      <c r="G1262" s="4" t="str">
        <f t="shared" si="77"/>
        <v>4th</v>
      </c>
      <c r="H1262" s="4" t="str">
        <f t="shared" si="78"/>
        <v>October</v>
      </c>
      <c r="I1262" s="4" t="str">
        <f t="shared" si="79"/>
        <v>2018</v>
      </c>
      <c r="J1262" s="10" t="s">
        <v>12</v>
      </c>
    </row>
    <row r="1263" spans="1:10" x14ac:dyDescent="0.35">
      <c r="A1263" s="9" t="s">
        <v>1937</v>
      </c>
      <c r="B1263" s="3">
        <v>7</v>
      </c>
      <c r="C1263" s="4" t="str">
        <f t="shared" si="76"/>
        <v>Neutral</v>
      </c>
      <c r="D1263" s="3" t="s">
        <v>2535</v>
      </c>
      <c r="E1263" s="3" t="s">
        <v>2536</v>
      </c>
      <c r="F1263" s="5" t="s">
        <v>2534</v>
      </c>
      <c r="G1263" s="4" t="str">
        <f t="shared" si="77"/>
        <v>4th</v>
      </c>
      <c r="H1263" s="4" t="str">
        <f t="shared" si="78"/>
        <v>October</v>
      </c>
      <c r="I1263" s="4" t="str">
        <f t="shared" si="79"/>
        <v>2018</v>
      </c>
      <c r="J1263" s="10" t="s">
        <v>12</v>
      </c>
    </row>
    <row r="1264" spans="1:10" x14ac:dyDescent="0.35">
      <c r="A1264" s="9" t="s">
        <v>1937</v>
      </c>
      <c r="B1264" s="3">
        <v>5</v>
      </c>
      <c r="C1264" s="4" t="str">
        <f t="shared" si="76"/>
        <v>Neutral</v>
      </c>
      <c r="D1264" s="3" t="s">
        <v>2537</v>
      </c>
      <c r="E1264" s="3" t="s">
        <v>2538</v>
      </c>
      <c r="F1264" s="5" t="s">
        <v>2534</v>
      </c>
      <c r="G1264" s="4" t="str">
        <f t="shared" si="77"/>
        <v>4th</v>
      </c>
      <c r="H1264" s="4" t="str">
        <f t="shared" si="78"/>
        <v>October</v>
      </c>
      <c r="I1264" s="4" t="str">
        <f t="shared" si="79"/>
        <v>2018</v>
      </c>
      <c r="J1264" s="10" t="s">
        <v>9</v>
      </c>
    </row>
    <row r="1265" spans="1:10" x14ac:dyDescent="0.35">
      <c r="A1265" s="9" t="s">
        <v>1937</v>
      </c>
      <c r="B1265" s="3">
        <v>8</v>
      </c>
      <c r="C1265" s="4" t="str">
        <f t="shared" si="76"/>
        <v>Good</v>
      </c>
      <c r="D1265" s="3" t="s">
        <v>2539</v>
      </c>
      <c r="E1265" s="3" t="s">
        <v>2540</v>
      </c>
      <c r="F1265" s="5" t="s">
        <v>2534</v>
      </c>
      <c r="G1265" s="4" t="str">
        <f t="shared" si="77"/>
        <v>4th</v>
      </c>
      <c r="H1265" s="4" t="str">
        <f t="shared" si="78"/>
        <v>October</v>
      </c>
      <c r="I1265" s="4" t="str">
        <f t="shared" si="79"/>
        <v>2018</v>
      </c>
      <c r="J1265" s="10" t="s">
        <v>9</v>
      </c>
    </row>
    <row r="1266" spans="1:10" x14ac:dyDescent="0.35">
      <c r="A1266" s="9" t="s">
        <v>1937</v>
      </c>
      <c r="B1266" s="3">
        <v>1</v>
      </c>
      <c r="C1266" s="4" t="str">
        <f t="shared" si="76"/>
        <v>Bad</v>
      </c>
      <c r="D1266" s="3" t="s">
        <v>2541</v>
      </c>
      <c r="E1266" s="3" t="s">
        <v>2542</v>
      </c>
      <c r="F1266" s="5" t="s">
        <v>2534</v>
      </c>
      <c r="G1266" s="4" t="str">
        <f t="shared" si="77"/>
        <v>4th</v>
      </c>
      <c r="H1266" s="4" t="str">
        <f t="shared" si="78"/>
        <v>October</v>
      </c>
      <c r="I1266" s="4" t="str">
        <f t="shared" si="79"/>
        <v>2018</v>
      </c>
      <c r="J1266" s="10" t="s">
        <v>12</v>
      </c>
    </row>
    <row r="1267" spans="1:10" x14ac:dyDescent="0.35">
      <c r="A1267" s="9" t="s">
        <v>1937</v>
      </c>
      <c r="B1267" s="3">
        <v>7</v>
      </c>
      <c r="C1267" s="4" t="str">
        <f t="shared" si="76"/>
        <v>Neutral</v>
      </c>
      <c r="D1267" s="3" t="s">
        <v>2543</v>
      </c>
      <c r="E1267" s="3" t="s">
        <v>2544</v>
      </c>
      <c r="F1267" s="5" t="s">
        <v>2534</v>
      </c>
      <c r="G1267" s="4" t="str">
        <f t="shared" si="77"/>
        <v>4th</v>
      </c>
      <c r="H1267" s="4" t="str">
        <f t="shared" si="78"/>
        <v>October</v>
      </c>
      <c r="I1267" s="4" t="str">
        <f t="shared" si="79"/>
        <v>2018</v>
      </c>
      <c r="J1267" s="10" t="s">
        <v>9</v>
      </c>
    </row>
    <row r="1268" spans="1:10" x14ac:dyDescent="0.35">
      <c r="A1268" s="9" t="s">
        <v>1937</v>
      </c>
      <c r="B1268" s="3">
        <v>9</v>
      </c>
      <c r="C1268" s="4" t="str">
        <f t="shared" si="76"/>
        <v>Good</v>
      </c>
      <c r="D1268" s="3" t="s">
        <v>2545</v>
      </c>
      <c r="E1268" s="3" t="s">
        <v>2546</v>
      </c>
      <c r="F1268" s="5" t="s">
        <v>2534</v>
      </c>
      <c r="G1268" s="4" t="str">
        <f t="shared" si="77"/>
        <v>4th</v>
      </c>
      <c r="H1268" s="4" t="str">
        <f t="shared" si="78"/>
        <v>October</v>
      </c>
      <c r="I1268" s="4" t="str">
        <f t="shared" si="79"/>
        <v>2018</v>
      </c>
      <c r="J1268" s="10" t="s">
        <v>9</v>
      </c>
    </row>
    <row r="1269" spans="1:10" x14ac:dyDescent="0.35">
      <c r="A1269" s="9" t="s">
        <v>1937</v>
      </c>
      <c r="B1269" s="3">
        <v>1</v>
      </c>
      <c r="C1269" s="4" t="str">
        <f t="shared" si="76"/>
        <v>Bad</v>
      </c>
      <c r="D1269" s="3" t="s">
        <v>2547</v>
      </c>
      <c r="E1269" s="3" t="s">
        <v>2548</v>
      </c>
      <c r="F1269" s="5" t="s">
        <v>2534</v>
      </c>
      <c r="G1269" s="4" t="str">
        <f t="shared" si="77"/>
        <v>4th</v>
      </c>
      <c r="H1269" s="4" t="str">
        <f t="shared" si="78"/>
        <v>October</v>
      </c>
      <c r="I1269" s="4" t="str">
        <f t="shared" si="79"/>
        <v>2018</v>
      </c>
      <c r="J1269" s="10" t="s">
        <v>12</v>
      </c>
    </row>
    <row r="1270" spans="1:10" x14ac:dyDescent="0.35">
      <c r="A1270" s="9" t="s">
        <v>1937</v>
      </c>
      <c r="B1270" s="3">
        <v>10</v>
      </c>
      <c r="C1270" s="4" t="str">
        <f t="shared" si="76"/>
        <v>Good</v>
      </c>
      <c r="D1270" s="3" t="s">
        <v>2549</v>
      </c>
      <c r="E1270" s="3" t="s">
        <v>2550</v>
      </c>
      <c r="F1270" s="5" t="s">
        <v>2534</v>
      </c>
      <c r="G1270" s="4" t="str">
        <f t="shared" si="77"/>
        <v>4th</v>
      </c>
      <c r="H1270" s="4" t="str">
        <f t="shared" si="78"/>
        <v>October</v>
      </c>
      <c r="I1270" s="4" t="str">
        <f t="shared" si="79"/>
        <v>2018</v>
      </c>
      <c r="J1270" s="10" t="s">
        <v>9</v>
      </c>
    </row>
    <row r="1271" spans="1:10" x14ac:dyDescent="0.35">
      <c r="A1271" s="9" t="s">
        <v>1937</v>
      </c>
      <c r="B1271" s="3">
        <v>8</v>
      </c>
      <c r="C1271" s="4" t="str">
        <f t="shared" si="76"/>
        <v>Good</v>
      </c>
      <c r="D1271" s="3" t="s">
        <v>2551</v>
      </c>
      <c r="E1271" s="3" t="s">
        <v>2552</v>
      </c>
      <c r="F1271" s="5" t="s">
        <v>2534</v>
      </c>
      <c r="G1271" s="4" t="str">
        <f t="shared" si="77"/>
        <v>4th</v>
      </c>
      <c r="H1271" s="4" t="str">
        <f t="shared" si="78"/>
        <v>October</v>
      </c>
      <c r="I1271" s="4" t="str">
        <f t="shared" si="79"/>
        <v>2018</v>
      </c>
      <c r="J1271" s="10" t="s">
        <v>9</v>
      </c>
    </row>
    <row r="1272" spans="1:10" x14ac:dyDescent="0.35">
      <c r="A1272" s="9" t="s">
        <v>1937</v>
      </c>
      <c r="B1272" s="3">
        <v>8</v>
      </c>
      <c r="C1272" s="4" t="str">
        <f t="shared" si="76"/>
        <v>Good</v>
      </c>
      <c r="D1272" s="3" t="s">
        <v>2553</v>
      </c>
      <c r="E1272" s="3" t="s">
        <v>2554</v>
      </c>
      <c r="F1272" s="5" t="s">
        <v>2555</v>
      </c>
      <c r="G1272" s="4" t="str">
        <f t="shared" si="77"/>
        <v>28th</v>
      </c>
      <c r="H1272" s="4" t="str">
        <f t="shared" si="78"/>
        <v>June</v>
      </c>
      <c r="I1272" s="4" t="str">
        <f t="shared" si="79"/>
        <v>2018</v>
      </c>
      <c r="J1272" s="10" t="s">
        <v>9</v>
      </c>
    </row>
    <row r="1273" spans="1:10" x14ac:dyDescent="0.35">
      <c r="A1273" s="9" t="s">
        <v>1937</v>
      </c>
      <c r="B1273" s="3">
        <v>9</v>
      </c>
      <c r="C1273" s="4" t="str">
        <f t="shared" si="76"/>
        <v>Good</v>
      </c>
      <c r="D1273" s="3" t="s">
        <v>2556</v>
      </c>
      <c r="E1273" s="3" t="s">
        <v>2557</v>
      </c>
      <c r="F1273" s="5" t="s">
        <v>2555</v>
      </c>
      <c r="G1273" s="4" t="str">
        <f t="shared" si="77"/>
        <v>28th</v>
      </c>
      <c r="H1273" s="4" t="str">
        <f t="shared" si="78"/>
        <v>June</v>
      </c>
      <c r="I1273" s="4" t="str">
        <f t="shared" si="79"/>
        <v>2018</v>
      </c>
      <c r="J1273" s="10" t="s">
        <v>9</v>
      </c>
    </row>
    <row r="1274" spans="1:10" x14ac:dyDescent="0.35">
      <c r="A1274" s="9" t="s">
        <v>1937</v>
      </c>
      <c r="B1274" s="3">
        <v>1</v>
      </c>
      <c r="C1274" s="4" t="str">
        <f t="shared" si="76"/>
        <v>Bad</v>
      </c>
      <c r="D1274" s="3" t="s">
        <v>2558</v>
      </c>
      <c r="E1274" s="3" t="s">
        <v>2559</v>
      </c>
      <c r="F1274" s="5" t="s">
        <v>2555</v>
      </c>
      <c r="G1274" s="4" t="str">
        <f t="shared" si="77"/>
        <v>28th</v>
      </c>
      <c r="H1274" s="4" t="str">
        <f t="shared" si="78"/>
        <v>June</v>
      </c>
      <c r="I1274" s="4" t="str">
        <f t="shared" si="79"/>
        <v>2018</v>
      </c>
      <c r="J1274" s="10" t="s">
        <v>12</v>
      </c>
    </row>
    <row r="1275" spans="1:10" x14ac:dyDescent="0.35">
      <c r="A1275" s="9" t="s">
        <v>1937</v>
      </c>
      <c r="B1275" s="3">
        <v>1</v>
      </c>
      <c r="C1275" s="4" t="str">
        <f t="shared" si="76"/>
        <v>Bad</v>
      </c>
      <c r="D1275" s="3" t="s">
        <v>2560</v>
      </c>
      <c r="E1275" s="3" t="s">
        <v>2561</v>
      </c>
      <c r="F1275" s="5" t="s">
        <v>2555</v>
      </c>
      <c r="G1275" s="4" t="str">
        <f t="shared" si="77"/>
        <v>28th</v>
      </c>
      <c r="H1275" s="4" t="str">
        <f t="shared" si="78"/>
        <v>June</v>
      </c>
      <c r="I1275" s="4" t="str">
        <f t="shared" si="79"/>
        <v>2018</v>
      </c>
      <c r="J1275" s="10" t="s">
        <v>12</v>
      </c>
    </row>
    <row r="1276" spans="1:10" x14ac:dyDescent="0.35">
      <c r="A1276" s="9" t="s">
        <v>1937</v>
      </c>
      <c r="B1276" s="3">
        <v>9</v>
      </c>
      <c r="C1276" s="4" t="str">
        <f t="shared" si="76"/>
        <v>Good</v>
      </c>
      <c r="D1276" s="3" t="s">
        <v>2562</v>
      </c>
      <c r="E1276" s="3" t="s">
        <v>2557</v>
      </c>
      <c r="F1276" s="5" t="s">
        <v>2555</v>
      </c>
      <c r="G1276" s="4" t="str">
        <f t="shared" si="77"/>
        <v>28th</v>
      </c>
      <c r="H1276" s="4" t="str">
        <f t="shared" si="78"/>
        <v>June</v>
      </c>
      <c r="I1276" s="4" t="str">
        <f t="shared" si="79"/>
        <v>2018</v>
      </c>
      <c r="J1276" s="10" t="s">
        <v>9</v>
      </c>
    </row>
    <row r="1277" spans="1:10" x14ac:dyDescent="0.35">
      <c r="A1277" s="9" t="s">
        <v>1937</v>
      </c>
      <c r="B1277" s="3">
        <v>10</v>
      </c>
      <c r="C1277" s="4" t="str">
        <f t="shared" si="76"/>
        <v>Good</v>
      </c>
      <c r="D1277" s="3" t="s">
        <v>2563</v>
      </c>
      <c r="E1277" s="3" t="s">
        <v>2564</v>
      </c>
      <c r="F1277" s="5" t="s">
        <v>2555</v>
      </c>
      <c r="G1277" s="4" t="str">
        <f t="shared" si="77"/>
        <v>28th</v>
      </c>
      <c r="H1277" s="4" t="str">
        <f t="shared" si="78"/>
        <v>June</v>
      </c>
      <c r="I1277" s="4" t="str">
        <f t="shared" si="79"/>
        <v>2018</v>
      </c>
      <c r="J1277" s="10" t="s">
        <v>9</v>
      </c>
    </row>
    <row r="1278" spans="1:10" x14ac:dyDescent="0.35">
      <c r="A1278" s="9" t="s">
        <v>1937</v>
      </c>
      <c r="B1278" s="3">
        <v>10</v>
      </c>
      <c r="C1278" s="4" t="str">
        <f t="shared" si="76"/>
        <v>Good</v>
      </c>
      <c r="D1278" s="3" t="s">
        <v>2565</v>
      </c>
      <c r="E1278" s="3" t="s">
        <v>2566</v>
      </c>
      <c r="F1278" s="5" t="s">
        <v>2555</v>
      </c>
      <c r="G1278" s="4" t="str">
        <f t="shared" si="77"/>
        <v>28th</v>
      </c>
      <c r="H1278" s="4" t="str">
        <f t="shared" si="78"/>
        <v>June</v>
      </c>
      <c r="I1278" s="4" t="str">
        <f t="shared" si="79"/>
        <v>2018</v>
      </c>
      <c r="J1278" s="10" t="s">
        <v>12</v>
      </c>
    </row>
    <row r="1279" spans="1:10" x14ac:dyDescent="0.35">
      <c r="A1279" s="9" t="s">
        <v>1937</v>
      </c>
      <c r="B1279" s="3">
        <v>10</v>
      </c>
      <c r="C1279" s="4" t="str">
        <f t="shared" si="76"/>
        <v>Good</v>
      </c>
      <c r="D1279" s="3" t="s">
        <v>2567</v>
      </c>
      <c r="E1279" s="3" t="s">
        <v>2568</v>
      </c>
      <c r="F1279" s="5" t="s">
        <v>2555</v>
      </c>
      <c r="G1279" s="4" t="str">
        <f t="shared" si="77"/>
        <v>28th</v>
      </c>
      <c r="H1279" s="4" t="str">
        <f t="shared" si="78"/>
        <v>June</v>
      </c>
      <c r="I1279" s="4" t="str">
        <f t="shared" si="79"/>
        <v>2018</v>
      </c>
      <c r="J1279" s="10" t="s">
        <v>12</v>
      </c>
    </row>
    <row r="1280" spans="1:10" x14ac:dyDescent="0.35">
      <c r="A1280" s="9" t="s">
        <v>1937</v>
      </c>
      <c r="B1280" s="3">
        <v>10</v>
      </c>
      <c r="C1280" s="4" t="str">
        <f t="shared" si="76"/>
        <v>Good</v>
      </c>
      <c r="D1280" s="3" t="s">
        <v>2569</v>
      </c>
      <c r="E1280" s="3" t="s">
        <v>2570</v>
      </c>
      <c r="F1280" s="5" t="s">
        <v>2555</v>
      </c>
      <c r="G1280" s="4" t="str">
        <f t="shared" si="77"/>
        <v>28th</v>
      </c>
      <c r="H1280" s="4" t="str">
        <f t="shared" si="78"/>
        <v>June</v>
      </c>
      <c r="I1280" s="4" t="str">
        <f t="shared" si="79"/>
        <v>2018</v>
      </c>
      <c r="J1280" s="10" t="s">
        <v>9</v>
      </c>
    </row>
    <row r="1281" spans="1:10" x14ac:dyDescent="0.35">
      <c r="A1281" s="9" t="s">
        <v>1937</v>
      </c>
      <c r="B1281" s="3">
        <v>1</v>
      </c>
      <c r="C1281" s="4" t="str">
        <f t="shared" si="76"/>
        <v>Bad</v>
      </c>
      <c r="D1281" s="3" t="s">
        <v>2571</v>
      </c>
      <c r="E1281" s="3" t="s">
        <v>2572</v>
      </c>
      <c r="F1281" s="5" t="s">
        <v>2555</v>
      </c>
      <c r="G1281" s="4" t="str">
        <f t="shared" si="77"/>
        <v>28th</v>
      </c>
      <c r="H1281" s="4" t="str">
        <f t="shared" si="78"/>
        <v>June</v>
      </c>
      <c r="I1281" s="4" t="str">
        <f t="shared" si="79"/>
        <v>2018</v>
      </c>
      <c r="J1281" s="10" t="s">
        <v>12</v>
      </c>
    </row>
    <row r="1282" spans="1:10" x14ac:dyDescent="0.35">
      <c r="A1282" s="9" t="s">
        <v>1937</v>
      </c>
      <c r="B1282" s="3">
        <v>2</v>
      </c>
      <c r="C1282" s="4" t="str">
        <f t="shared" si="76"/>
        <v>Bad</v>
      </c>
      <c r="D1282" s="3" t="s">
        <v>2573</v>
      </c>
      <c r="E1282" s="3" t="s">
        <v>2574</v>
      </c>
      <c r="F1282" s="5" t="s">
        <v>2575</v>
      </c>
      <c r="G1282" s="4" t="str">
        <f t="shared" si="77"/>
        <v>27th</v>
      </c>
      <c r="H1282" s="4" t="str">
        <f t="shared" si="78"/>
        <v>April</v>
      </c>
      <c r="I1282" s="4" t="str">
        <f t="shared" si="79"/>
        <v>2018</v>
      </c>
      <c r="J1282" s="10" t="s">
        <v>12</v>
      </c>
    </row>
    <row r="1283" spans="1:10" x14ac:dyDescent="0.35">
      <c r="A1283" s="9" t="s">
        <v>1937</v>
      </c>
      <c r="B1283" s="3">
        <v>2</v>
      </c>
      <c r="C1283" s="4" t="str">
        <f t="shared" ref="C1283:C1346" si="80">IF(B1283&gt;=8,"Good",IF(B1283&gt;=5,"Neutral","Bad"))</f>
        <v>Bad</v>
      </c>
      <c r="D1283" s="3" t="s">
        <v>2576</v>
      </c>
      <c r="E1283" s="3" t="s">
        <v>2577</v>
      </c>
      <c r="F1283" s="5" t="s">
        <v>2575</v>
      </c>
      <c r="G1283" s="4" t="str">
        <f t="shared" ref="G1283:G1346" si="81">LEFT(F1283, FIND(" ", F1283)-1)</f>
        <v>27th</v>
      </c>
      <c r="H1283" s="4" t="str">
        <f t="shared" ref="H1283:H1346" si="82">TRIM(MID(F1283, FIND(" ", F1283)+1, FIND(" ", F1283, FIND(" ", F1283)+1) - FIND(" ", F1283)-1))</f>
        <v>April</v>
      </c>
      <c r="I1283" s="4" t="str">
        <f t="shared" ref="I1283:I1346" si="83">RIGHT(F1283, 4)</f>
        <v>2018</v>
      </c>
      <c r="J1283" s="10" t="s">
        <v>12</v>
      </c>
    </row>
    <row r="1284" spans="1:10" x14ac:dyDescent="0.35">
      <c r="A1284" s="9" t="s">
        <v>1937</v>
      </c>
      <c r="B1284" s="3">
        <v>2</v>
      </c>
      <c r="C1284" s="4" t="str">
        <f t="shared" si="80"/>
        <v>Bad</v>
      </c>
      <c r="D1284" s="3" t="s">
        <v>2578</v>
      </c>
      <c r="E1284" s="3" t="s">
        <v>2579</v>
      </c>
      <c r="F1284" s="5" t="s">
        <v>2575</v>
      </c>
      <c r="G1284" s="4" t="str">
        <f t="shared" si="81"/>
        <v>27th</v>
      </c>
      <c r="H1284" s="4" t="str">
        <f t="shared" si="82"/>
        <v>April</v>
      </c>
      <c r="I1284" s="4" t="str">
        <f t="shared" si="83"/>
        <v>2018</v>
      </c>
      <c r="J1284" s="10" t="s">
        <v>12</v>
      </c>
    </row>
    <row r="1285" spans="1:10" x14ac:dyDescent="0.35">
      <c r="A1285" s="9" t="s">
        <v>1937</v>
      </c>
      <c r="B1285" s="3">
        <v>2</v>
      </c>
      <c r="C1285" s="4" t="str">
        <f t="shared" si="80"/>
        <v>Bad</v>
      </c>
      <c r="D1285" s="3" t="s">
        <v>2580</v>
      </c>
      <c r="E1285" s="3" t="s">
        <v>2581</v>
      </c>
      <c r="F1285" s="5" t="s">
        <v>2575</v>
      </c>
      <c r="G1285" s="4" t="str">
        <f t="shared" si="81"/>
        <v>27th</v>
      </c>
      <c r="H1285" s="4" t="str">
        <f t="shared" si="82"/>
        <v>April</v>
      </c>
      <c r="I1285" s="4" t="str">
        <f t="shared" si="83"/>
        <v>2018</v>
      </c>
      <c r="J1285" s="10" t="s">
        <v>12</v>
      </c>
    </row>
    <row r="1286" spans="1:10" x14ac:dyDescent="0.35">
      <c r="A1286" s="9" t="s">
        <v>1937</v>
      </c>
      <c r="B1286" s="3">
        <v>1</v>
      </c>
      <c r="C1286" s="4" t="str">
        <f t="shared" si="80"/>
        <v>Bad</v>
      </c>
      <c r="D1286" s="3" t="s">
        <v>2582</v>
      </c>
      <c r="E1286" s="3" t="s">
        <v>2583</v>
      </c>
      <c r="F1286" s="5" t="s">
        <v>2575</v>
      </c>
      <c r="G1286" s="4" t="str">
        <f t="shared" si="81"/>
        <v>27th</v>
      </c>
      <c r="H1286" s="4" t="str">
        <f t="shared" si="82"/>
        <v>April</v>
      </c>
      <c r="I1286" s="4" t="str">
        <f t="shared" si="83"/>
        <v>2018</v>
      </c>
      <c r="J1286" s="10" t="s">
        <v>12</v>
      </c>
    </row>
    <row r="1287" spans="1:10" x14ac:dyDescent="0.35">
      <c r="A1287" s="9" t="s">
        <v>1937</v>
      </c>
      <c r="B1287" s="3">
        <v>10</v>
      </c>
      <c r="C1287" s="4" t="str">
        <f t="shared" si="80"/>
        <v>Good</v>
      </c>
      <c r="D1287" s="3" t="s">
        <v>2584</v>
      </c>
      <c r="E1287" s="3" t="s">
        <v>2585</v>
      </c>
      <c r="F1287" s="5" t="s">
        <v>2575</v>
      </c>
      <c r="G1287" s="4" t="str">
        <f t="shared" si="81"/>
        <v>27th</v>
      </c>
      <c r="H1287" s="4" t="str">
        <f t="shared" si="82"/>
        <v>April</v>
      </c>
      <c r="I1287" s="4" t="str">
        <f t="shared" si="83"/>
        <v>2018</v>
      </c>
      <c r="J1287" s="10" t="s">
        <v>9</v>
      </c>
    </row>
    <row r="1288" spans="1:10" x14ac:dyDescent="0.35">
      <c r="A1288" s="9" t="s">
        <v>1937</v>
      </c>
      <c r="B1288" s="3">
        <v>8</v>
      </c>
      <c r="C1288" s="4" t="str">
        <f t="shared" si="80"/>
        <v>Good</v>
      </c>
      <c r="D1288" s="3" t="s">
        <v>2586</v>
      </c>
      <c r="E1288" s="3" t="s">
        <v>2587</v>
      </c>
      <c r="F1288" s="5" t="s">
        <v>2575</v>
      </c>
      <c r="G1288" s="4" t="str">
        <f t="shared" si="81"/>
        <v>27th</v>
      </c>
      <c r="H1288" s="4" t="str">
        <f t="shared" si="82"/>
        <v>April</v>
      </c>
      <c r="I1288" s="4" t="str">
        <f t="shared" si="83"/>
        <v>2018</v>
      </c>
      <c r="J1288" s="10" t="s">
        <v>9</v>
      </c>
    </row>
    <row r="1289" spans="1:10" x14ac:dyDescent="0.35">
      <c r="A1289" s="9" t="s">
        <v>1937</v>
      </c>
      <c r="B1289" s="3">
        <v>10</v>
      </c>
      <c r="C1289" s="4" t="str">
        <f t="shared" si="80"/>
        <v>Good</v>
      </c>
      <c r="D1289" s="3" t="s">
        <v>2588</v>
      </c>
      <c r="E1289" s="3" t="s">
        <v>2414</v>
      </c>
      <c r="F1289" s="5" t="s">
        <v>2575</v>
      </c>
      <c r="G1289" s="4" t="str">
        <f t="shared" si="81"/>
        <v>27th</v>
      </c>
      <c r="H1289" s="4" t="str">
        <f t="shared" si="82"/>
        <v>April</v>
      </c>
      <c r="I1289" s="4" t="str">
        <f t="shared" si="83"/>
        <v>2018</v>
      </c>
      <c r="J1289" s="10" t="s">
        <v>9</v>
      </c>
    </row>
    <row r="1290" spans="1:10" x14ac:dyDescent="0.35">
      <c r="A1290" s="9" t="s">
        <v>1937</v>
      </c>
      <c r="B1290" s="3">
        <v>10</v>
      </c>
      <c r="C1290" s="4" t="str">
        <f t="shared" si="80"/>
        <v>Good</v>
      </c>
      <c r="D1290" s="3" t="s">
        <v>2589</v>
      </c>
      <c r="E1290" s="3" t="s">
        <v>2590</v>
      </c>
      <c r="F1290" s="5" t="s">
        <v>2575</v>
      </c>
      <c r="G1290" s="4" t="str">
        <f t="shared" si="81"/>
        <v>27th</v>
      </c>
      <c r="H1290" s="4" t="str">
        <f t="shared" si="82"/>
        <v>April</v>
      </c>
      <c r="I1290" s="4" t="str">
        <f t="shared" si="83"/>
        <v>2018</v>
      </c>
      <c r="J1290" s="10" t="s">
        <v>9</v>
      </c>
    </row>
    <row r="1291" spans="1:10" x14ac:dyDescent="0.35">
      <c r="A1291" s="9" t="s">
        <v>1937</v>
      </c>
      <c r="B1291" s="3">
        <v>9</v>
      </c>
      <c r="C1291" s="4" t="str">
        <f t="shared" si="80"/>
        <v>Good</v>
      </c>
      <c r="D1291" s="3" t="s">
        <v>2591</v>
      </c>
      <c r="E1291" s="3" t="s">
        <v>2592</v>
      </c>
      <c r="F1291" s="5" t="s">
        <v>2575</v>
      </c>
      <c r="G1291" s="4" t="str">
        <f t="shared" si="81"/>
        <v>27th</v>
      </c>
      <c r="H1291" s="4" t="str">
        <f t="shared" si="82"/>
        <v>April</v>
      </c>
      <c r="I1291" s="4" t="str">
        <f t="shared" si="83"/>
        <v>2018</v>
      </c>
      <c r="J1291" s="10" t="s">
        <v>9</v>
      </c>
    </row>
    <row r="1292" spans="1:10" x14ac:dyDescent="0.35">
      <c r="A1292" s="9" t="s">
        <v>1937</v>
      </c>
      <c r="B1292" s="3">
        <v>9</v>
      </c>
      <c r="C1292" s="4" t="str">
        <f t="shared" si="80"/>
        <v>Good</v>
      </c>
      <c r="D1292" s="3" t="s">
        <v>2593</v>
      </c>
      <c r="E1292" s="3" t="s">
        <v>2594</v>
      </c>
      <c r="F1292" s="5" t="s">
        <v>2595</v>
      </c>
      <c r="G1292" s="4" t="str">
        <f t="shared" si="81"/>
        <v>26th</v>
      </c>
      <c r="H1292" s="4" t="str">
        <f t="shared" si="82"/>
        <v>February</v>
      </c>
      <c r="I1292" s="4" t="str">
        <f t="shared" si="83"/>
        <v>2018</v>
      </c>
      <c r="J1292" s="10" t="s">
        <v>9</v>
      </c>
    </row>
    <row r="1293" spans="1:10" x14ac:dyDescent="0.35">
      <c r="A1293" s="9" t="s">
        <v>1937</v>
      </c>
      <c r="B1293" s="3">
        <v>6</v>
      </c>
      <c r="C1293" s="4" t="str">
        <f t="shared" si="80"/>
        <v>Neutral</v>
      </c>
      <c r="D1293" s="3" t="s">
        <v>2596</v>
      </c>
      <c r="E1293" s="3" t="s">
        <v>2597</v>
      </c>
      <c r="F1293" s="5" t="s">
        <v>2595</v>
      </c>
      <c r="G1293" s="4" t="str">
        <f t="shared" si="81"/>
        <v>26th</v>
      </c>
      <c r="H1293" s="4" t="str">
        <f t="shared" si="82"/>
        <v>February</v>
      </c>
      <c r="I1293" s="4" t="str">
        <f t="shared" si="83"/>
        <v>2018</v>
      </c>
      <c r="J1293" s="10" t="s">
        <v>9</v>
      </c>
    </row>
    <row r="1294" spans="1:10" x14ac:dyDescent="0.35">
      <c r="A1294" s="9" t="s">
        <v>1937</v>
      </c>
      <c r="B1294" s="3">
        <v>6</v>
      </c>
      <c r="C1294" s="4" t="str">
        <f t="shared" si="80"/>
        <v>Neutral</v>
      </c>
      <c r="D1294" s="3" t="s">
        <v>2598</v>
      </c>
      <c r="E1294" s="3" t="s">
        <v>2599</v>
      </c>
      <c r="F1294" s="5" t="s">
        <v>2595</v>
      </c>
      <c r="G1294" s="4" t="str">
        <f t="shared" si="81"/>
        <v>26th</v>
      </c>
      <c r="H1294" s="4" t="str">
        <f t="shared" si="82"/>
        <v>February</v>
      </c>
      <c r="I1294" s="4" t="str">
        <f t="shared" si="83"/>
        <v>2018</v>
      </c>
      <c r="J1294" s="10" t="s">
        <v>12</v>
      </c>
    </row>
    <row r="1295" spans="1:10" x14ac:dyDescent="0.35">
      <c r="A1295" s="9" t="s">
        <v>1937</v>
      </c>
      <c r="B1295" s="3">
        <v>8</v>
      </c>
      <c r="C1295" s="4" t="str">
        <f t="shared" si="80"/>
        <v>Good</v>
      </c>
      <c r="D1295" s="3" t="s">
        <v>2600</v>
      </c>
      <c r="E1295" s="3" t="s">
        <v>2601</v>
      </c>
      <c r="F1295" s="5" t="s">
        <v>2595</v>
      </c>
      <c r="G1295" s="4" t="str">
        <f t="shared" si="81"/>
        <v>26th</v>
      </c>
      <c r="H1295" s="4" t="str">
        <f t="shared" si="82"/>
        <v>February</v>
      </c>
      <c r="I1295" s="4" t="str">
        <f t="shared" si="83"/>
        <v>2018</v>
      </c>
      <c r="J1295" s="10" t="s">
        <v>9</v>
      </c>
    </row>
    <row r="1296" spans="1:10" x14ac:dyDescent="0.35">
      <c r="A1296" s="9" t="s">
        <v>1937</v>
      </c>
      <c r="B1296" s="3">
        <v>5</v>
      </c>
      <c r="C1296" s="4" t="str">
        <f t="shared" si="80"/>
        <v>Neutral</v>
      </c>
      <c r="D1296" s="3" t="s">
        <v>2602</v>
      </c>
      <c r="E1296" s="3" t="s">
        <v>2603</v>
      </c>
      <c r="F1296" s="5" t="s">
        <v>2595</v>
      </c>
      <c r="G1296" s="4" t="str">
        <f t="shared" si="81"/>
        <v>26th</v>
      </c>
      <c r="H1296" s="4" t="str">
        <f t="shared" si="82"/>
        <v>February</v>
      </c>
      <c r="I1296" s="4" t="str">
        <f t="shared" si="83"/>
        <v>2018</v>
      </c>
      <c r="J1296" s="10" t="s">
        <v>9</v>
      </c>
    </row>
    <row r="1297" spans="1:10" x14ac:dyDescent="0.35">
      <c r="A1297" s="9" t="s">
        <v>1937</v>
      </c>
      <c r="B1297" s="3">
        <v>3</v>
      </c>
      <c r="C1297" s="4" t="str">
        <f t="shared" si="80"/>
        <v>Bad</v>
      </c>
      <c r="D1297" s="3" t="s">
        <v>2604</v>
      </c>
      <c r="E1297" s="3" t="s">
        <v>2605</v>
      </c>
      <c r="F1297" s="5" t="s">
        <v>2595</v>
      </c>
      <c r="G1297" s="4" t="str">
        <f t="shared" si="81"/>
        <v>26th</v>
      </c>
      <c r="H1297" s="4" t="str">
        <f t="shared" si="82"/>
        <v>February</v>
      </c>
      <c r="I1297" s="4" t="str">
        <f t="shared" si="83"/>
        <v>2018</v>
      </c>
      <c r="J1297" s="10" t="s">
        <v>12</v>
      </c>
    </row>
    <row r="1298" spans="1:10" x14ac:dyDescent="0.35">
      <c r="A1298" s="9" t="s">
        <v>1937</v>
      </c>
      <c r="B1298" s="3">
        <v>5</v>
      </c>
      <c r="C1298" s="4" t="str">
        <f t="shared" si="80"/>
        <v>Neutral</v>
      </c>
      <c r="D1298" s="3" t="s">
        <v>2606</v>
      </c>
      <c r="E1298" s="3" t="s">
        <v>2607</v>
      </c>
      <c r="F1298" s="5" t="s">
        <v>2595</v>
      </c>
      <c r="G1298" s="4" t="str">
        <f t="shared" si="81"/>
        <v>26th</v>
      </c>
      <c r="H1298" s="4" t="str">
        <f t="shared" si="82"/>
        <v>February</v>
      </c>
      <c r="I1298" s="4" t="str">
        <f t="shared" si="83"/>
        <v>2018</v>
      </c>
      <c r="J1298" s="10" t="s">
        <v>12</v>
      </c>
    </row>
    <row r="1299" spans="1:10" x14ac:dyDescent="0.35">
      <c r="A1299" s="9" t="s">
        <v>1937</v>
      </c>
      <c r="B1299" s="3">
        <v>1</v>
      </c>
      <c r="C1299" s="4" t="str">
        <f t="shared" si="80"/>
        <v>Bad</v>
      </c>
      <c r="D1299" s="3" t="s">
        <v>2608</v>
      </c>
      <c r="E1299" s="3" t="s">
        <v>2609</v>
      </c>
      <c r="F1299" s="5" t="s">
        <v>2595</v>
      </c>
      <c r="G1299" s="4" t="str">
        <f t="shared" si="81"/>
        <v>26th</v>
      </c>
      <c r="H1299" s="4" t="str">
        <f t="shared" si="82"/>
        <v>February</v>
      </c>
      <c r="I1299" s="4" t="str">
        <f t="shared" si="83"/>
        <v>2018</v>
      </c>
      <c r="J1299" s="10" t="s">
        <v>12</v>
      </c>
    </row>
    <row r="1300" spans="1:10" x14ac:dyDescent="0.35">
      <c r="A1300" s="9" t="s">
        <v>1937</v>
      </c>
      <c r="B1300" s="3">
        <v>2</v>
      </c>
      <c r="C1300" s="4" t="str">
        <f t="shared" si="80"/>
        <v>Bad</v>
      </c>
      <c r="D1300" s="3" t="s">
        <v>2610</v>
      </c>
      <c r="E1300" s="3" t="s">
        <v>2611</v>
      </c>
      <c r="F1300" s="5" t="s">
        <v>2595</v>
      </c>
      <c r="G1300" s="4" t="str">
        <f t="shared" si="81"/>
        <v>26th</v>
      </c>
      <c r="H1300" s="4" t="str">
        <f t="shared" si="82"/>
        <v>February</v>
      </c>
      <c r="I1300" s="4" t="str">
        <f t="shared" si="83"/>
        <v>2018</v>
      </c>
      <c r="J1300" s="10" t="s">
        <v>9</v>
      </c>
    </row>
    <row r="1301" spans="1:10" x14ac:dyDescent="0.35">
      <c r="A1301" s="9" t="s">
        <v>1937</v>
      </c>
      <c r="B1301" s="3">
        <v>1</v>
      </c>
      <c r="C1301" s="4" t="str">
        <f t="shared" si="80"/>
        <v>Bad</v>
      </c>
      <c r="D1301" s="3" t="s">
        <v>2612</v>
      </c>
      <c r="E1301" s="3" t="s">
        <v>2613</v>
      </c>
      <c r="F1301" s="5" t="s">
        <v>2595</v>
      </c>
      <c r="G1301" s="4" t="str">
        <f t="shared" si="81"/>
        <v>26th</v>
      </c>
      <c r="H1301" s="4" t="str">
        <f t="shared" si="82"/>
        <v>February</v>
      </c>
      <c r="I1301" s="4" t="str">
        <f t="shared" si="83"/>
        <v>2018</v>
      </c>
      <c r="J1301" s="10" t="s">
        <v>12</v>
      </c>
    </row>
    <row r="1302" spans="1:10" x14ac:dyDescent="0.35">
      <c r="A1302" s="9" t="s">
        <v>1937</v>
      </c>
      <c r="B1302" s="3">
        <v>9</v>
      </c>
      <c r="C1302" s="4" t="str">
        <f t="shared" si="80"/>
        <v>Good</v>
      </c>
      <c r="D1302" s="3" t="s">
        <v>2614</v>
      </c>
      <c r="E1302" s="3" t="s">
        <v>2592</v>
      </c>
      <c r="F1302" s="5" t="s">
        <v>2615</v>
      </c>
      <c r="G1302" s="4" t="str">
        <f t="shared" si="81"/>
        <v>20th</v>
      </c>
      <c r="H1302" s="4" t="str">
        <f t="shared" si="82"/>
        <v>November</v>
      </c>
      <c r="I1302" s="4" t="str">
        <f t="shared" si="83"/>
        <v>2017</v>
      </c>
      <c r="J1302" s="10" t="s">
        <v>9</v>
      </c>
    </row>
    <row r="1303" spans="1:10" x14ac:dyDescent="0.35">
      <c r="A1303" s="9" t="s">
        <v>1937</v>
      </c>
      <c r="B1303" s="3">
        <v>1</v>
      </c>
      <c r="C1303" s="4" t="str">
        <f t="shared" si="80"/>
        <v>Bad</v>
      </c>
      <c r="D1303" s="3" t="s">
        <v>2616</v>
      </c>
      <c r="E1303" s="3" t="s">
        <v>2617</v>
      </c>
      <c r="F1303" s="5" t="s">
        <v>2615</v>
      </c>
      <c r="G1303" s="4" t="str">
        <f t="shared" si="81"/>
        <v>20th</v>
      </c>
      <c r="H1303" s="4" t="str">
        <f t="shared" si="82"/>
        <v>November</v>
      </c>
      <c r="I1303" s="4" t="str">
        <f t="shared" si="83"/>
        <v>2017</v>
      </c>
      <c r="J1303" s="10" t="s">
        <v>12</v>
      </c>
    </row>
    <row r="1304" spans="1:10" x14ac:dyDescent="0.35">
      <c r="A1304" s="9" t="s">
        <v>1937</v>
      </c>
      <c r="B1304" s="3">
        <v>10</v>
      </c>
      <c r="C1304" s="4" t="str">
        <f t="shared" si="80"/>
        <v>Good</v>
      </c>
      <c r="D1304" s="3" t="s">
        <v>2618</v>
      </c>
      <c r="E1304" s="3" t="s">
        <v>2619</v>
      </c>
      <c r="F1304" s="5" t="s">
        <v>2615</v>
      </c>
      <c r="G1304" s="4" t="str">
        <f t="shared" si="81"/>
        <v>20th</v>
      </c>
      <c r="H1304" s="4" t="str">
        <f t="shared" si="82"/>
        <v>November</v>
      </c>
      <c r="I1304" s="4" t="str">
        <f t="shared" si="83"/>
        <v>2017</v>
      </c>
      <c r="J1304" s="10" t="s">
        <v>9</v>
      </c>
    </row>
    <row r="1305" spans="1:10" x14ac:dyDescent="0.35">
      <c r="A1305" s="9" t="s">
        <v>1937</v>
      </c>
      <c r="B1305" s="3">
        <v>1</v>
      </c>
      <c r="C1305" s="4" t="str">
        <f t="shared" si="80"/>
        <v>Bad</v>
      </c>
      <c r="D1305" s="3" t="s">
        <v>2620</v>
      </c>
      <c r="E1305" s="3" t="s">
        <v>2621</v>
      </c>
      <c r="F1305" s="5" t="s">
        <v>2615</v>
      </c>
      <c r="G1305" s="4" t="str">
        <f t="shared" si="81"/>
        <v>20th</v>
      </c>
      <c r="H1305" s="4" t="str">
        <f t="shared" si="82"/>
        <v>November</v>
      </c>
      <c r="I1305" s="4" t="str">
        <f t="shared" si="83"/>
        <v>2017</v>
      </c>
      <c r="J1305" s="10" t="s">
        <v>12</v>
      </c>
    </row>
    <row r="1306" spans="1:10" x14ac:dyDescent="0.35">
      <c r="A1306" s="9" t="s">
        <v>1937</v>
      </c>
      <c r="B1306" s="3">
        <v>5</v>
      </c>
      <c r="C1306" s="4" t="str">
        <f t="shared" si="80"/>
        <v>Neutral</v>
      </c>
      <c r="D1306" s="3" t="s">
        <v>2622</v>
      </c>
      <c r="E1306" s="3" t="s">
        <v>2623</v>
      </c>
      <c r="F1306" s="5" t="s">
        <v>2615</v>
      </c>
      <c r="G1306" s="4" t="str">
        <f t="shared" si="81"/>
        <v>20th</v>
      </c>
      <c r="H1306" s="4" t="str">
        <f t="shared" si="82"/>
        <v>November</v>
      </c>
      <c r="I1306" s="4" t="str">
        <f t="shared" si="83"/>
        <v>2017</v>
      </c>
      <c r="J1306" s="10" t="s">
        <v>12</v>
      </c>
    </row>
    <row r="1307" spans="1:10" x14ac:dyDescent="0.35">
      <c r="A1307" s="9" t="s">
        <v>1937</v>
      </c>
      <c r="B1307" s="3">
        <v>10</v>
      </c>
      <c r="C1307" s="4" t="str">
        <f t="shared" si="80"/>
        <v>Good</v>
      </c>
      <c r="D1307" s="3" t="s">
        <v>2624</v>
      </c>
      <c r="E1307" s="3" t="s">
        <v>2625</v>
      </c>
      <c r="F1307" s="5" t="s">
        <v>2615</v>
      </c>
      <c r="G1307" s="4" t="str">
        <f t="shared" si="81"/>
        <v>20th</v>
      </c>
      <c r="H1307" s="4" t="str">
        <f t="shared" si="82"/>
        <v>November</v>
      </c>
      <c r="I1307" s="4" t="str">
        <f t="shared" si="83"/>
        <v>2017</v>
      </c>
      <c r="J1307" s="10" t="s">
        <v>9</v>
      </c>
    </row>
    <row r="1308" spans="1:10" x14ac:dyDescent="0.35">
      <c r="A1308" s="9" t="s">
        <v>1937</v>
      </c>
      <c r="B1308" s="3">
        <v>9</v>
      </c>
      <c r="C1308" s="4" t="str">
        <f t="shared" si="80"/>
        <v>Good</v>
      </c>
      <c r="D1308" s="3" t="s">
        <v>2626</v>
      </c>
      <c r="E1308" s="3" t="s">
        <v>2416</v>
      </c>
      <c r="F1308" s="5" t="s">
        <v>2615</v>
      </c>
      <c r="G1308" s="4" t="str">
        <f t="shared" si="81"/>
        <v>20th</v>
      </c>
      <c r="H1308" s="4" t="str">
        <f t="shared" si="82"/>
        <v>November</v>
      </c>
      <c r="I1308" s="4" t="str">
        <f t="shared" si="83"/>
        <v>2017</v>
      </c>
      <c r="J1308" s="10" t="s">
        <v>9</v>
      </c>
    </row>
    <row r="1309" spans="1:10" x14ac:dyDescent="0.35">
      <c r="A1309" s="9" t="s">
        <v>1937</v>
      </c>
      <c r="B1309" s="3">
        <v>6</v>
      </c>
      <c r="C1309" s="4" t="str">
        <f t="shared" si="80"/>
        <v>Neutral</v>
      </c>
      <c r="D1309" s="3" t="s">
        <v>2627</v>
      </c>
      <c r="E1309" s="3" t="s">
        <v>2628</v>
      </c>
      <c r="F1309" s="5" t="s">
        <v>2615</v>
      </c>
      <c r="G1309" s="4" t="str">
        <f t="shared" si="81"/>
        <v>20th</v>
      </c>
      <c r="H1309" s="4" t="str">
        <f t="shared" si="82"/>
        <v>November</v>
      </c>
      <c r="I1309" s="4" t="str">
        <f t="shared" si="83"/>
        <v>2017</v>
      </c>
      <c r="J1309" s="10" t="s">
        <v>12</v>
      </c>
    </row>
    <row r="1310" spans="1:10" x14ac:dyDescent="0.35">
      <c r="A1310" s="9" t="s">
        <v>1937</v>
      </c>
      <c r="B1310" s="3">
        <v>1</v>
      </c>
      <c r="C1310" s="4" t="str">
        <f t="shared" si="80"/>
        <v>Bad</v>
      </c>
      <c r="D1310" s="3" t="s">
        <v>2629</v>
      </c>
      <c r="E1310" s="3" t="s">
        <v>2630</v>
      </c>
      <c r="F1310" s="5" t="s">
        <v>2615</v>
      </c>
      <c r="G1310" s="4" t="str">
        <f t="shared" si="81"/>
        <v>20th</v>
      </c>
      <c r="H1310" s="4" t="str">
        <f t="shared" si="82"/>
        <v>November</v>
      </c>
      <c r="I1310" s="4" t="str">
        <f t="shared" si="83"/>
        <v>2017</v>
      </c>
      <c r="J1310" s="10" t="s">
        <v>12</v>
      </c>
    </row>
    <row r="1311" spans="1:10" x14ac:dyDescent="0.35">
      <c r="A1311" s="9" t="s">
        <v>1937</v>
      </c>
      <c r="B1311" s="3">
        <v>9</v>
      </c>
      <c r="C1311" s="4" t="str">
        <f t="shared" si="80"/>
        <v>Good</v>
      </c>
      <c r="D1311" s="3" t="s">
        <v>2631</v>
      </c>
      <c r="E1311" s="3" t="s">
        <v>2632</v>
      </c>
      <c r="F1311" s="5" t="s">
        <v>2615</v>
      </c>
      <c r="G1311" s="4" t="str">
        <f t="shared" si="81"/>
        <v>20th</v>
      </c>
      <c r="H1311" s="4" t="str">
        <f t="shared" si="82"/>
        <v>November</v>
      </c>
      <c r="I1311" s="4" t="str">
        <f t="shared" si="83"/>
        <v>2017</v>
      </c>
      <c r="J1311" s="10" t="s">
        <v>9</v>
      </c>
    </row>
    <row r="1312" spans="1:10" x14ac:dyDescent="0.35">
      <c r="A1312" s="9" t="s">
        <v>1937</v>
      </c>
      <c r="B1312" s="3">
        <v>3</v>
      </c>
      <c r="C1312" s="4" t="str">
        <f t="shared" si="80"/>
        <v>Bad</v>
      </c>
      <c r="D1312" s="3" t="s">
        <v>2633</v>
      </c>
      <c r="E1312" s="3" t="s">
        <v>2634</v>
      </c>
      <c r="F1312" s="5" t="s">
        <v>2635</v>
      </c>
      <c r="G1312" s="4" t="str">
        <f t="shared" si="81"/>
        <v>12th</v>
      </c>
      <c r="H1312" s="4" t="str">
        <f t="shared" si="82"/>
        <v>August</v>
      </c>
      <c r="I1312" s="4" t="str">
        <f t="shared" si="83"/>
        <v>2017</v>
      </c>
      <c r="J1312" s="10" t="s">
        <v>12</v>
      </c>
    </row>
    <row r="1313" spans="1:10" x14ac:dyDescent="0.35">
      <c r="A1313" s="9" t="s">
        <v>1937</v>
      </c>
      <c r="B1313" s="3">
        <v>9</v>
      </c>
      <c r="C1313" s="4" t="str">
        <f t="shared" si="80"/>
        <v>Good</v>
      </c>
      <c r="D1313" s="3" t="s">
        <v>2636</v>
      </c>
      <c r="E1313" s="3" t="s">
        <v>2637</v>
      </c>
      <c r="F1313" s="5" t="s">
        <v>2635</v>
      </c>
      <c r="G1313" s="4" t="str">
        <f t="shared" si="81"/>
        <v>12th</v>
      </c>
      <c r="H1313" s="4" t="str">
        <f t="shared" si="82"/>
        <v>August</v>
      </c>
      <c r="I1313" s="4" t="str">
        <f t="shared" si="83"/>
        <v>2017</v>
      </c>
      <c r="J1313" s="10" t="s">
        <v>9</v>
      </c>
    </row>
    <row r="1314" spans="1:10" x14ac:dyDescent="0.35">
      <c r="A1314" s="9" t="s">
        <v>1937</v>
      </c>
      <c r="B1314" s="3">
        <v>3</v>
      </c>
      <c r="C1314" s="4" t="str">
        <f t="shared" si="80"/>
        <v>Bad</v>
      </c>
      <c r="D1314" s="3" t="s">
        <v>2638</v>
      </c>
      <c r="E1314" s="3" t="s">
        <v>2639</v>
      </c>
      <c r="F1314" s="5" t="s">
        <v>2635</v>
      </c>
      <c r="G1314" s="4" t="str">
        <f t="shared" si="81"/>
        <v>12th</v>
      </c>
      <c r="H1314" s="4" t="str">
        <f t="shared" si="82"/>
        <v>August</v>
      </c>
      <c r="I1314" s="4" t="str">
        <f t="shared" si="83"/>
        <v>2017</v>
      </c>
      <c r="J1314" s="10" t="s">
        <v>12</v>
      </c>
    </row>
    <row r="1315" spans="1:10" x14ac:dyDescent="0.35">
      <c r="A1315" s="9" t="s">
        <v>1937</v>
      </c>
      <c r="B1315" s="3">
        <v>9</v>
      </c>
      <c r="C1315" s="4" t="str">
        <f t="shared" si="80"/>
        <v>Good</v>
      </c>
      <c r="D1315" s="3" t="s">
        <v>2640</v>
      </c>
      <c r="E1315" s="3" t="s">
        <v>2592</v>
      </c>
      <c r="F1315" s="5" t="s">
        <v>2635</v>
      </c>
      <c r="G1315" s="4" t="str">
        <f t="shared" si="81"/>
        <v>12th</v>
      </c>
      <c r="H1315" s="4" t="str">
        <f t="shared" si="82"/>
        <v>August</v>
      </c>
      <c r="I1315" s="4" t="str">
        <f t="shared" si="83"/>
        <v>2017</v>
      </c>
      <c r="J1315" s="10" t="s">
        <v>9</v>
      </c>
    </row>
    <row r="1316" spans="1:10" x14ac:dyDescent="0.35">
      <c r="A1316" s="9" t="s">
        <v>1937</v>
      </c>
      <c r="B1316" s="3">
        <v>1</v>
      </c>
      <c r="C1316" s="4" t="str">
        <f t="shared" si="80"/>
        <v>Bad</v>
      </c>
      <c r="D1316" s="3" t="s">
        <v>2641</v>
      </c>
      <c r="E1316" s="3" t="s">
        <v>2642</v>
      </c>
      <c r="F1316" s="5" t="s">
        <v>2635</v>
      </c>
      <c r="G1316" s="4" t="str">
        <f t="shared" si="81"/>
        <v>12th</v>
      </c>
      <c r="H1316" s="4" t="str">
        <f t="shared" si="82"/>
        <v>August</v>
      </c>
      <c r="I1316" s="4" t="str">
        <f t="shared" si="83"/>
        <v>2017</v>
      </c>
      <c r="J1316" s="10" t="s">
        <v>12</v>
      </c>
    </row>
    <row r="1317" spans="1:10" x14ac:dyDescent="0.35">
      <c r="A1317" s="9" t="s">
        <v>1937</v>
      </c>
      <c r="B1317" s="3">
        <v>9</v>
      </c>
      <c r="C1317" s="4" t="str">
        <f t="shared" si="80"/>
        <v>Good</v>
      </c>
      <c r="D1317" s="3" t="s">
        <v>2643</v>
      </c>
      <c r="E1317" s="3" t="s">
        <v>2644</v>
      </c>
      <c r="F1317" s="5" t="s">
        <v>2635</v>
      </c>
      <c r="G1317" s="4" t="str">
        <f t="shared" si="81"/>
        <v>12th</v>
      </c>
      <c r="H1317" s="4" t="str">
        <f t="shared" si="82"/>
        <v>August</v>
      </c>
      <c r="I1317" s="4" t="str">
        <f t="shared" si="83"/>
        <v>2017</v>
      </c>
      <c r="J1317" s="10" t="s">
        <v>9</v>
      </c>
    </row>
    <row r="1318" spans="1:10" x14ac:dyDescent="0.35">
      <c r="A1318" s="9" t="s">
        <v>1937</v>
      </c>
      <c r="B1318" s="3">
        <v>9</v>
      </c>
      <c r="C1318" s="4" t="str">
        <f t="shared" si="80"/>
        <v>Good</v>
      </c>
      <c r="D1318" s="3" t="s">
        <v>2645</v>
      </c>
      <c r="E1318" s="3" t="s">
        <v>2646</v>
      </c>
      <c r="F1318" s="5" t="s">
        <v>2635</v>
      </c>
      <c r="G1318" s="4" t="str">
        <f t="shared" si="81"/>
        <v>12th</v>
      </c>
      <c r="H1318" s="4" t="str">
        <f t="shared" si="82"/>
        <v>August</v>
      </c>
      <c r="I1318" s="4" t="str">
        <f t="shared" si="83"/>
        <v>2017</v>
      </c>
      <c r="J1318" s="10" t="s">
        <v>9</v>
      </c>
    </row>
    <row r="1319" spans="1:10" x14ac:dyDescent="0.35">
      <c r="A1319" s="9" t="s">
        <v>1937</v>
      </c>
      <c r="B1319" s="3">
        <v>5</v>
      </c>
      <c r="C1319" s="4" t="str">
        <f t="shared" si="80"/>
        <v>Neutral</v>
      </c>
      <c r="D1319" s="3" t="s">
        <v>2647</v>
      </c>
      <c r="E1319" s="3" t="s">
        <v>2648</v>
      </c>
      <c r="F1319" s="5" t="s">
        <v>2635</v>
      </c>
      <c r="G1319" s="4" t="str">
        <f t="shared" si="81"/>
        <v>12th</v>
      </c>
      <c r="H1319" s="4" t="str">
        <f t="shared" si="82"/>
        <v>August</v>
      </c>
      <c r="I1319" s="4" t="str">
        <f t="shared" si="83"/>
        <v>2017</v>
      </c>
      <c r="J1319" s="10" t="s">
        <v>12</v>
      </c>
    </row>
    <row r="1320" spans="1:10" x14ac:dyDescent="0.35">
      <c r="A1320" s="9" t="s">
        <v>1937</v>
      </c>
      <c r="B1320" s="3">
        <v>4</v>
      </c>
      <c r="C1320" s="4" t="str">
        <f t="shared" si="80"/>
        <v>Bad</v>
      </c>
      <c r="D1320" s="3" t="s">
        <v>2649</v>
      </c>
      <c r="E1320" s="3" t="s">
        <v>2650</v>
      </c>
      <c r="F1320" s="5" t="s">
        <v>2635</v>
      </c>
      <c r="G1320" s="4" t="str">
        <f t="shared" si="81"/>
        <v>12th</v>
      </c>
      <c r="H1320" s="4" t="str">
        <f t="shared" si="82"/>
        <v>August</v>
      </c>
      <c r="I1320" s="4" t="str">
        <f t="shared" si="83"/>
        <v>2017</v>
      </c>
      <c r="J1320" s="10" t="s">
        <v>12</v>
      </c>
    </row>
    <row r="1321" spans="1:10" x14ac:dyDescent="0.35">
      <c r="A1321" s="9" t="s">
        <v>1937</v>
      </c>
      <c r="B1321" s="3">
        <v>8</v>
      </c>
      <c r="C1321" s="4" t="str">
        <f t="shared" si="80"/>
        <v>Good</v>
      </c>
      <c r="D1321" s="3" t="s">
        <v>2651</v>
      </c>
      <c r="E1321" s="3" t="s">
        <v>2652</v>
      </c>
      <c r="F1321" s="5" t="s">
        <v>2635</v>
      </c>
      <c r="G1321" s="4" t="str">
        <f t="shared" si="81"/>
        <v>12th</v>
      </c>
      <c r="H1321" s="4" t="str">
        <f t="shared" si="82"/>
        <v>August</v>
      </c>
      <c r="I1321" s="4" t="str">
        <f t="shared" si="83"/>
        <v>2017</v>
      </c>
      <c r="J1321" s="10" t="s">
        <v>12</v>
      </c>
    </row>
    <row r="1322" spans="1:10" x14ac:dyDescent="0.35">
      <c r="A1322" s="9" t="s">
        <v>1937</v>
      </c>
      <c r="B1322" s="3">
        <v>10</v>
      </c>
      <c r="C1322" s="4" t="str">
        <f t="shared" si="80"/>
        <v>Good</v>
      </c>
      <c r="D1322" s="3" t="s">
        <v>2653</v>
      </c>
      <c r="E1322" s="3" t="s">
        <v>2654</v>
      </c>
      <c r="F1322" s="5" t="s">
        <v>2655</v>
      </c>
      <c r="G1322" s="4" t="str">
        <f t="shared" si="81"/>
        <v>17th</v>
      </c>
      <c r="H1322" s="4" t="str">
        <f t="shared" si="82"/>
        <v>February</v>
      </c>
      <c r="I1322" s="4" t="str">
        <f t="shared" si="83"/>
        <v>2017</v>
      </c>
      <c r="J1322" s="10" t="s">
        <v>9</v>
      </c>
    </row>
    <row r="1323" spans="1:10" x14ac:dyDescent="0.35">
      <c r="A1323" s="9" t="s">
        <v>1937</v>
      </c>
      <c r="B1323" s="3">
        <v>10</v>
      </c>
      <c r="C1323" s="4" t="str">
        <f t="shared" si="80"/>
        <v>Good</v>
      </c>
      <c r="D1323" s="3" t="s">
        <v>2656</v>
      </c>
      <c r="E1323" s="3" t="s">
        <v>2657</v>
      </c>
      <c r="F1323" s="5" t="s">
        <v>2655</v>
      </c>
      <c r="G1323" s="4" t="str">
        <f t="shared" si="81"/>
        <v>17th</v>
      </c>
      <c r="H1323" s="4" t="str">
        <f t="shared" si="82"/>
        <v>February</v>
      </c>
      <c r="I1323" s="4" t="str">
        <f t="shared" si="83"/>
        <v>2017</v>
      </c>
      <c r="J1323" s="10" t="s">
        <v>9</v>
      </c>
    </row>
    <row r="1324" spans="1:10" x14ac:dyDescent="0.35">
      <c r="A1324" s="9" t="s">
        <v>1937</v>
      </c>
      <c r="B1324" s="3">
        <v>2</v>
      </c>
      <c r="C1324" s="4" t="str">
        <f t="shared" si="80"/>
        <v>Bad</v>
      </c>
      <c r="D1324" s="3" t="s">
        <v>2658</v>
      </c>
      <c r="E1324" s="3" t="s">
        <v>2659</v>
      </c>
      <c r="F1324" s="5" t="s">
        <v>2655</v>
      </c>
      <c r="G1324" s="4" t="str">
        <f t="shared" si="81"/>
        <v>17th</v>
      </c>
      <c r="H1324" s="4" t="str">
        <f t="shared" si="82"/>
        <v>February</v>
      </c>
      <c r="I1324" s="4" t="str">
        <f t="shared" si="83"/>
        <v>2017</v>
      </c>
      <c r="J1324" s="10" t="s">
        <v>12</v>
      </c>
    </row>
    <row r="1325" spans="1:10" x14ac:dyDescent="0.35">
      <c r="A1325" s="9" t="s">
        <v>1937</v>
      </c>
      <c r="B1325" s="3">
        <v>2</v>
      </c>
      <c r="C1325" s="4" t="str">
        <f t="shared" si="80"/>
        <v>Bad</v>
      </c>
      <c r="D1325" s="3" t="s">
        <v>2660</v>
      </c>
      <c r="E1325" s="3" t="s">
        <v>2661</v>
      </c>
      <c r="F1325" s="5" t="s">
        <v>2655</v>
      </c>
      <c r="G1325" s="4" t="str">
        <f t="shared" si="81"/>
        <v>17th</v>
      </c>
      <c r="H1325" s="4" t="str">
        <f t="shared" si="82"/>
        <v>February</v>
      </c>
      <c r="I1325" s="4" t="str">
        <f t="shared" si="83"/>
        <v>2017</v>
      </c>
      <c r="J1325" s="10" t="s">
        <v>12</v>
      </c>
    </row>
    <row r="1326" spans="1:10" x14ac:dyDescent="0.35">
      <c r="A1326" s="9" t="s">
        <v>1937</v>
      </c>
      <c r="B1326" s="3">
        <v>9</v>
      </c>
      <c r="C1326" s="4" t="str">
        <f t="shared" si="80"/>
        <v>Good</v>
      </c>
      <c r="D1326" s="3" t="s">
        <v>2662</v>
      </c>
      <c r="E1326" s="3" t="s">
        <v>2663</v>
      </c>
      <c r="F1326" s="5" t="s">
        <v>2655</v>
      </c>
      <c r="G1326" s="4" t="str">
        <f t="shared" si="81"/>
        <v>17th</v>
      </c>
      <c r="H1326" s="4" t="str">
        <f t="shared" si="82"/>
        <v>February</v>
      </c>
      <c r="I1326" s="4" t="str">
        <f t="shared" si="83"/>
        <v>2017</v>
      </c>
      <c r="J1326" s="10" t="s">
        <v>9</v>
      </c>
    </row>
    <row r="1327" spans="1:10" x14ac:dyDescent="0.35">
      <c r="A1327" s="9" t="s">
        <v>1937</v>
      </c>
      <c r="B1327" s="3">
        <v>1</v>
      </c>
      <c r="C1327" s="4" t="str">
        <f t="shared" si="80"/>
        <v>Bad</v>
      </c>
      <c r="D1327" s="3" t="s">
        <v>2664</v>
      </c>
      <c r="E1327" s="3" t="s">
        <v>2665</v>
      </c>
      <c r="F1327" s="5" t="s">
        <v>2655</v>
      </c>
      <c r="G1327" s="4" t="str">
        <f t="shared" si="81"/>
        <v>17th</v>
      </c>
      <c r="H1327" s="4" t="str">
        <f t="shared" si="82"/>
        <v>February</v>
      </c>
      <c r="I1327" s="4" t="str">
        <f t="shared" si="83"/>
        <v>2017</v>
      </c>
      <c r="J1327" s="10" t="s">
        <v>12</v>
      </c>
    </row>
    <row r="1328" spans="1:10" x14ac:dyDescent="0.35">
      <c r="A1328" s="9" t="s">
        <v>1937</v>
      </c>
      <c r="B1328" s="3">
        <v>8</v>
      </c>
      <c r="C1328" s="4" t="str">
        <f t="shared" si="80"/>
        <v>Good</v>
      </c>
      <c r="D1328" s="3" t="s">
        <v>2666</v>
      </c>
      <c r="E1328" s="3" t="s">
        <v>2667</v>
      </c>
      <c r="F1328" s="5" t="s">
        <v>2655</v>
      </c>
      <c r="G1328" s="4" t="str">
        <f t="shared" si="81"/>
        <v>17th</v>
      </c>
      <c r="H1328" s="4" t="str">
        <f t="shared" si="82"/>
        <v>February</v>
      </c>
      <c r="I1328" s="4" t="str">
        <f t="shared" si="83"/>
        <v>2017</v>
      </c>
      <c r="J1328" s="10" t="s">
        <v>9</v>
      </c>
    </row>
    <row r="1329" spans="1:10" x14ac:dyDescent="0.35">
      <c r="A1329" s="9" t="s">
        <v>1937</v>
      </c>
      <c r="B1329" s="3">
        <v>1</v>
      </c>
      <c r="C1329" s="4" t="str">
        <f t="shared" si="80"/>
        <v>Bad</v>
      </c>
      <c r="D1329" s="3" t="s">
        <v>2668</v>
      </c>
      <c r="E1329" s="3" t="s">
        <v>2669</v>
      </c>
      <c r="F1329" s="5" t="s">
        <v>2655</v>
      </c>
      <c r="G1329" s="4" t="str">
        <f t="shared" si="81"/>
        <v>17th</v>
      </c>
      <c r="H1329" s="4" t="str">
        <f t="shared" si="82"/>
        <v>February</v>
      </c>
      <c r="I1329" s="4" t="str">
        <f t="shared" si="83"/>
        <v>2017</v>
      </c>
      <c r="J1329" s="10" t="s">
        <v>12</v>
      </c>
    </row>
    <row r="1330" spans="1:10" x14ac:dyDescent="0.35">
      <c r="A1330" s="9" t="s">
        <v>1937</v>
      </c>
      <c r="B1330" s="3">
        <v>9</v>
      </c>
      <c r="C1330" s="4" t="str">
        <f t="shared" si="80"/>
        <v>Good</v>
      </c>
      <c r="D1330" s="3" t="s">
        <v>2670</v>
      </c>
      <c r="E1330" s="3" t="s">
        <v>2592</v>
      </c>
      <c r="F1330" s="5" t="s">
        <v>2655</v>
      </c>
      <c r="G1330" s="4" t="str">
        <f t="shared" si="81"/>
        <v>17th</v>
      </c>
      <c r="H1330" s="4" t="str">
        <f t="shared" si="82"/>
        <v>February</v>
      </c>
      <c r="I1330" s="4" t="str">
        <f t="shared" si="83"/>
        <v>2017</v>
      </c>
      <c r="J1330" s="10" t="s">
        <v>9</v>
      </c>
    </row>
    <row r="1331" spans="1:10" x14ac:dyDescent="0.35">
      <c r="A1331" s="9" t="s">
        <v>1937</v>
      </c>
      <c r="B1331" s="3">
        <v>9</v>
      </c>
      <c r="C1331" s="4" t="str">
        <f t="shared" si="80"/>
        <v>Good</v>
      </c>
      <c r="D1331" s="3" t="s">
        <v>2671</v>
      </c>
      <c r="E1331" s="3" t="s">
        <v>2672</v>
      </c>
      <c r="F1331" s="5" t="s">
        <v>2655</v>
      </c>
      <c r="G1331" s="4" t="str">
        <f t="shared" si="81"/>
        <v>17th</v>
      </c>
      <c r="H1331" s="4" t="str">
        <f t="shared" si="82"/>
        <v>February</v>
      </c>
      <c r="I1331" s="4" t="str">
        <f t="shared" si="83"/>
        <v>2017</v>
      </c>
      <c r="J1331" s="10" t="s">
        <v>9</v>
      </c>
    </row>
    <row r="1332" spans="1:10" x14ac:dyDescent="0.35">
      <c r="A1332" s="9" t="s">
        <v>1937</v>
      </c>
      <c r="B1332" s="3">
        <v>8</v>
      </c>
      <c r="C1332" s="4" t="str">
        <f t="shared" si="80"/>
        <v>Good</v>
      </c>
      <c r="D1332" s="3" t="s">
        <v>2673</v>
      </c>
      <c r="E1332" s="3" t="s">
        <v>2592</v>
      </c>
      <c r="F1332" s="5" t="s">
        <v>2674</v>
      </c>
      <c r="G1332" s="4" t="str">
        <f t="shared" si="81"/>
        <v>17th</v>
      </c>
      <c r="H1332" s="4" t="str">
        <f t="shared" si="82"/>
        <v>November</v>
      </c>
      <c r="I1332" s="4" t="str">
        <f t="shared" si="83"/>
        <v>2016</v>
      </c>
      <c r="J1332" s="10" t="s">
        <v>9</v>
      </c>
    </row>
    <row r="1333" spans="1:10" x14ac:dyDescent="0.35">
      <c r="A1333" s="9" t="s">
        <v>1937</v>
      </c>
      <c r="B1333" s="3">
        <v>5</v>
      </c>
      <c r="C1333" s="4" t="str">
        <f t="shared" si="80"/>
        <v>Neutral</v>
      </c>
      <c r="D1333" s="3" t="s">
        <v>2675</v>
      </c>
      <c r="E1333" s="3" t="s">
        <v>2676</v>
      </c>
      <c r="F1333" s="5" t="s">
        <v>2674</v>
      </c>
      <c r="G1333" s="4" t="str">
        <f t="shared" si="81"/>
        <v>17th</v>
      </c>
      <c r="H1333" s="4" t="str">
        <f t="shared" si="82"/>
        <v>November</v>
      </c>
      <c r="I1333" s="4" t="str">
        <f t="shared" si="83"/>
        <v>2016</v>
      </c>
      <c r="J1333" s="10" t="s">
        <v>9</v>
      </c>
    </row>
    <row r="1334" spans="1:10" x14ac:dyDescent="0.35">
      <c r="A1334" s="9" t="s">
        <v>1937</v>
      </c>
      <c r="B1334" s="3">
        <v>5</v>
      </c>
      <c r="C1334" s="4" t="str">
        <f t="shared" si="80"/>
        <v>Neutral</v>
      </c>
      <c r="D1334" s="3" t="s">
        <v>2677</v>
      </c>
      <c r="E1334" s="3" t="s">
        <v>2678</v>
      </c>
      <c r="F1334" s="5" t="s">
        <v>2674</v>
      </c>
      <c r="G1334" s="4" t="str">
        <f t="shared" si="81"/>
        <v>17th</v>
      </c>
      <c r="H1334" s="4" t="str">
        <f t="shared" si="82"/>
        <v>November</v>
      </c>
      <c r="I1334" s="4" t="str">
        <f t="shared" si="83"/>
        <v>2016</v>
      </c>
      <c r="J1334" s="10" t="s">
        <v>12</v>
      </c>
    </row>
    <row r="1335" spans="1:10" x14ac:dyDescent="0.35">
      <c r="A1335" s="9" t="s">
        <v>1937</v>
      </c>
      <c r="B1335" s="3">
        <v>6</v>
      </c>
      <c r="C1335" s="4" t="str">
        <f t="shared" si="80"/>
        <v>Neutral</v>
      </c>
      <c r="D1335" s="3" t="s">
        <v>2679</v>
      </c>
      <c r="E1335" s="3" t="s">
        <v>2680</v>
      </c>
      <c r="F1335" s="5" t="s">
        <v>2674</v>
      </c>
      <c r="G1335" s="4" t="str">
        <f t="shared" si="81"/>
        <v>17th</v>
      </c>
      <c r="H1335" s="4" t="str">
        <f t="shared" si="82"/>
        <v>November</v>
      </c>
      <c r="I1335" s="4" t="str">
        <f t="shared" si="83"/>
        <v>2016</v>
      </c>
      <c r="J1335" s="10" t="s">
        <v>9</v>
      </c>
    </row>
    <row r="1336" spans="1:10" x14ac:dyDescent="0.35">
      <c r="A1336" s="9" t="s">
        <v>1937</v>
      </c>
      <c r="B1336" s="3">
        <v>9</v>
      </c>
      <c r="C1336" s="4" t="str">
        <f t="shared" si="80"/>
        <v>Good</v>
      </c>
      <c r="D1336" s="3" t="s">
        <v>2681</v>
      </c>
      <c r="E1336" s="3" t="s">
        <v>2682</v>
      </c>
      <c r="F1336" s="5" t="s">
        <v>2674</v>
      </c>
      <c r="G1336" s="4" t="str">
        <f t="shared" si="81"/>
        <v>17th</v>
      </c>
      <c r="H1336" s="4" t="str">
        <f t="shared" si="82"/>
        <v>November</v>
      </c>
      <c r="I1336" s="4" t="str">
        <f t="shared" si="83"/>
        <v>2016</v>
      </c>
      <c r="J1336" s="10" t="s">
        <v>9</v>
      </c>
    </row>
    <row r="1337" spans="1:10" x14ac:dyDescent="0.35">
      <c r="A1337" s="9" t="s">
        <v>1937</v>
      </c>
      <c r="B1337" s="3">
        <v>10</v>
      </c>
      <c r="C1337" s="4" t="str">
        <f t="shared" si="80"/>
        <v>Good</v>
      </c>
      <c r="D1337" s="3" t="s">
        <v>2683</v>
      </c>
      <c r="E1337" s="3" t="s">
        <v>2684</v>
      </c>
      <c r="F1337" s="5" t="s">
        <v>2674</v>
      </c>
      <c r="G1337" s="4" t="str">
        <f t="shared" si="81"/>
        <v>17th</v>
      </c>
      <c r="H1337" s="4" t="str">
        <f t="shared" si="82"/>
        <v>November</v>
      </c>
      <c r="I1337" s="4" t="str">
        <f t="shared" si="83"/>
        <v>2016</v>
      </c>
      <c r="J1337" s="10" t="s">
        <v>9</v>
      </c>
    </row>
    <row r="1338" spans="1:10" x14ac:dyDescent="0.35">
      <c r="A1338" s="9" t="s">
        <v>1937</v>
      </c>
      <c r="B1338" s="3">
        <v>10</v>
      </c>
      <c r="C1338" s="4" t="str">
        <f t="shared" si="80"/>
        <v>Good</v>
      </c>
      <c r="D1338" s="3" t="s">
        <v>2685</v>
      </c>
      <c r="E1338" s="3" t="s">
        <v>2686</v>
      </c>
      <c r="F1338" s="5" t="s">
        <v>2674</v>
      </c>
      <c r="G1338" s="4" t="str">
        <f t="shared" si="81"/>
        <v>17th</v>
      </c>
      <c r="H1338" s="4" t="str">
        <f t="shared" si="82"/>
        <v>November</v>
      </c>
      <c r="I1338" s="4" t="str">
        <f t="shared" si="83"/>
        <v>2016</v>
      </c>
      <c r="J1338" s="10" t="s">
        <v>9</v>
      </c>
    </row>
    <row r="1339" spans="1:10" x14ac:dyDescent="0.35">
      <c r="A1339" s="9" t="s">
        <v>1937</v>
      </c>
      <c r="B1339" s="3">
        <v>10</v>
      </c>
      <c r="C1339" s="4" t="str">
        <f t="shared" si="80"/>
        <v>Good</v>
      </c>
      <c r="D1339" s="3" t="s">
        <v>2687</v>
      </c>
      <c r="E1339" s="3" t="s">
        <v>2688</v>
      </c>
      <c r="F1339" s="5" t="s">
        <v>2674</v>
      </c>
      <c r="G1339" s="4" t="str">
        <f t="shared" si="81"/>
        <v>17th</v>
      </c>
      <c r="H1339" s="4" t="str">
        <f t="shared" si="82"/>
        <v>November</v>
      </c>
      <c r="I1339" s="4" t="str">
        <f t="shared" si="83"/>
        <v>2016</v>
      </c>
      <c r="J1339" s="10" t="s">
        <v>9</v>
      </c>
    </row>
    <row r="1340" spans="1:10" x14ac:dyDescent="0.35">
      <c r="A1340" s="9" t="s">
        <v>1937</v>
      </c>
      <c r="B1340" s="3">
        <v>10</v>
      </c>
      <c r="C1340" s="4" t="str">
        <f t="shared" si="80"/>
        <v>Good</v>
      </c>
      <c r="D1340" s="3" t="s">
        <v>2689</v>
      </c>
      <c r="E1340" s="3" t="s">
        <v>2690</v>
      </c>
      <c r="F1340" s="5" t="s">
        <v>2674</v>
      </c>
      <c r="G1340" s="4" t="str">
        <f t="shared" si="81"/>
        <v>17th</v>
      </c>
      <c r="H1340" s="4" t="str">
        <f t="shared" si="82"/>
        <v>November</v>
      </c>
      <c r="I1340" s="4" t="str">
        <f t="shared" si="83"/>
        <v>2016</v>
      </c>
      <c r="J1340" s="10" t="s">
        <v>9</v>
      </c>
    </row>
    <row r="1341" spans="1:10" x14ac:dyDescent="0.35">
      <c r="A1341" s="9" t="s">
        <v>1937</v>
      </c>
      <c r="B1341" s="3">
        <v>10</v>
      </c>
      <c r="C1341" s="4" t="str">
        <f t="shared" si="80"/>
        <v>Good</v>
      </c>
      <c r="D1341" s="3" t="s">
        <v>2691</v>
      </c>
      <c r="E1341" s="3" t="s">
        <v>2692</v>
      </c>
      <c r="F1341" s="5" t="s">
        <v>2674</v>
      </c>
      <c r="G1341" s="4" t="str">
        <f t="shared" si="81"/>
        <v>17th</v>
      </c>
      <c r="H1341" s="4" t="str">
        <f t="shared" si="82"/>
        <v>November</v>
      </c>
      <c r="I1341" s="4" t="str">
        <f t="shared" si="83"/>
        <v>2016</v>
      </c>
      <c r="J1341" s="10" t="s">
        <v>9</v>
      </c>
    </row>
    <row r="1342" spans="1:10" x14ac:dyDescent="0.35">
      <c r="A1342" s="9" t="s">
        <v>1937</v>
      </c>
      <c r="B1342" s="3">
        <v>10</v>
      </c>
      <c r="C1342" s="4" t="str">
        <f t="shared" si="80"/>
        <v>Good</v>
      </c>
      <c r="D1342" s="3" t="s">
        <v>2693</v>
      </c>
      <c r="E1342" s="3" t="s">
        <v>2694</v>
      </c>
      <c r="F1342" s="5" t="s">
        <v>2695</v>
      </c>
      <c r="G1342" s="4" t="str">
        <f t="shared" si="81"/>
        <v>30th</v>
      </c>
      <c r="H1342" s="4" t="str">
        <f t="shared" si="82"/>
        <v>July</v>
      </c>
      <c r="I1342" s="4" t="str">
        <f t="shared" si="83"/>
        <v>2016</v>
      </c>
      <c r="J1342" s="10" t="s">
        <v>9</v>
      </c>
    </row>
    <row r="1343" spans="1:10" x14ac:dyDescent="0.35">
      <c r="A1343" s="9" t="s">
        <v>1937</v>
      </c>
      <c r="B1343" s="3">
        <v>8</v>
      </c>
      <c r="C1343" s="4" t="str">
        <f t="shared" si="80"/>
        <v>Good</v>
      </c>
      <c r="D1343" s="3" t="s">
        <v>2696</v>
      </c>
      <c r="E1343" s="3" t="s">
        <v>2697</v>
      </c>
      <c r="F1343" s="5" t="s">
        <v>2695</v>
      </c>
      <c r="G1343" s="4" t="str">
        <f t="shared" si="81"/>
        <v>30th</v>
      </c>
      <c r="H1343" s="4" t="str">
        <f t="shared" si="82"/>
        <v>July</v>
      </c>
      <c r="I1343" s="4" t="str">
        <f t="shared" si="83"/>
        <v>2016</v>
      </c>
      <c r="J1343" s="10" t="s">
        <v>9</v>
      </c>
    </row>
    <row r="1344" spans="1:10" x14ac:dyDescent="0.35">
      <c r="A1344" s="9" t="s">
        <v>1937</v>
      </c>
      <c r="B1344" s="3">
        <v>10</v>
      </c>
      <c r="C1344" s="4" t="str">
        <f t="shared" si="80"/>
        <v>Good</v>
      </c>
      <c r="D1344" s="3" t="s">
        <v>2698</v>
      </c>
      <c r="E1344" s="3" t="s">
        <v>2699</v>
      </c>
      <c r="F1344" s="5" t="s">
        <v>2695</v>
      </c>
      <c r="G1344" s="4" t="str">
        <f t="shared" si="81"/>
        <v>30th</v>
      </c>
      <c r="H1344" s="4" t="str">
        <f t="shared" si="82"/>
        <v>July</v>
      </c>
      <c r="I1344" s="4" t="str">
        <f t="shared" si="83"/>
        <v>2016</v>
      </c>
      <c r="J1344" s="10" t="s">
        <v>9</v>
      </c>
    </row>
    <row r="1345" spans="1:10" x14ac:dyDescent="0.35">
      <c r="A1345" s="9" t="s">
        <v>1937</v>
      </c>
      <c r="B1345" s="3">
        <v>1</v>
      </c>
      <c r="C1345" s="4" t="str">
        <f t="shared" si="80"/>
        <v>Bad</v>
      </c>
      <c r="D1345" s="3" t="s">
        <v>2700</v>
      </c>
      <c r="E1345" s="3" t="s">
        <v>2701</v>
      </c>
      <c r="F1345" s="5" t="s">
        <v>2695</v>
      </c>
      <c r="G1345" s="4" t="str">
        <f t="shared" si="81"/>
        <v>30th</v>
      </c>
      <c r="H1345" s="4" t="str">
        <f t="shared" si="82"/>
        <v>July</v>
      </c>
      <c r="I1345" s="4" t="str">
        <f t="shared" si="83"/>
        <v>2016</v>
      </c>
      <c r="J1345" s="10" t="s">
        <v>12</v>
      </c>
    </row>
    <row r="1346" spans="1:10" x14ac:dyDescent="0.35">
      <c r="A1346" s="9" t="s">
        <v>1937</v>
      </c>
      <c r="B1346" s="3">
        <v>4</v>
      </c>
      <c r="C1346" s="4" t="str">
        <f t="shared" si="80"/>
        <v>Bad</v>
      </c>
      <c r="D1346" s="3" t="s">
        <v>2702</v>
      </c>
      <c r="E1346" s="3" t="s">
        <v>2703</v>
      </c>
      <c r="F1346" s="5" t="s">
        <v>2695</v>
      </c>
      <c r="G1346" s="4" t="str">
        <f t="shared" si="81"/>
        <v>30th</v>
      </c>
      <c r="H1346" s="4" t="str">
        <f t="shared" si="82"/>
        <v>July</v>
      </c>
      <c r="I1346" s="4" t="str">
        <f t="shared" si="83"/>
        <v>2016</v>
      </c>
      <c r="J1346" s="10" t="s">
        <v>12</v>
      </c>
    </row>
    <row r="1347" spans="1:10" x14ac:dyDescent="0.35">
      <c r="A1347" s="9" t="s">
        <v>1937</v>
      </c>
      <c r="B1347" s="3">
        <v>9</v>
      </c>
      <c r="C1347" s="4" t="str">
        <f t="shared" ref="C1347:C1410" si="84">IF(B1347&gt;=8,"Good",IF(B1347&gt;=5,"Neutral","Bad"))</f>
        <v>Good</v>
      </c>
      <c r="D1347" s="3" t="s">
        <v>2704</v>
      </c>
      <c r="E1347" s="3" t="s">
        <v>2705</v>
      </c>
      <c r="F1347" s="5" t="s">
        <v>2695</v>
      </c>
      <c r="G1347" s="4" t="str">
        <f t="shared" ref="G1347:G1410" si="85">LEFT(F1347, FIND(" ", F1347)-1)</f>
        <v>30th</v>
      </c>
      <c r="H1347" s="4" t="str">
        <f t="shared" ref="H1347:H1410" si="86">TRIM(MID(F1347, FIND(" ", F1347)+1, FIND(" ", F1347, FIND(" ", F1347)+1) - FIND(" ", F1347)-1))</f>
        <v>July</v>
      </c>
      <c r="I1347" s="4" t="str">
        <f t="shared" ref="I1347:I1410" si="87">RIGHT(F1347, 4)</f>
        <v>2016</v>
      </c>
      <c r="J1347" s="10" t="s">
        <v>9</v>
      </c>
    </row>
    <row r="1348" spans="1:10" x14ac:dyDescent="0.35">
      <c r="A1348" s="9" t="s">
        <v>1937</v>
      </c>
      <c r="B1348" s="3">
        <v>10</v>
      </c>
      <c r="C1348" s="4" t="str">
        <f t="shared" si="84"/>
        <v>Good</v>
      </c>
      <c r="D1348" s="3" t="s">
        <v>2706</v>
      </c>
      <c r="E1348" s="3" t="s">
        <v>2707</v>
      </c>
      <c r="F1348" s="5" t="s">
        <v>2695</v>
      </c>
      <c r="G1348" s="4" t="str">
        <f t="shared" si="85"/>
        <v>30th</v>
      </c>
      <c r="H1348" s="4" t="str">
        <f t="shared" si="86"/>
        <v>July</v>
      </c>
      <c r="I1348" s="4" t="str">
        <f t="shared" si="87"/>
        <v>2016</v>
      </c>
      <c r="J1348" s="10" t="s">
        <v>9</v>
      </c>
    </row>
    <row r="1349" spans="1:10" x14ac:dyDescent="0.35">
      <c r="A1349" s="9" t="s">
        <v>1937</v>
      </c>
      <c r="B1349" s="3">
        <v>5</v>
      </c>
      <c r="C1349" s="4" t="str">
        <f t="shared" si="84"/>
        <v>Neutral</v>
      </c>
      <c r="D1349" s="3" t="s">
        <v>2708</v>
      </c>
      <c r="E1349" s="3" t="s">
        <v>2709</v>
      </c>
      <c r="F1349" s="5" t="s">
        <v>2695</v>
      </c>
      <c r="G1349" s="4" t="str">
        <f t="shared" si="85"/>
        <v>30th</v>
      </c>
      <c r="H1349" s="4" t="str">
        <f t="shared" si="86"/>
        <v>July</v>
      </c>
      <c r="I1349" s="4" t="str">
        <f t="shared" si="87"/>
        <v>2016</v>
      </c>
      <c r="J1349" s="10" t="s">
        <v>9</v>
      </c>
    </row>
    <row r="1350" spans="1:10" x14ac:dyDescent="0.35">
      <c r="A1350" s="9" t="s">
        <v>1937</v>
      </c>
      <c r="B1350" s="3">
        <v>10</v>
      </c>
      <c r="C1350" s="4" t="str">
        <f t="shared" si="84"/>
        <v>Good</v>
      </c>
      <c r="D1350" s="3" t="s">
        <v>2710</v>
      </c>
      <c r="E1350" s="3" t="s">
        <v>2592</v>
      </c>
      <c r="F1350" s="5" t="s">
        <v>2695</v>
      </c>
      <c r="G1350" s="4" t="str">
        <f t="shared" si="85"/>
        <v>30th</v>
      </c>
      <c r="H1350" s="4" t="str">
        <f t="shared" si="86"/>
        <v>July</v>
      </c>
      <c r="I1350" s="4" t="str">
        <f t="shared" si="87"/>
        <v>2016</v>
      </c>
      <c r="J1350" s="10" t="s">
        <v>9</v>
      </c>
    </row>
    <row r="1351" spans="1:10" x14ac:dyDescent="0.35">
      <c r="A1351" s="9" t="s">
        <v>1937</v>
      </c>
      <c r="B1351" s="3">
        <v>8</v>
      </c>
      <c r="C1351" s="4" t="str">
        <f t="shared" si="84"/>
        <v>Good</v>
      </c>
      <c r="D1351" s="3" t="s">
        <v>2711</v>
      </c>
      <c r="E1351" s="3" t="s">
        <v>2712</v>
      </c>
      <c r="F1351" s="5" t="s">
        <v>2695</v>
      </c>
      <c r="G1351" s="4" t="str">
        <f t="shared" si="85"/>
        <v>30th</v>
      </c>
      <c r="H1351" s="4" t="str">
        <f t="shared" si="86"/>
        <v>July</v>
      </c>
      <c r="I1351" s="4" t="str">
        <f t="shared" si="87"/>
        <v>2016</v>
      </c>
      <c r="J1351" s="10" t="s">
        <v>9</v>
      </c>
    </row>
    <row r="1352" spans="1:10" x14ac:dyDescent="0.35">
      <c r="A1352" s="9" t="s">
        <v>1937</v>
      </c>
      <c r="B1352" s="3">
        <v>2</v>
      </c>
      <c r="C1352" s="4" t="str">
        <f t="shared" si="84"/>
        <v>Bad</v>
      </c>
      <c r="D1352" s="3" t="s">
        <v>2713</v>
      </c>
      <c r="E1352" s="3" t="s">
        <v>2714</v>
      </c>
      <c r="F1352" s="5" t="s">
        <v>2715</v>
      </c>
      <c r="G1352" s="4" t="str">
        <f t="shared" si="85"/>
        <v>26th</v>
      </c>
      <c r="H1352" s="4" t="str">
        <f t="shared" si="86"/>
        <v>January</v>
      </c>
      <c r="I1352" s="4" t="str">
        <f t="shared" si="87"/>
        <v>2016</v>
      </c>
      <c r="J1352" s="10" t="s">
        <v>12</v>
      </c>
    </row>
    <row r="1353" spans="1:10" x14ac:dyDescent="0.35">
      <c r="A1353" s="9" t="s">
        <v>1937</v>
      </c>
      <c r="B1353" s="3">
        <v>8</v>
      </c>
      <c r="C1353" s="4" t="str">
        <f t="shared" si="84"/>
        <v>Good</v>
      </c>
      <c r="D1353" s="3" t="s">
        <v>2716</v>
      </c>
      <c r="E1353" s="3" t="s">
        <v>2717</v>
      </c>
      <c r="F1353" s="5" t="s">
        <v>2715</v>
      </c>
      <c r="G1353" s="4" t="str">
        <f t="shared" si="85"/>
        <v>26th</v>
      </c>
      <c r="H1353" s="4" t="str">
        <f t="shared" si="86"/>
        <v>January</v>
      </c>
      <c r="I1353" s="4" t="str">
        <f t="shared" si="87"/>
        <v>2016</v>
      </c>
      <c r="J1353" s="10" t="s">
        <v>9</v>
      </c>
    </row>
    <row r="1354" spans="1:10" x14ac:dyDescent="0.35">
      <c r="A1354" s="9" t="s">
        <v>1937</v>
      </c>
      <c r="B1354" s="3">
        <v>10</v>
      </c>
      <c r="C1354" s="4" t="str">
        <f t="shared" si="84"/>
        <v>Good</v>
      </c>
      <c r="D1354" s="3" t="s">
        <v>2718</v>
      </c>
      <c r="E1354" s="3" t="s">
        <v>2719</v>
      </c>
      <c r="F1354" s="5" t="s">
        <v>2715</v>
      </c>
      <c r="G1354" s="4" t="str">
        <f t="shared" si="85"/>
        <v>26th</v>
      </c>
      <c r="H1354" s="4" t="str">
        <f t="shared" si="86"/>
        <v>January</v>
      </c>
      <c r="I1354" s="4" t="str">
        <f t="shared" si="87"/>
        <v>2016</v>
      </c>
      <c r="J1354" s="10" t="s">
        <v>9</v>
      </c>
    </row>
    <row r="1355" spans="1:10" x14ac:dyDescent="0.35">
      <c r="A1355" s="9" t="s">
        <v>1937</v>
      </c>
      <c r="B1355" s="3">
        <v>3</v>
      </c>
      <c r="C1355" s="4" t="str">
        <f t="shared" si="84"/>
        <v>Bad</v>
      </c>
      <c r="D1355" s="3" t="s">
        <v>2113</v>
      </c>
      <c r="E1355" s="3" t="s">
        <v>2720</v>
      </c>
      <c r="F1355" s="5" t="s">
        <v>2715</v>
      </c>
      <c r="G1355" s="4" t="str">
        <f t="shared" si="85"/>
        <v>26th</v>
      </c>
      <c r="H1355" s="4" t="str">
        <f t="shared" si="86"/>
        <v>January</v>
      </c>
      <c r="I1355" s="4" t="str">
        <f t="shared" si="87"/>
        <v>2016</v>
      </c>
      <c r="J1355" s="10" t="s">
        <v>12</v>
      </c>
    </row>
    <row r="1356" spans="1:10" x14ac:dyDescent="0.35">
      <c r="A1356" s="9" t="s">
        <v>1937</v>
      </c>
      <c r="B1356" s="3">
        <v>10</v>
      </c>
      <c r="C1356" s="4" t="str">
        <f t="shared" si="84"/>
        <v>Good</v>
      </c>
      <c r="D1356" s="3" t="s">
        <v>2721</v>
      </c>
      <c r="E1356" s="3" t="s">
        <v>2722</v>
      </c>
      <c r="F1356" s="5" t="s">
        <v>2715</v>
      </c>
      <c r="G1356" s="4" t="str">
        <f t="shared" si="85"/>
        <v>26th</v>
      </c>
      <c r="H1356" s="4" t="str">
        <f t="shared" si="86"/>
        <v>January</v>
      </c>
      <c r="I1356" s="4" t="str">
        <f t="shared" si="87"/>
        <v>2016</v>
      </c>
      <c r="J1356" s="10" t="s">
        <v>9</v>
      </c>
    </row>
    <row r="1357" spans="1:10" x14ac:dyDescent="0.35">
      <c r="A1357" s="9" t="s">
        <v>1937</v>
      </c>
      <c r="B1357" s="3">
        <v>6</v>
      </c>
      <c r="C1357" s="4" t="str">
        <f t="shared" si="84"/>
        <v>Neutral</v>
      </c>
      <c r="D1357" s="3" t="s">
        <v>2723</v>
      </c>
      <c r="E1357" s="3" t="s">
        <v>2724</v>
      </c>
      <c r="F1357" s="5" t="s">
        <v>2715</v>
      </c>
      <c r="G1357" s="4" t="str">
        <f t="shared" si="85"/>
        <v>26th</v>
      </c>
      <c r="H1357" s="4" t="str">
        <f t="shared" si="86"/>
        <v>January</v>
      </c>
      <c r="I1357" s="4" t="str">
        <f t="shared" si="87"/>
        <v>2016</v>
      </c>
      <c r="J1357" s="10" t="s">
        <v>9</v>
      </c>
    </row>
    <row r="1358" spans="1:10" x14ac:dyDescent="0.35">
      <c r="A1358" s="9" t="s">
        <v>1937</v>
      </c>
      <c r="B1358" s="3">
        <v>5</v>
      </c>
      <c r="C1358" s="4" t="str">
        <f t="shared" si="84"/>
        <v>Neutral</v>
      </c>
      <c r="D1358" s="3" t="s">
        <v>2725</v>
      </c>
      <c r="E1358" s="3" t="s">
        <v>1243</v>
      </c>
      <c r="F1358" s="5" t="s">
        <v>2715</v>
      </c>
      <c r="G1358" s="4" t="str">
        <f t="shared" si="85"/>
        <v>26th</v>
      </c>
      <c r="H1358" s="4" t="str">
        <f t="shared" si="86"/>
        <v>January</v>
      </c>
      <c r="I1358" s="4" t="str">
        <f t="shared" si="87"/>
        <v>2016</v>
      </c>
      <c r="J1358" s="10" t="s">
        <v>12</v>
      </c>
    </row>
    <row r="1359" spans="1:10" x14ac:dyDescent="0.35">
      <c r="A1359" s="9" t="s">
        <v>1937</v>
      </c>
      <c r="B1359" s="3">
        <v>8</v>
      </c>
      <c r="C1359" s="4" t="str">
        <f t="shared" si="84"/>
        <v>Good</v>
      </c>
      <c r="D1359" s="3" t="s">
        <v>2726</v>
      </c>
      <c r="E1359" s="3" t="s">
        <v>2727</v>
      </c>
      <c r="F1359" s="5" t="s">
        <v>2715</v>
      </c>
      <c r="G1359" s="4" t="str">
        <f t="shared" si="85"/>
        <v>26th</v>
      </c>
      <c r="H1359" s="4" t="str">
        <f t="shared" si="86"/>
        <v>January</v>
      </c>
      <c r="I1359" s="4" t="str">
        <f t="shared" si="87"/>
        <v>2016</v>
      </c>
      <c r="J1359" s="10" t="s">
        <v>9</v>
      </c>
    </row>
    <row r="1360" spans="1:10" x14ac:dyDescent="0.35">
      <c r="A1360" s="9" t="s">
        <v>1937</v>
      </c>
      <c r="B1360" s="3">
        <v>8</v>
      </c>
      <c r="C1360" s="4" t="str">
        <f t="shared" si="84"/>
        <v>Good</v>
      </c>
      <c r="D1360" s="3" t="s">
        <v>2728</v>
      </c>
      <c r="E1360" s="3" t="s">
        <v>2729</v>
      </c>
      <c r="F1360" s="5" t="s">
        <v>2715</v>
      </c>
      <c r="G1360" s="4" t="str">
        <f t="shared" si="85"/>
        <v>26th</v>
      </c>
      <c r="H1360" s="4" t="str">
        <f t="shared" si="86"/>
        <v>January</v>
      </c>
      <c r="I1360" s="4" t="str">
        <f t="shared" si="87"/>
        <v>2016</v>
      </c>
      <c r="J1360" s="10" t="s">
        <v>9</v>
      </c>
    </row>
    <row r="1361" spans="1:10" x14ac:dyDescent="0.35">
      <c r="A1361" s="9" t="s">
        <v>1937</v>
      </c>
      <c r="B1361" s="3">
        <v>10</v>
      </c>
      <c r="C1361" s="4" t="str">
        <f t="shared" si="84"/>
        <v>Good</v>
      </c>
      <c r="D1361" s="3" t="s">
        <v>2730</v>
      </c>
      <c r="E1361" s="3" t="s">
        <v>2592</v>
      </c>
      <c r="F1361" s="5" t="s">
        <v>2715</v>
      </c>
      <c r="G1361" s="4" t="str">
        <f t="shared" si="85"/>
        <v>26th</v>
      </c>
      <c r="H1361" s="4" t="str">
        <f t="shared" si="86"/>
        <v>January</v>
      </c>
      <c r="I1361" s="4" t="str">
        <f t="shared" si="87"/>
        <v>2016</v>
      </c>
      <c r="J1361" s="10" t="s">
        <v>9</v>
      </c>
    </row>
    <row r="1362" spans="1:10" x14ac:dyDescent="0.35">
      <c r="A1362" s="9" t="s">
        <v>1937</v>
      </c>
      <c r="B1362" s="3">
        <v>9</v>
      </c>
      <c r="C1362" s="4" t="str">
        <f t="shared" si="84"/>
        <v>Good</v>
      </c>
      <c r="D1362" s="3" t="s">
        <v>2731</v>
      </c>
      <c r="E1362" s="3" t="s">
        <v>2732</v>
      </c>
      <c r="F1362" s="5" t="s">
        <v>2733</v>
      </c>
      <c r="G1362" s="4" t="str">
        <f t="shared" si="85"/>
        <v>28th</v>
      </c>
      <c r="H1362" s="4" t="str">
        <f t="shared" si="86"/>
        <v>November</v>
      </c>
      <c r="I1362" s="4" t="str">
        <f t="shared" si="87"/>
        <v>2015</v>
      </c>
      <c r="J1362" s="10" t="s">
        <v>9</v>
      </c>
    </row>
    <row r="1363" spans="1:10" x14ac:dyDescent="0.35">
      <c r="A1363" s="9" t="s">
        <v>1937</v>
      </c>
      <c r="B1363" s="3">
        <v>10</v>
      </c>
      <c r="C1363" s="4" t="str">
        <f t="shared" si="84"/>
        <v>Good</v>
      </c>
      <c r="D1363" s="3" t="s">
        <v>2734</v>
      </c>
      <c r="E1363" s="3" t="s">
        <v>2735</v>
      </c>
      <c r="F1363" s="5" t="s">
        <v>2733</v>
      </c>
      <c r="G1363" s="4" t="str">
        <f t="shared" si="85"/>
        <v>28th</v>
      </c>
      <c r="H1363" s="4" t="str">
        <f t="shared" si="86"/>
        <v>November</v>
      </c>
      <c r="I1363" s="4" t="str">
        <f t="shared" si="87"/>
        <v>2015</v>
      </c>
      <c r="J1363" s="10" t="s">
        <v>9</v>
      </c>
    </row>
    <row r="1364" spans="1:10" x14ac:dyDescent="0.35">
      <c r="A1364" s="9" t="s">
        <v>1937</v>
      </c>
      <c r="B1364" s="3">
        <v>10</v>
      </c>
      <c r="C1364" s="4" t="str">
        <f t="shared" si="84"/>
        <v>Good</v>
      </c>
      <c r="D1364" s="3" t="s">
        <v>2736</v>
      </c>
      <c r="E1364" s="3" t="s">
        <v>2592</v>
      </c>
      <c r="F1364" s="5" t="s">
        <v>2733</v>
      </c>
      <c r="G1364" s="4" t="str">
        <f t="shared" si="85"/>
        <v>28th</v>
      </c>
      <c r="H1364" s="4" t="str">
        <f t="shared" si="86"/>
        <v>November</v>
      </c>
      <c r="I1364" s="4" t="str">
        <f t="shared" si="87"/>
        <v>2015</v>
      </c>
      <c r="J1364" s="10" t="s">
        <v>9</v>
      </c>
    </row>
    <row r="1365" spans="1:10" x14ac:dyDescent="0.35">
      <c r="A1365" s="9" t="s">
        <v>1937</v>
      </c>
      <c r="B1365" s="3">
        <v>9</v>
      </c>
      <c r="C1365" s="4" t="str">
        <f t="shared" si="84"/>
        <v>Good</v>
      </c>
      <c r="D1365" s="3" t="s">
        <v>2737</v>
      </c>
      <c r="E1365" s="3" t="s">
        <v>2738</v>
      </c>
      <c r="F1365" s="5" t="s">
        <v>2733</v>
      </c>
      <c r="G1365" s="4" t="str">
        <f t="shared" si="85"/>
        <v>28th</v>
      </c>
      <c r="H1365" s="4" t="str">
        <f t="shared" si="86"/>
        <v>November</v>
      </c>
      <c r="I1365" s="4" t="str">
        <f t="shared" si="87"/>
        <v>2015</v>
      </c>
      <c r="J1365" s="10" t="s">
        <v>9</v>
      </c>
    </row>
    <row r="1366" spans="1:10" x14ac:dyDescent="0.35">
      <c r="A1366" s="9" t="s">
        <v>1937</v>
      </c>
      <c r="B1366" s="3">
        <v>9</v>
      </c>
      <c r="C1366" s="4" t="str">
        <f t="shared" si="84"/>
        <v>Good</v>
      </c>
      <c r="D1366" s="3" t="s">
        <v>2739</v>
      </c>
      <c r="E1366" s="3" t="s">
        <v>2740</v>
      </c>
      <c r="F1366" s="5" t="s">
        <v>2733</v>
      </c>
      <c r="G1366" s="4" t="str">
        <f t="shared" si="85"/>
        <v>28th</v>
      </c>
      <c r="H1366" s="4" t="str">
        <f t="shared" si="86"/>
        <v>November</v>
      </c>
      <c r="I1366" s="4" t="str">
        <f t="shared" si="87"/>
        <v>2015</v>
      </c>
      <c r="J1366" s="10" t="s">
        <v>9</v>
      </c>
    </row>
    <row r="1367" spans="1:10" x14ac:dyDescent="0.35">
      <c r="A1367" s="9" t="s">
        <v>1937</v>
      </c>
      <c r="B1367" s="3">
        <v>9</v>
      </c>
      <c r="C1367" s="4" t="str">
        <f t="shared" si="84"/>
        <v>Good</v>
      </c>
      <c r="D1367" s="3" t="s">
        <v>2741</v>
      </c>
      <c r="E1367" s="3" t="s">
        <v>2742</v>
      </c>
      <c r="F1367" s="5" t="s">
        <v>2733</v>
      </c>
      <c r="G1367" s="4" t="str">
        <f t="shared" si="85"/>
        <v>28th</v>
      </c>
      <c r="H1367" s="4" t="str">
        <f t="shared" si="86"/>
        <v>November</v>
      </c>
      <c r="I1367" s="4" t="str">
        <f t="shared" si="87"/>
        <v>2015</v>
      </c>
      <c r="J1367" s="10" t="s">
        <v>9</v>
      </c>
    </row>
    <row r="1368" spans="1:10" x14ac:dyDescent="0.35">
      <c r="A1368" s="9" t="s">
        <v>1937</v>
      </c>
      <c r="B1368" s="3">
        <v>8</v>
      </c>
      <c r="C1368" s="4" t="str">
        <f t="shared" si="84"/>
        <v>Good</v>
      </c>
      <c r="D1368" s="3" t="s">
        <v>2743</v>
      </c>
      <c r="E1368" s="3" t="s">
        <v>2744</v>
      </c>
      <c r="F1368" s="5" t="s">
        <v>2733</v>
      </c>
      <c r="G1368" s="4" t="str">
        <f t="shared" si="85"/>
        <v>28th</v>
      </c>
      <c r="H1368" s="4" t="str">
        <f t="shared" si="86"/>
        <v>November</v>
      </c>
      <c r="I1368" s="4" t="str">
        <f t="shared" si="87"/>
        <v>2015</v>
      </c>
      <c r="J1368" s="10" t="s">
        <v>9</v>
      </c>
    </row>
    <row r="1369" spans="1:10" x14ac:dyDescent="0.35">
      <c r="A1369" s="9" t="s">
        <v>1937</v>
      </c>
      <c r="B1369" s="3">
        <v>3</v>
      </c>
      <c r="C1369" s="4" t="str">
        <f t="shared" si="84"/>
        <v>Bad</v>
      </c>
      <c r="D1369" s="3" t="s">
        <v>2745</v>
      </c>
      <c r="E1369" s="3" t="s">
        <v>2746</v>
      </c>
      <c r="F1369" s="5" t="s">
        <v>2733</v>
      </c>
      <c r="G1369" s="4" t="str">
        <f t="shared" si="85"/>
        <v>28th</v>
      </c>
      <c r="H1369" s="4" t="str">
        <f t="shared" si="86"/>
        <v>November</v>
      </c>
      <c r="I1369" s="4" t="str">
        <f t="shared" si="87"/>
        <v>2015</v>
      </c>
      <c r="J1369" s="10" t="s">
        <v>12</v>
      </c>
    </row>
    <row r="1370" spans="1:10" x14ac:dyDescent="0.35">
      <c r="A1370" s="9" t="s">
        <v>1937</v>
      </c>
      <c r="B1370" s="3">
        <v>6</v>
      </c>
      <c r="C1370" s="4" t="str">
        <f t="shared" si="84"/>
        <v>Neutral</v>
      </c>
      <c r="D1370" s="3" t="s">
        <v>2747</v>
      </c>
      <c r="E1370" s="3" t="s">
        <v>2748</v>
      </c>
      <c r="F1370" s="5" t="s">
        <v>2733</v>
      </c>
      <c r="G1370" s="4" t="str">
        <f t="shared" si="85"/>
        <v>28th</v>
      </c>
      <c r="H1370" s="4" t="str">
        <f t="shared" si="86"/>
        <v>November</v>
      </c>
      <c r="I1370" s="4" t="str">
        <f t="shared" si="87"/>
        <v>2015</v>
      </c>
      <c r="J1370" s="10" t="s">
        <v>9</v>
      </c>
    </row>
    <row r="1371" spans="1:10" x14ac:dyDescent="0.35">
      <c r="A1371" s="9" t="s">
        <v>1937</v>
      </c>
      <c r="B1371" s="3">
        <v>10</v>
      </c>
      <c r="C1371" s="4" t="str">
        <f t="shared" si="84"/>
        <v>Good</v>
      </c>
      <c r="D1371" s="3" t="s">
        <v>2749</v>
      </c>
      <c r="E1371" s="3" t="s">
        <v>2750</v>
      </c>
      <c r="F1371" s="5" t="s">
        <v>2733</v>
      </c>
      <c r="G1371" s="4" t="str">
        <f t="shared" si="85"/>
        <v>28th</v>
      </c>
      <c r="H1371" s="4" t="str">
        <f t="shared" si="86"/>
        <v>November</v>
      </c>
      <c r="I1371" s="4" t="str">
        <f t="shared" si="87"/>
        <v>2015</v>
      </c>
      <c r="J1371" s="10" t="s">
        <v>9</v>
      </c>
    </row>
    <row r="1372" spans="1:10" x14ac:dyDescent="0.35">
      <c r="A1372" s="9" t="s">
        <v>1937</v>
      </c>
      <c r="B1372" s="3">
        <v>8</v>
      </c>
      <c r="C1372" s="4" t="str">
        <f t="shared" si="84"/>
        <v>Good</v>
      </c>
      <c r="D1372" s="3" t="s">
        <v>2021</v>
      </c>
      <c r="E1372" s="3" t="s">
        <v>191</v>
      </c>
      <c r="F1372" s="5" t="s">
        <v>2751</v>
      </c>
      <c r="G1372" s="4" t="str">
        <f t="shared" si="85"/>
        <v>3rd</v>
      </c>
      <c r="H1372" s="4" t="str">
        <f t="shared" si="86"/>
        <v>September</v>
      </c>
      <c r="I1372" s="4" t="str">
        <f t="shared" si="87"/>
        <v>2015</v>
      </c>
      <c r="J1372" s="10" t="s">
        <v>9</v>
      </c>
    </row>
    <row r="1373" spans="1:10" x14ac:dyDescent="0.35">
      <c r="A1373" s="9" t="s">
        <v>1937</v>
      </c>
      <c r="B1373" s="3">
        <v>10</v>
      </c>
      <c r="C1373" s="4" t="str">
        <f t="shared" si="84"/>
        <v>Good</v>
      </c>
      <c r="D1373" s="3" t="s">
        <v>2021</v>
      </c>
      <c r="E1373" s="3" t="s">
        <v>2752</v>
      </c>
      <c r="F1373" s="5" t="s">
        <v>2751</v>
      </c>
      <c r="G1373" s="4" t="str">
        <f t="shared" si="85"/>
        <v>3rd</v>
      </c>
      <c r="H1373" s="4" t="str">
        <f t="shared" si="86"/>
        <v>September</v>
      </c>
      <c r="I1373" s="4" t="str">
        <f t="shared" si="87"/>
        <v>2015</v>
      </c>
      <c r="J1373" s="10" t="s">
        <v>9</v>
      </c>
    </row>
    <row r="1374" spans="1:10" x14ac:dyDescent="0.35">
      <c r="A1374" s="9" t="s">
        <v>1937</v>
      </c>
      <c r="B1374" s="3">
        <v>9</v>
      </c>
      <c r="C1374" s="4" t="str">
        <f t="shared" si="84"/>
        <v>Good</v>
      </c>
      <c r="D1374" s="3" t="s">
        <v>2021</v>
      </c>
      <c r="E1374" s="3" t="s">
        <v>1578</v>
      </c>
      <c r="F1374" s="5" t="s">
        <v>2751</v>
      </c>
      <c r="G1374" s="4" t="str">
        <f t="shared" si="85"/>
        <v>3rd</v>
      </c>
      <c r="H1374" s="4" t="str">
        <f t="shared" si="86"/>
        <v>September</v>
      </c>
      <c r="I1374" s="4" t="str">
        <f t="shared" si="87"/>
        <v>2015</v>
      </c>
      <c r="J1374" s="10" t="s">
        <v>9</v>
      </c>
    </row>
    <row r="1375" spans="1:10" x14ac:dyDescent="0.35">
      <c r="A1375" s="9" t="s">
        <v>1937</v>
      </c>
      <c r="B1375" s="3">
        <v>5</v>
      </c>
      <c r="C1375" s="4" t="str">
        <f t="shared" si="84"/>
        <v>Neutral</v>
      </c>
      <c r="D1375" s="3" t="s">
        <v>2021</v>
      </c>
      <c r="E1375" s="3" t="s">
        <v>2753</v>
      </c>
      <c r="F1375" s="5" t="s">
        <v>2751</v>
      </c>
      <c r="G1375" s="4" t="str">
        <f t="shared" si="85"/>
        <v>3rd</v>
      </c>
      <c r="H1375" s="4" t="str">
        <f t="shared" si="86"/>
        <v>September</v>
      </c>
      <c r="I1375" s="4" t="str">
        <f t="shared" si="87"/>
        <v>2015</v>
      </c>
      <c r="J1375" s="10" t="s">
        <v>9</v>
      </c>
    </row>
    <row r="1376" spans="1:10" x14ac:dyDescent="0.35">
      <c r="A1376" s="9" t="s">
        <v>1937</v>
      </c>
      <c r="B1376" s="3">
        <v>8</v>
      </c>
      <c r="C1376" s="4" t="str">
        <f t="shared" si="84"/>
        <v>Good</v>
      </c>
      <c r="D1376" s="3" t="s">
        <v>2021</v>
      </c>
      <c r="E1376" s="3" t="s">
        <v>2754</v>
      </c>
      <c r="F1376" s="5" t="s">
        <v>2751</v>
      </c>
      <c r="G1376" s="4" t="str">
        <f t="shared" si="85"/>
        <v>3rd</v>
      </c>
      <c r="H1376" s="4" t="str">
        <f t="shared" si="86"/>
        <v>September</v>
      </c>
      <c r="I1376" s="4" t="str">
        <f t="shared" si="87"/>
        <v>2015</v>
      </c>
      <c r="J1376" s="10" t="s">
        <v>9</v>
      </c>
    </row>
    <row r="1377" spans="1:10" x14ac:dyDescent="0.35">
      <c r="A1377" s="9" t="s">
        <v>1937</v>
      </c>
      <c r="B1377" s="3">
        <v>5</v>
      </c>
      <c r="C1377" s="4" t="str">
        <f t="shared" si="84"/>
        <v>Neutral</v>
      </c>
      <c r="D1377" s="3" t="s">
        <v>2021</v>
      </c>
      <c r="E1377" s="3" t="s">
        <v>2755</v>
      </c>
      <c r="F1377" s="5" t="s">
        <v>2751</v>
      </c>
      <c r="G1377" s="4" t="str">
        <f t="shared" si="85"/>
        <v>3rd</v>
      </c>
      <c r="H1377" s="4" t="str">
        <f t="shared" si="86"/>
        <v>September</v>
      </c>
      <c r="I1377" s="4" t="str">
        <f t="shared" si="87"/>
        <v>2015</v>
      </c>
      <c r="J1377" s="10" t="s">
        <v>12</v>
      </c>
    </row>
    <row r="1378" spans="1:10" x14ac:dyDescent="0.35">
      <c r="A1378" s="9" t="s">
        <v>1937</v>
      </c>
      <c r="B1378" s="3"/>
      <c r="C1378" s="4" t="str">
        <f t="shared" si="84"/>
        <v>Bad</v>
      </c>
      <c r="D1378" s="3" t="s">
        <v>2021</v>
      </c>
      <c r="E1378" s="3" t="s">
        <v>2756</v>
      </c>
      <c r="F1378" s="5" t="s">
        <v>2751</v>
      </c>
      <c r="G1378" s="4" t="str">
        <f t="shared" si="85"/>
        <v>3rd</v>
      </c>
      <c r="H1378" s="4" t="str">
        <f t="shared" si="86"/>
        <v>September</v>
      </c>
      <c r="I1378" s="4" t="str">
        <f t="shared" si="87"/>
        <v>2015</v>
      </c>
      <c r="J1378" s="10" t="s">
        <v>12</v>
      </c>
    </row>
    <row r="1379" spans="1:10" x14ac:dyDescent="0.35">
      <c r="A1379" s="9" t="s">
        <v>1937</v>
      </c>
      <c r="B1379" s="3">
        <v>3</v>
      </c>
      <c r="C1379" s="4" t="str">
        <f t="shared" si="84"/>
        <v>Bad</v>
      </c>
      <c r="D1379" s="3" t="s">
        <v>2021</v>
      </c>
      <c r="E1379" s="3" t="s">
        <v>2757</v>
      </c>
      <c r="F1379" s="5" t="s">
        <v>2751</v>
      </c>
      <c r="G1379" s="4" t="str">
        <f t="shared" si="85"/>
        <v>3rd</v>
      </c>
      <c r="H1379" s="4" t="str">
        <f t="shared" si="86"/>
        <v>September</v>
      </c>
      <c r="I1379" s="4" t="str">
        <f t="shared" si="87"/>
        <v>2015</v>
      </c>
      <c r="J1379" s="10" t="s">
        <v>12</v>
      </c>
    </row>
    <row r="1380" spans="1:10" x14ac:dyDescent="0.35">
      <c r="A1380" s="9" t="s">
        <v>1937</v>
      </c>
      <c r="B1380" s="3">
        <v>5</v>
      </c>
      <c r="C1380" s="4" t="str">
        <f t="shared" si="84"/>
        <v>Neutral</v>
      </c>
      <c r="D1380" s="3" t="s">
        <v>2021</v>
      </c>
      <c r="E1380" s="3" t="s">
        <v>2758</v>
      </c>
      <c r="F1380" s="5" t="s">
        <v>2751</v>
      </c>
      <c r="G1380" s="4" t="str">
        <f t="shared" si="85"/>
        <v>3rd</v>
      </c>
      <c r="H1380" s="4" t="str">
        <f t="shared" si="86"/>
        <v>September</v>
      </c>
      <c r="I1380" s="4" t="str">
        <f t="shared" si="87"/>
        <v>2015</v>
      </c>
      <c r="J1380" s="10" t="s">
        <v>12</v>
      </c>
    </row>
    <row r="1381" spans="1:10" x14ac:dyDescent="0.35">
      <c r="A1381" s="9" t="s">
        <v>1937</v>
      </c>
      <c r="B1381" s="3">
        <v>6</v>
      </c>
      <c r="C1381" s="4" t="str">
        <f t="shared" si="84"/>
        <v>Neutral</v>
      </c>
      <c r="D1381" s="3" t="s">
        <v>2021</v>
      </c>
      <c r="E1381" s="3" t="s">
        <v>2759</v>
      </c>
      <c r="F1381" s="5" t="s">
        <v>2751</v>
      </c>
      <c r="G1381" s="4" t="str">
        <f t="shared" si="85"/>
        <v>3rd</v>
      </c>
      <c r="H1381" s="4" t="str">
        <f t="shared" si="86"/>
        <v>September</v>
      </c>
      <c r="I1381" s="4" t="str">
        <f t="shared" si="87"/>
        <v>2015</v>
      </c>
      <c r="J1381" s="10" t="s">
        <v>9</v>
      </c>
    </row>
    <row r="1382" spans="1:10" x14ac:dyDescent="0.35">
      <c r="A1382" s="9" t="s">
        <v>1937</v>
      </c>
      <c r="B1382" s="3">
        <v>10</v>
      </c>
      <c r="C1382" s="4" t="str">
        <f t="shared" si="84"/>
        <v>Good</v>
      </c>
      <c r="D1382" s="3" t="s">
        <v>2021</v>
      </c>
      <c r="E1382" s="3" t="s">
        <v>2760</v>
      </c>
      <c r="F1382" s="5" t="s">
        <v>2761</v>
      </c>
      <c r="G1382" s="4" t="str">
        <f t="shared" si="85"/>
        <v>10th</v>
      </c>
      <c r="H1382" s="4" t="str">
        <f t="shared" si="86"/>
        <v>April</v>
      </c>
      <c r="I1382" s="4" t="str">
        <f t="shared" si="87"/>
        <v>2015</v>
      </c>
      <c r="J1382" s="10" t="s">
        <v>9</v>
      </c>
    </row>
    <row r="1383" spans="1:10" x14ac:dyDescent="0.35">
      <c r="A1383" s="9" t="s">
        <v>1937</v>
      </c>
      <c r="B1383" s="3">
        <v>10</v>
      </c>
      <c r="C1383" s="4" t="str">
        <f t="shared" si="84"/>
        <v>Good</v>
      </c>
      <c r="D1383" s="3" t="s">
        <v>2021</v>
      </c>
      <c r="E1383" s="3" t="s">
        <v>2762</v>
      </c>
      <c r="F1383" s="5" t="s">
        <v>2761</v>
      </c>
      <c r="G1383" s="4" t="str">
        <f t="shared" si="85"/>
        <v>10th</v>
      </c>
      <c r="H1383" s="4" t="str">
        <f t="shared" si="86"/>
        <v>April</v>
      </c>
      <c r="I1383" s="4" t="str">
        <f t="shared" si="87"/>
        <v>2015</v>
      </c>
      <c r="J1383" s="10" t="s">
        <v>9</v>
      </c>
    </row>
    <row r="1384" spans="1:10" x14ac:dyDescent="0.35">
      <c r="A1384" s="9" t="s">
        <v>1937</v>
      </c>
      <c r="B1384" s="3">
        <v>10</v>
      </c>
      <c r="C1384" s="4" t="str">
        <f t="shared" si="84"/>
        <v>Good</v>
      </c>
      <c r="D1384" s="3" t="s">
        <v>2021</v>
      </c>
      <c r="E1384" s="3" t="s">
        <v>2763</v>
      </c>
      <c r="F1384" s="5" t="s">
        <v>2761</v>
      </c>
      <c r="G1384" s="4" t="str">
        <f t="shared" si="85"/>
        <v>10th</v>
      </c>
      <c r="H1384" s="4" t="str">
        <f t="shared" si="86"/>
        <v>April</v>
      </c>
      <c r="I1384" s="4" t="str">
        <f t="shared" si="87"/>
        <v>2015</v>
      </c>
      <c r="J1384" s="10" t="s">
        <v>9</v>
      </c>
    </row>
    <row r="1385" spans="1:10" x14ac:dyDescent="0.35">
      <c r="A1385" s="9" t="s">
        <v>1937</v>
      </c>
      <c r="B1385" s="3">
        <v>2</v>
      </c>
      <c r="C1385" s="4" t="str">
        <f t="shared" si="84"/>
        <v>Bad</v>
      </c>
      <c r="D1385" s="3" t="s">
        <v>2021</v>
      </c>
      <c r="E1385" s="3" t="s">
        <v>2764</v>
      </c>
      <c r="F1385" s="5" t="s">
        <v>2761</v>
      </c>
      <c r="G1385" s="4" t="str">
        <f t="shared" si="85"/>
        <v>10th</v>
      </c>
      <c r="H1385" s="4" t="str">
        <f t="shared" si="86"/>
        <v>April</v>
      </c>
      <c r="I1385" s="4" t="str">
        <f t="shared" si="87"/>
        <v>2015</v>
      </c>
      <c r="J1385" s="10" t="s">
        <v>12</v>
      </c>
    </row>
    <row r="1386" spans="1:10" x14ac:dyDescent="0.35">
      <c r="A1386" s="9" t="s">
        <v>1937</v>
      </c>
      <c r="B1386" s="3">
        <v>10</v>
      </c>
      <c r="C1386" s="4" t="str">
        <f t="shared" si="84"/>
        <v>Good</v>
      </c>
      <c r="D1386" s="3" t="s">
        <v>2021</v>
      </c>
      <c r="E1386" s="3" t="s">
        <v>2765</v>
      </c>
      <c r="F1386" s="5" t="s">
        <v>2761</v>
      </c>
      <c r="G1386" s="4" t="str">
        <f t="shared" si="85"/>
        <v>10th</v>
      </c>
      <c r="H1386" s="4" t="str">
        <f t="shared" si="86"/>
        <v>April</v>
      </c>
      <c r="I1386" s="4" t="str">
        <f t="shared" si="87"/>
        <v>2015</v>
      </c>
      <c r="J1386" s="10" t="s">
        <v>9</v>
      </c>
    </row>
    <row r="1387" spans="1:10" x14ac:dyDescent="0.35">
      <c r="A1387" s="9" t="s">
        <v>1937</v>
      </c>
      <c r="B1387" s="3">
        <v>9</v>
      </c>
      <c r="C1387" s="4" t="str">
        <f t="shared" si="84"/>
        <v>Good</v>
      </c>
      <c r="D1387" s="3" t="s">
        <v>2021</v>
      </c>
      <c r="E1387" s="3" t="s">
        <v>2766</v>
      </c>
      <c r="F1387" s="5" t="s">
        <v>2761</v>
      </c>
      <c r="G1387" s="4" t="str">
        <f t="shared" si="85"/>
        <v>10th</v>
      </c>
      <c r="H1387" s="4" t="str">
        <f t="shared" si="86"/>
        <v>April</v>
      </c>
      <c r="I1387" s="4" t="str">
        <f t="shared" si="87"/>
        <v>2015</v>
      </c>
      <c r="J1387" s="10" t="s">
        <v>9</v>
      </c>
    </row>
    <row r="1388" spans="1:10" x14ac:dyDescent="0.35">
      <c r="A1388" s="9" t="s">
        <v>1937</v>
      </c>
      <c r="B1388" s="3">
        <v>8</v>
      </c>
      <c r="C1388" s="4" t="str">
        <f t="shared" si="84"/>
        <v>Good</v>
      </c>
      <c r="D1388" s="3" t="s">
        <v>2021</v>
      </c>
      <c r="E1388" s="3" t="s">
        <v>2767</v>
      </c>
      <c r="F1388" s="5" t="s">
        <v>2761</v>
      </c>
      <c r="G1388" s="4" t="str">
        <f t="shared" si="85"/>
        <v>10th</v>
      </c>
      <c r="H1388" s="4" t="str">
        <f t="shared" si="86"/>
        <v>April</v>
      </c>
      <c r="I1388" s="4" t="str">
        <f t="shared" si="87"/>
        <v>2015</v>
      </c>
      <c r="J1388" s="10" t="s">
        <v>9</v>
      </c>
    </row>
    <row r="1389" spans="1:10" x14ac:dyDescent="0.35">
      <c r="A1389" s="9" t="s">
        <v>1937</v>
      </c>
      <c r="B1389" s="3">
        <v>9</v>
      </c>
      <c r="C1389" s="4" t="str">
        <f t="shared" si="84"/>
        <v>Good</v>
      </c>
      <c r="D1389" s="3" t="s">
        <v>2021</v>
      </c>
      <c r="E1389" s="3" t="s">
        <v>2768</v>
      </c>
      <c r="F1389" s="5" t="s">
        <v>2761</v>
      </c>
      <c r="G1389" s="4" t="str">
        <f t="shared" si="85"/>
        <v>10th</v>
      </c>
      <c r="H1389" s="4" t="str">
        <f t="shared" si="86"/>
        <v>April</v>
      </c>
      <c r="I1389" s="4" t="str">
        <f t="shared" si="87"/>
        <v>2015</v>
      </c>
      <c r="J1389" s="10" t="s">
        <v>9</v>
      </c>
    </row>
    <row r="1390" spans="1:10" x14ac:dyDescent="0.35">
      <c r="A1390" s="9" t="s">
        <v>1937</v>
      </c>
      <c r="B1390" s="3">
        <v>9</v>
      </c>
      <c r="C1390" s="4" t="str">
        <f t="shared" si="84"/>
        <v>Good</v>
      </c>
      <c r="D1390" s="3" t="s">
        <v>2021</v>
      </c>
      <c r="E1390" s="3" t="s">
        <v>2769</v>
      </c>
      <c r="F1390" s="5" t="s">
        <v>2761</v>
      </c>
      <c r="G1390" s="4" t="str">
        <f t="shared" si="85"/>
        <v>10th</v>
      </c>
      <c r="H1390" s="4" t="str">
        <f t="shared" si="86"/>
        <v>April</v>
      </c>
      <c r="I1390" s="4" t="str">
        <f t="shared" si="87"/>
        <v>2015</v>
      </c>
      <c r="J1390" s="10" t="s">
        <v>9</v>
      </c>
    </row>
    <row r="1391" spans="1:10" x14ac:dyDescent="0.35">
      <c r="A1391" s="9" t="s">
        <v>1937</v>
      </c>
      <c r="B1391" s="3">
        <v>9</v>
      </c>
      <c r="C1391" s="4" t="str">
        <f t="shared" si="84"/>
        <v>Good</v>
      </c>
      <c r="D1391" s="3" t="s">
        <v>2021</v>
      </c>
      <c r="E1391" s="3" t="s">
        <v>2770</v>
      </c>
      <c r="F1391" s="5" t="s">
        <v>2761</v>
      </c>
      <c r="G1391" s="4" t="str">
        <f t="shared" si="85"/>
        <v>10th</v>
      </c>
      <c r="H1391" s="4" t="str">
        <f t="shared" si="86"/>
        <v>April</v>
      </c>
      <c r="I1391" s="4" t="str">
        <f t="shared" si="87"/>
        <v>2015</v>
      </c>
      <c r="J1391" s="10" t="s">
        <v>9</v>
      </c>
    </row>
    <row r="1392" spans="1:10" x14ac:dyDescent="0.35">
      <c r="A1392" s="9" t="s">
        <v>1937</v>
      </c>
      <c r="B1392" s="3">
        <v>10</v>
      </c>
      <c r="C1392" s="4" t="str">
        <f t="shared" si="84"/>
        <v>Good</v>
      </c>
      <c r="D1392" s="3" t="s">
        <v>2021</v>
      </c>
      <c r="E1392" s="3" t="s">
        <v>2771</v>
      </c>
      <c r="F1392" s="5" t="s">
        <v>2772</v>
      </c>
      <c r="G1392" s="4" t="str">
        <f t="shared" si="85"/>
        <v>1st</v>
      </c>
      <c r="H1392" s="4" t="str">
        <f t="shared" si="86"/>
        <v>December</v>
      </c>
      <c r="I1392" s="4" t="str">
        <f t="shared" si="87"/>
        <v>2014</v>
      </c>
      <c r="J1392" s="10" t="s">
        <v>9</v>
      </c>
    </row>
    <row r="1393" spans="1:10" x14ac:dyDescent="0.35">
      <c r="A1393" s="9" t="s">
        <v>1937</v>
      </c>
      <c r="B1393" s="3">
        <v>8</v>
      </c>
      <c r="C1393" s="4" t="str">
        <f t="shared" si="84"/>
        <v>Good</v>
      </c>
      <c r="D1393" s="3" t="s">
        <v>2021</v>
      </c>
      <c r="E1393" s="3" t="s">
        <v>2773</v>
      </c>
      <c r="F1393" s="5" t="s">
        <v>2772</v>
      </c>
      <c r="G1393" s="4" t="str">
        <f t="shared" si="85"/>
        <v>1st</v>
      </c>
      <c r="H1393" s="4" t="str">
        <f t="shared" si="86"/>
        <v>December</v>
      </c>
      <c r="I1393" s="4" t="str">
        <f t="shared" si="87"/>
        <v>2014</v>
      </c>
      <c r="J1393" s="10" t="s">
        <v>9</v>
      </c>
    </row>
    <row r="1394" spans="1:10" x14ac:dyDescent="0.35">
      <c r="A1394" s="9" t="s">
        <v>1937</v>
      </c>
      <c r="B1394" s="3">
        <v>9</v>
      </c>
      <c r="C1394" s="4" t="str">
        <f t="shared" si="84"/>
        <v>Good</v>
      </c>
      <c r="D1394" s="3" t="s">
        <v>2021</v>
      </c>
      <c r="E1394" s="3" t="s">
        <v>2774</v>
      </c>
      <c r="F1394" s="5" t="s">
        <v>2772</v>
      </c>
      <c r="G1394" s="4" t="str">
        <f t="shared" si="85"/>
        <v>1st</v>
      </c>
      <c r="H1394" s="4" t="str">
        <f t="shared" si="86"/>
        <v>December</v>
      </c>
      <c r="I1394" s="4" t="str">
        <f t="shared" si="87"/>
        <v>2014</v>
      </c>
      <c r="J1394" s="10" t="s">
        <v>9</v>
      </c>
    </row>
    <row r="1395" spans="1:10" x14ac:dyDescent="0.35">
      <c r="A1395" s="9" t="s">
        <v>1937</v>
      </c>
      <c r="B1395" s="3">
        <v>4</v>
      </c>
      <c r="C1395" s="4" t="str">
        <f t="shared" si="84"/>
        <v>Bad</v>
      </c>
      <c r="D1395" s="3" t="s">
        <v>2021</v>
      </c>
      <c r="E1395" s="3" t="s">
        <v>2775</v>
      </c>
      <c r="F1395" s="5" t="s">
        <v>2772</v>
      </c>
      <c r="G1395" s="4" t="str">
        <f t="shared" si="85"/>
        <v>1st</v>
      </c>
      <c r="H1395" s="4" t="str">
        <f t="shared" si="86"/>
        <v>December</v>
      </c>
      <c r="I1395" s="4" t="str">
        <f t="shared" si="87"/>
        <v>2014</v>
      </c>
      <c r="J1395" s="10" t="s">
        <v>12</v>
      </c>
    </row>
    <row r="1396" spans="1:10" x14ac:dyDescent="0.35">
      <c r="A1396" s="9" t="s">
        <v>1937</v>
      </c>
      <c r="B1396" s="3">
        <v>10</v>
      </c>
      <c r="C1396" s="4" t="str">
        <f t="shared" si="84"/>
        <v>Good</v>
      </c>
      <c r="D1396" s="3" t="s">
        <v>2021</v>
      </c>
      <c r="E1396" s="3" t="s">
        <v>2776</v>
      </c>
      <c r="F1396" s="5" t="s">
        <v>2772</v>
      </c>
      <c r="G1396" s="4" t="str">
        <f t="shared" si="85"/>
        <v>1st</v>
      </c>
      <c r="H1396" s="4" t="str">
        <f t="shared" si="86"/>
        <v>December</v>
      </c>
      <c r="I1396" s="4" t="str">
        <f t="shared" si="87"/>
        <v>2014</v>
      </c>
      <c r="J1396" s="10" t="s">
        <v>9</v>
      </c>
    </row>
    <row r="1397" spans="1:10" x14ac:dyDescent="0.35">
      <c r="A1397" s="9" t="s">
        <v>1937</v>
      </c>
      <c r="B1397" s="3">
        <v>1</v>
      </c>
      <c r="C1397" s="4" t="str">
        <f t="shared" si="84"/>
        <v>Bad</v>
      </c>
      <c r="D1397" s="3" t="s">
        <v>2021</v>
      </c>
      <c r="E1397" s="3" t="s">
        <v>2777</v>
      </c>
      <c r="F1397" s="5" t="s">
        <v>2772</v>
      </c>
      <c r="G1397" s="4" t="str">
        <f t="shared" si="85"/>
        <v>1st</v>
      </c>
      <c r="H1397" s="4" t="str">
        <f t="shared" si="86"/>
        <v>December</v>
      </c>
      <c r="I1397" s="4" t="str">
        <f t="shared" si="87"/>
        <v>2014</v>
      </c>
      <c r="J1397" s="10" t="s">
        <v>12</v>
      </c>
    </row>
    <row r="1398" spans="1:10" x14ac:dyDescent="0.35">
      <c r="A1398" s="9" t="s">
        <v>1937</v>
      </c>
      <c r="B1398" s="3">
        <v>10</v>
      </c>
      <c r="C1398" s="4" t="str">
        <f t="shared" si="84"/>
        <v>Good</v>
      </c>
      <c r="D1398" s="3" t="s">
        <v>2021</v>
      </c>
      <c r="E1398" s="3" t="s">
        <v>2778</v>
      </c>
      <c r="F1398" s="5" t="s">
        <v>2772</v>
      </c>
      <c r="G1398" s="4" t="str">
        <f t="shared" si="85"/>
        <v>1st</v>
      </c>
      <c r="H1398" s="4" t="str">
        <f t="shared" si="86"/>
        <v>December</v>
      </c>
      <c r="I1398" s="4" t="str">
        <f t="shared" si="87"/>
        <v>2014</v>
      </c>
      <c r="J1398" s="10" t="s">
        <v>9</v>
      </c>
    </row>
    <row r="1399" spans="1:10" x14ac:dyDescent="0.35">
      <c r="A1399" s="9" t="s">
        <v>1937</v>
      </c>
      <c r="B1399" s="3">
        <v>10</v>
      </c>
      <c r="C1399" s="4" t="str">
        <f t="shared" si="84"/>
        <v>Good</v>
      </c>
      <c r="D1399" s="3" t="s">
        <v>2021</v>
      </c>
      <c r="E1399" s="3" t="s">
        <v>2779</v>
      </c>
      <c r="F1399" s="5" t="s">
        <v>2772</v>
      </c>
      <c r="G1399" s="4" t="str">
        <f t="shared" si="85"/>
        <v>1st</v>
      </c>
      <c r="H1399" s="4" t="str">
        <f t="shared" si="86"/>
        <v>December</v>
      </c>
      <c r="I1399" s="4" t="str">
        <f t="shared" si="87"/>
        <v>2014</v>
      </c>
      <c r="J1399" s="10" t="s">
        <v>9</v>
      </c>
    </row>
    <row r="1400" spans="1:10" x14ac:dyDescent="0.35">
      <c r="A1400" s="9" t="s">
        <v>1937</v>
      </c>
      <c r="B1400" s="3">
        <v>8</v>
      </c>
      <c r="C1400" s="4" t="str">
        <f t="shared" si="84"/>
        <v>Good</v>
      </c>
      <c r="D1400" s="3" t="s">
        <v>2021</v>
      </c>
      <c r="E1400" s="3" t="s">
        <v>2780</v>
      </c>
      <c r="F1400" s="5" t="s">
        <v>2772</v>
      </c>
      <c r="G1400" s="4" t="str">
        <f t="shared" si="85"/>
        <v>1st</v>
      </c>
      <c r="H1400" s="4" t="str">
        <f t="shared" si="86"/>
        <v>December</v>
      </c>
      <c r="I1400" s="4" t="str">
        <f t="shared" si="87"/>
        <v>2014</v>
      </c>
      <c r="J1400" s="10" t="s">
        <v>9</v>
      </c>
    </row>
    <row r="1401" spans="1:10" x14ac:dyDescent="0.35">
      <c r="A1401" s="9" t="s">
        <v>1937</v>
      </c>
      <c r="B1401" s="3">
        <v>9</v>
      </c>
      <c r="C1401" s="4" t="str">
        <f t="shared" si="84"/>
        <v>Good</v>
      </c>
      <c r="D1401" s="3" t="s">
        <v>2021</v>
      </c>
      <c r="E1401" s="3" t="s">
        <v>2781</v>
      </c>
      <c r="F1401" s="5" t="s">
        <v>2772</v>
      </c>
      <c r="G1401" s="4" t="str">
        <f t="shared" si="85"/>
        <v>1st</v>
      </c>
      <c r="H1401" s="4" t="str">
        <f t="shared" si="86"/>
        <v>December</v>
      </c>
      <c r="I1401" s="4" t="str">
        <f t="shared" si="87"/>
        <v>2014</v>
      </c>
      <c r="J1401" s="10" t="s">
        <v>9</v>
      </c>
    </row>
    <row r="1402" spans="1:10" x14ac:dyDescent="0.35">
      <c r="A1402" s="9" t="s">
        <v>1937</v>
      </c>
      <c r="B1402" s="3">
        <v>8</v>
      </c>
      <c r="C1402" s="4" t="str">
        <f t="shared" si="84"/>
        <v>Good</v>
      </c>
      <c r="D1402" s="3" t="s">
        <v>2021</v>
      </c>
      <c r="E1402" s="3" t="s">
        <v>2782</v>
      </c>
      <c r="F1402" s="5" t="s">
        <v>2783</v>
      </c>
      <c r="G1402" s="4" t="str">
        <f t="shared" si="85"/>
        <v>22nd</v>
      </c>
      <c r="H1402" s="4" t="str">
        <f t="shared" si="86"/>
        <v>July</v>
      </c>
      <c r="I1402" s="4" t="str">
        <f t="shared" si="87"/>
        <v>2014</v>
      </c>
      <c r="J1402" s="10" t="s">
        <v>9</v>
      </c>
    </row>
    <row r="1403" spans="1:10" x14ac:dyDescent="0.35">
      <c r="A1403" s="9" t="s">
        <v>1937</v>
      </c>
      <c r="B1403" s="3">
        <v>9</v>
      </c>
      <c r="C1403" s="4" t="str">
        <f t="shared" si="84"/>
        <v>Good</v>
      </c>
      <c r="D1403" s="3" t="s">
        <v>2021</v>
      </c>
      <c r="E1403" s="3" t="s">
        <v>2784</v>
      </c>
      <c r="F1403" s="5" t="s">
        <v>2783</v>
      </c>
      <c r="G1403" s="4" t="str">
        <f t="shared" si="85"/>
        <v>22nd</v>
      </c>
      <c r="H1403" s="4" t="str">
        <f t="shared" si="86"/>
        <v>July</v>
      </c>
      <c r="I1403" s="4" t="str">
        <f t="shared" si="87"/>
        <v>2014</v>
      </c>
      <c r="J1403" s="10" t="s">
        <v>9</v>
      </c>
    </row>
    <row r="1404" spans="1:10" x14ac:dyDescent="0.35">
      <c r="A1404" s="9" t="s">
        <v>1937</v>
      </c>
      <c r="B1404" s="3">
        <v>10</v>
      </c>
      <c r="C1404" s="4" t="str">
        <f t="shared" si="84"/>
        <v>Good</v>
      </c>
      <c r="D1404" s="3" t="s">
        <v>2021</v>
      </c>
      <c r="E1404" s="3" t="s">
        <v>2785</v>
      </c>
      <c r="F1404" s="5" t="s">
        <v>2783</v>
      </c>
      <c r="G1404" s="4" t="str">
        <f t="shared" si="85"/>
        <v>22nd</v>
      </c>
      <c r="H1404" s="4" t="str">
        <f t="shared" si="86"/>
        <v>July</v>
      </c>
      <c r="I1404" s="4" t="str">
        <f t="shared" si="87"/>
        <v>2014</v>
      </c>
      <c r="J1404" s="10" t="s">
        <v>9</v>
      </c>
    </row>
    <row r="1405" spans="1:10" x14ac:dyDescent="0.35">
      <c r="A1405" s="9" t="s">
        <v>1937</v>
      </c>
      <c r="B1405" s="3">
        <v>10</v>
      </c>
      <c r="C1405" s="4" t="str">
        <f t="shared" si="84"/>
        <v>Good</v>
      </c>
      <c r="D1405" s="3" t="s">
        <v>2021</v>
      </c>
      <c r="E1405" s="3" t="s">
        <v>2786</v>
      </c>
      <c r="F1405" s="5" t="s">
        <v>2783</v>
      </c>
      <c r="G1405" s="4" t="str">
        <f t="shared" si="85"/>
        <v>22nd</v>
      </c>
      <c r="H1405" s="4" t="str">
        <f t="shared" si="86"/>
        <v>July</v>
      </c>
      <c r="I1405" s="4" t="str">
        <f t="shared" si="87"/>
        <v>2014</v>
      </c>
      <c r="J1405" s="10" t="s">
        <v>9</v>
      </c>
    </row>
    <row r="1406" spans="1:10" x14ac:dyDescent="0.35">
      <c r="A1406" s="9" t="s">
        <v>1937</v>
      </c>
      <c r="B1406" s="3"/>
      <c r="C1406" s="4" t="str">
        <f t="shared" si="84"/>
        <v>Bad</v>
      </c>
      <c r="D1406" s="3" t="s">
        <v>2021</v>
      </c>
      <c r="E1406" s="3" t="s">
        <v>2787</v>
      </c>
      <c r="F1406" s="5" t="s">
        <v>2783</v>
      </c>
      <c r="G1406" s="4" t="str">
        <f t="shared" si="85"/>
        <v>22nd</v>
      </c>
      <c r="H1406" s="4" t="str">
        <f t="shared" si="86"/>
        <v>July</v>
      </c>
      <c r="I1406" s="4" t="str">
        <f t="shared" si="87"/>
        <v>2014</v>
      </c>
      <c r="J1406" s="10" t="s">
        <v>12</v>
      </c>
    </row>
    <row r="1407" spans="1:10" x14ac:dyDescent="0.35">
      <c r="A1407" s="9" t="s">
        <v>1937</v>
      </c>
      <c r="B1407" s="3">
        <v>8</v>
      </c>
      <c r="C1407" s="4" t="str">
        <f t="shared" si="84"/>
        <v>Good</v>
      </c>
      <c r="D1407" s="3" t="s">
        <v>2021</v>
      </c>
      <c r="E1407" s="3" t="s">
        <v>2788</v>
      </c>
      <c r="F1407" s="5" t="s">
        <v>2783</v>
      </c>
      <c r="G1407" s="4" t="str">
        <f t="shared" si="85"/>
        <v>22nd</v>
      </c>
      <c r="H1407" s="4" t="str">
        <f t="shared" si="86"/>
        <v>July</v>
      </c>
      <c r="I1407" s="4" t="str">
        <f t="shared" si="87"/>
        <v>2014</v>
      </c>
      <c r="J1407" s="10" t="s">
        <v>9</v>
      </c>
    </row>
    <row r="1408" spans="1:10" x14ac:dyDescent="0.35">
      <c r="A1408" s="9" t="s">
        <v>1937</v>
      </c>
      <c r="B1408" s="3">
        <v>10</v>
      </c>
      <c r="C1408" s="4" t="str">
        <f t="shared" si="84"/>
        <v>Good</v>
      </c>
      <c r="D1408" s="3" t="s">
        <v>2021</v>
      </c>
      <c r="E1408" s="3" t="s">
        <v>2789</v>
      </c>
      <c r="F1408" s="5" t="s">
        <v>2783</v>
      </c>
      <c r="G1408" s="4" t="str">
        <f t="shared" si="85"/>
        <v>22nd</v>
      </c>
      <c r="H1408" s="4" t="str">
        <f t="shared" si="86"/>
        <v>July</v>
      </c>
      <c r="I1408" s="4" t="str">
        <f t="shared" si="87"/>
        <v>2014</v>
      </c>
      <c r="J1408" s="10" t="s">
        <v>9</v>
      </c>
    </row>
    <row r="1409" spans="1:10" x14ac:dyDescent="0.35">
      <c r="A1409" s="9" t="s">
        <v>1937</v>
      </c>
      <c r="B1409" s="3">
        <v>1</v>
      </c>
      <c r="C1409" s="4" t="str">
        <f t="shared" si="84"/>
        <v>Bad</v>
      </c>
      <c r="D1409" s="3" t="s">
        <v>2021</v>
      </c>
      <c r="E1409" s="3" t="s">
        <v>2790</v>
      </c>
      <c r="F1409" s="5" t="s">
        <v>2783</v>
      </c>
      <c r="G1409" s="4" t="str">
        <f t="shared" si="85"/>
        <v>22nd</v>
      </c>
      <c r="H1409" s="4" t="str">
        <f t="shared" si="86"/>
        <v>July</v>
      </c>
      <c r="I1409" s="4" t="str">
        <f t="shared" si="87"/>
        <v>2014</v>
      </c>
      <c r="J1409" s="10" t="s">
        <v>12</v>
      </c>
    </row>
    <row r="1410" spans="1:10" x14ac:dyDescent="0.35">
      <c r="A1410" s="9" t="s">
        <v>1937</v>
      </c>
      <c r="B1410" s="3">
        <v>3</v>
      </c>
      <c r="C1410" s="4" t="str">
        <f t="shared" si="84"/>
        <v>Bad</v>
      </c>
      <c r="D1410" s="3" t="s">
        <v>2021</v>
      </c>
      <c r="E1410" s="3" t="s">
        <v>2791</v>
      </c>
      <c r="F1410" s="5" t="s">
        <v>2783</v>
      </c>
      <c r="G1410" s="4" t="str">
        <f t="shared" si="85"/>
        <v>22nd</v>
      </c>
      <c r="H1410" s="4" t="str">
        <f t="shared" si="86"/>
        <v>July</v>
      </c>
      <c r="I1410" s="4" t="str">
        <f t="shared" si="87"/>
        <v>2014</v>
      </c>
      <c r="J1410" s="10" t="s">
        <v>12</v>
      </c>
    </row>
    <row r="1411" spans="1:10" x14ac:dyDescent="0.35">
      <c r="A1411" s="9" t="s">
        <v>1937</v>
      </c>
      <c r="B1411" s="3">
        <v>10</v>
      </c>
      <c r="C1411" s="4" t="str">
        <f t="shared" ref="C1411:C1474" si="88">IF(B1411&gt;=8,"Good",IF(B1411&gt;=5,"Neutral","Bad"))</f>
        <v>Good</v>
      </c>
      <c r="D1411" s="3" t="s">
        <v>2021</v>
      </c>
      <c r="E1411" s="3" t="s">
        <v>2792</v>
      </c>
      <c r="F1411" s="5" t="s">
        <v>2783</v>
      </c>
      <c r="G1411" s="4" t="str">
        <f t="shared" ref="G1411:G1474" si="89">LEFT(F1411, FIND(" ", F1411)-1)</f>
        <v>22nd</v>
      </c>
      <c r="H1411" s="4" t="str">
        <f t="shared" ref="H1411:H1474" si="90">TRIM(MID(F1411, FIND(" ", F1411)+1, FIND(" ", F1411, FIND(" ", F1411)+1) - FIND(" ", F1411)-1))</f>
        <v>July</v>
      </c>
      <c r="I1411" s="4" t="str">
        <f t="shared" ref="I1411:I1474" si="91">RIGHT(F1411, 4)</f>
        <v>2014</v>
      </c>
      <c r="J1411" s="10" t="s">
        <v>9</v>
      </c>
    </row>
    <row r="1412" spans="1:10" x14ac:dyDescent="0.35">
      <c r="A1412" s="9" t="s">
        <v>1937</v>
      </c>
      <c r="B1412" s="3">
        <v>8</v>
      </c>
      <c r="C1412" s="4" t="str">
        <f t="shared" si="88"/>
        <v>Good</v>
      </c>
      <c r="D1412" s="3" t="s">
        <v>2021</v>
      </c>
      <c r="E1412" s="3" t="s">
        <v>2793</v>
      </c>
      <c r="F1412" s="5" t="s">
        <v>2794</v>
      </c>
      <c r="G1412" s="4" t="str">
        <f t="shared" si="89"/>
        <v>13th</v>
      </c>
      <c r="H1412" s="4" t="str">
        <f t="shared" si="90"/>
        <v>January</v>
      </c>
      <c r="I1412" s="4" t="str">
        <f t="shared" si="91"/>
        <v>2014</v>
      </c>
      <c r="J1412" s="10" t="s">
        <v>9</v>
      </c>
    </row>
    <row r="1413" spans="1:10" x14ac:dyDescent="0.35">
      <c r="A1413" s="9" t="s">
        <v>1937</v>
      </c>
      <c r="B1413" s="3">
        <v>3</v>
      </c>
      <c r="C1413" s="4" t="str">
        <f t="shared" si="88"/>
        <v>Bad</v>
      </c>
      <c r="D1413" s="3" t="s">
        <v>2021</v>
      </c>
      <c r="E1413" s="3" t="s">
        <v>2795</v>
      </c>
      <c r="F1413" s="5" t="s">
        <v>2794</v>
      </c>
      <c r="G1413" s="4" t="str">
        <f t="shared" si="89"/>
        <v>13th</v>
      </c>
      <c r="H1413" s="4" t="str">
        <f t="shared" si="90"/>
        <v>January</v>
      </c>
      <c r="I1413" s="4" t="str">
        <f t="shared" si="91"/>
        <v>2014</v>
      </c>
      <c r="J1413" s="10" t="s">
        <v>12</v>
      </c>
    </row>
    <row r="1414" spans="1:10" x14ac:dyDescent="0.35">
      <c r="A1414" s="9" t="s">
        <v>1937</v>
      </c>
      <c r="B1414" s="3">
        <v>9</v>
      </c>
      <c r="C1414" s="4" t="str">
        <f t="shared" si="88"/>
        <v>Good</v>
      </c>
      <c r="D1414" s="3" t="s">
        <v>2021</v>
      </c>
      <c r="E1414" s="3" t="s">
        <v>2769</v>
      </c>
      <c r="F1414" s="5" t="s">
        <v>2794</v>
      </c>
      <c r="G1414" s="4" t="str">
        <f t="shared" si="89"/>
        <v>13th</v>
      </c>
      <c r="H1414" s="4" t="str">
        <f t="shared" si="90"/>
        <v>January</v>
      </c>
      <c r="I1414" s="4" t="str">
        <f t="shared" si="91"/>
        <v>2014</v>
      </c>
      <c r="J1414" s="10" t="s">
        <v>9</v>
      </c>
    </row>
    <row r="1415" spans="1:10" x14ac:dyDescent="0.35">
      <c r="A1415" s="9" t="s">
        <v>1937</v>
      </c>
      <c r="B1415" s="3">
        <v>9</v>
      </c>
      <c r="C1415" s="4" t="str">
        <f t="shared" si="88"/>
        <v>Good</v>
      </c>
      <c r="D1415" s="3" t="s">
        <v>2021</v>
      </c>
      <c r="E1415" s="3" t="s">
        <v>2796</v>
      </c>
      <c r="F1415" s="5" t="s">
        <v>2794</v>
      </c>
      <c r="G1415" s="4" t="str">
        <f t="shared" si="89"/>
        <v>13th</v>
      </c>
      <c r="H1415" s="4" t="str">
        <f t="shared" si="90"/>
        <v>January</v>
      </c>
      <c r="I1415" s="4" t="str">
        <f t="shared" si="91"/>
        <v>2014</v>
      </c>
      <c r="J1415" s="10" t="s">
        <v>9</v>
      </c>
    </row>
    <row r="1416" spans="1:10" x14ac:dyDescent="0.35">
      <c r="A1416" s="9" t="s">
        <v>1937</v>
      </c>
      <c r="B1416" s="3">
        <v>5</v>
      </c>
      <c r="C1416" s="4" t="str">
        <f t="shared" si="88"/>
        <v>Neutral</v>
      </c>
      <c r="D1416" s="3" t="s">
        <v>2021</v>
      </c>
      <c r="E1416" s="3" t="s">
        <v>2797</v>
      </c>
      <c r="F1416" s="5" t="s">
        <v>2794</v>
      </c>
      <c r="G1416" s="4" t="str">
        <f t="shared" si="89"/>
        <v>13th</v>
      </c>
      <c r="H1416" s="4" t="str">
        <f t="shared" si="90"/>
        <v>January</v>
      </c>
      <c r="I1416" s="4" t="str">
        <f t="shared" si="91"/>
        <v>2014</v>
      </c>
      <c r="J1416" s="10" t="s">
        <v>12</v>
      </c>
    </row>
    <row r="1417" spans="1:10" x14ac:dyDescent="0.35">
      <c r="A1417" s="9" t="s">
        <v>1937</v>
      </c>
      <c r="B1417" s="3">
        <v>8</v>
      </c>
      <c r="C1417" s="4" t="str">
        <f t="shared" si="88"/>
        <v>Good</v>
      </c>
      <c r="D1417" s="3" t="s">
        <v>2021</v>
      </c>
      <c r="E1417" s="3" t="s">
        <v>2798</v>
      </c>
      <c r="F1417" s="5" t="s">
        <v>2794</v>
      </c>
      <c r="G1417" s="4" t="str">
        <f t="shared" si="89"/>
        <v>13th</v>
      </c>
      <c r="H1417" s="4" t="str">
        <f t="shared" si="90"/>
        <v>January</v>
      </c>
      <c r="I1417" s="4" t="str">
        <f t="shared" si="91"/>
        <v>2014</v>
      </c>
      <c r="J1417" s="10" t="s">
        <v>9</v>
      </c>
    </row>
    <row r="1418" spans="1:10" x14ac:dyDescent="0.35">
      <c r="A1418" s="9" t="s">
        <v>1937</v>
      </c>
      <c r="B1418" s="3">
        <v>10</v>
      </c>
      <c r="C1418" s="4" t="str">
        <f t="shared" si="88"/>
        <v>Good</v>
      </c>
      <c r="D1418" s="3" t="s">
        <v>2021</v>
      </c>
      <c r="E1418" s="3" t="s">
        <v>2799</v>
      </c>
      <c r="F1418" s="5" t="s">
        <v>2794</v>
      </c>
      <c r="G1418" s="4" t="str">
        <f t="shared" si="89"/>
        <v>13th</v>
      </c>
      <c r="H1418" s="4" t="str">
        <f t="shared" si="90"/>
        <v>January</v>
      </c>
      <c r="I1418" s="4" t="str">
        <f t="shared" si="91"/>
        <v>2014</v>
      </c>
      <c r="J1418" s="10" t="s">
        <v>9</v>
      </c>
    </row>
    <row r="1419" spans="1:10" x14ac:dyDescent="0.35">
      <c r="A1419" s="9" t="s">
        <v>1937</v>
      </c>
      <c r="B1419" s="3">
        <v>10</v>
      </c>
      <c r="C1419" s="4" t="str">
        <f t="shared" si="88"/>
        <v>Good</v>
      </c>
      <c r="D1419" s="3" t="s">
        <v>2021</v>
      </c>
      <c r="E1419" s="3" t="s">
        <v>2800</v>
      </c>
      <c r="F1419" s="5" t="s">
        <v>2794</v>
      </c>
      <c r="G1419" s="4" t="str">
        <f t="shared" si="89"/>
        <v>13th</v>
      </c>
      <c r="H1419" s="4" t="str">
        <f t="shared" si="90"/>
        <v>January</v>
      </c>
      <c r="I1419" s="4" t="str">
        <f t="shared" si="91"/>
        <v>2014</v>
      </c>
      <c r="J1419" s="10" t="s">
        <v>9</v>
      </c>
    </row>
    <row r="1420" spans="1:10" x14ac:dyDescent="0.35">
      <c r="A1420" s="9" t="s">
        <v>1937</v>
      </c>
      <c r="B1420" s="3">
        <v>9</v>
      </c>
      <c r="C1420" s="4" t="str">
        <f t="shared" si="88"/>
        <v>Good</v>
      </c>
      <c r="D1420" s="3" t="s">
        <v>2021</v>
      </c>
      <c r="E1420" s="3" t="s">
        <v>2801</v>
      </c>
      <c r="F1420" s="5" t="s">
        <v>2794</v>
      </c>
      <c r="G1420" s="4" t="str">
        <f t="shared" si="89"/>
        <v>13th</v>
      </c>
      <c r="H1420" s="4" t="str">
        <f t="shared" si="90"/>
        <v>January</v>
      </c>
      <c r="I1420" s="4" t="str">
        <f t="shared" si="91"/>
        <v>2014</v>
      </c>
      <c r="J1420" s="10" t="s">
        <v>9</v>
      </c>
    </row>
    <row r="1421" spans="1:10" x14ac:dyDescent="0.35">
      <c r="A1421" s="9" t="s">
        <v>1937</v>
      </c>
      <c r="B1421" s="3">
        <v>10</v>
      </c>
      <c r="C1421" s="4" t="str">
        <f t="shared" si="88"/>
        <v>Good</v>
      </c>
      <c r="D1421" s="3" t="s">
        <v>2021</v>
      </c>
      <c r="E1421" s="3" t="s">
        <v>2785</v>
      </c>
      <c r="F1421" s="5" t="s">
        <v>2794</v>
      </c>
      <c r="G1421" s="4" t="str">
        <f t="shared" si="89"/>
        <v>13th</v>
      </c>
      <c r="H1421" s="4" t="str">
        <f t="shared" si="90"/>
        <v>January</v>
      </c>
      <c r="I1421" s="4" t="str">
        <f t="shared" si="91"/>
        <v>2014</v>
      </c>
      <c r="J1421" s="10" t="s">
        <v>9</v>
      </c>
    </row>
    <row r="1422" spans="1:10" x14ac:dyDescent="0.35">
      <c r="A1422" s="9" t="s">
        <v>1937</v>
      </c>
      <c r="B1422" s="3">
        <v>8</v>
      </c>
      <c r="C1422" s="4" t="str">
        <f t="shared" si="88"/>
        <v>Good</v>
      </c>
      <c r="D1422" s="3" t="s">
        <v>2021</v>
      </c>
      <c r="E1422" s="3" t="s">
        <v>2802</v>
      </c>
      <c r="F1422" s="5" t="s">
        <v>2803</v>
      </c>
      <c r="G1422" s="4" t="str">
        <f t="shared" si="89"/>
        <v>7th</v>
      </c>
      <c r="H1422" s="4" t="str">
        <f t="shared" si="90"/>
        <v>October</v>
      </c>
      <c r="I1422" s="4" t="str">
        <f t="shared" si="91"/>
        <v>2013</v>
      </c>
      <c r="J1422" s="10" t="s">
        <v>9</v>
      </c>
    </row>
    <row r="1423" spans="1:10" x14ac:dyDescent="0.35">
      <c r="A1423" s="9" t="s">
        <v>1937</v>
      </c>
      <c r="B1423" s="3">
        <v>8</v>
      </c>
      <c r="C1423" s="4" t="str">
        <f t="shared" si="88"/>
        <v>Good</v>
      </c>
      <c r="D1423" s="3" t="s">
        <v>2021</v>
      </c>
      <c r="E1423" s="3" t="s">
        <v>2804</v>
      </c>
      <c r="F1423" s="5" t="s">
        <v>2803</v>
      </c>
      <c r="G1423" s="4" t="str">
        <f t="shared" si="89"/>
        <v>7th</v>
      </c>
      <c r="H1423" s="4" t="str">
        <f t="shared" si="90"/>
        <v>October</v>
      </c>
      <c r="I1423" s="4" t="str">
        <f t="shared" si="91"/>
        <v>2013</v>
      </c>
      <c r="J1423" s="10" t="s">
        <v>9</v>
      </c>
    </row>
    <row r="1424" spans="1:10" x14ac:dyDescent="0.35">
      <c r="A1424" s="9" t="s">
        <v>1937</v>
      </c>
      <c r="B1424" s="3">
        <v>7</v>
      </c>
      <c r="C1424" s="4" t="str">
        <f t="shared" si="88"/>
        <v>Neutral</v>
      </c>
      <c r="D1424" s="3" t="s">
        <v>2021</v>
      </c>
      <c r="E1424" s="3" t="s">
        <v>2805</v>
      </c>
      <c r="F1424" s="5" t="s">
        <v>2803</v>
      </c>
      <c r="G1424" s="4" t="str">
        <f t="shared" si="89"/>
        <v>7th</v>
      </c>
      <c r="H1424" s="4" t="str">
        <f t="shared" si="90"/>
        <v>October</v>
      </c>
      <c r="I1424" s="4" t="str">
        <f t="shared" si="91"/>
        <v>2013</v>
      </c>
      <c r="J1424" s="10" t="s">
        <v>9</v>
      </c>
    </row>
    <row r="1425" spans="1:10" x14ac:dyDescent="0.35">
      <c r="A1425" s="9" t="s">
        <v>1937</v>
      </c>
      <c r="B1425" s="3">
        <v>10</v>
      </c>
      <c r="C1425" s="4" t="str">
        <f t="shared" si="88"/>
        <v>Good</v>
      </c>
      <c r="D1425" s="3" t="s">
        <v>2021</v>
      </c>
      <c r="E1425" s="3" t="s">
        <v>2806</v>
      </c>
      <c r="F1425" s="5" t="s">
        <v>2803</v>
      </c>
      <c r="G1425" s="4" t="str">
        <f t="shared" si="89"/>
        <v>7th</v>
      </c>
      <c r="H1425" s="4" t="str">
        <f t="shared" si="90"/>
        <v>October</v>
      </c>
      <c r="I1425" s="4" t="str">
        <f t="shared" si="91"/>
        <v>2013</v>
      </c>
      <c r="J1425" s="10" t="s">
        <v>9</v>
      </c>
    </row>
    <row r="1426" spans="1:10" x14ac:dyDescent="0.35">
      <c r="A1426" s="9" t="s">
        <v>1937</v>
      </c>
      <c r="B1426" s="3">
        <v>10</v>
      </c>
      <c r="C1426" s="4" t="str">
        <f t="shared" si="88"/>
        <v>Good</v>
      </c>
      <c r="D1426" s="3" t="s">
        <v>2021</v>
      </c>
      <c r="E1426" s="3" t="s">
        <v>2807</v>
      </c>
      <c r="F1426" s="5" t="s">
        <v>2803</v>
      </c>
      <c r="G1426" s="4" t="str">
        <f t="shared" si="89"/>
        <v>7th</v>
      </c>
      <c r="H1426" s="4" t="str">
        <f t="shared" si="90"/>
        <v>October</v>
      </c>
      <c r="I1426" s="4" t="str">
        <f t="shared" si="91"/>
        <v>2013</v>
      </c>
      <c r="J1426" s="10" t="s">
        <v>9</v>
      </c>
    </row>
    <row r="1427" spans="1:10" x14ac:dyDescent="0.35">
      <c r="A1427" s="9" t="s">
        <v>1937</v>
      </c>
      <c r="B1427" s="3">
        <v>10</v>
      </c>
      <c r="C1427" s="4" t="str">
        <f t="shared" si="88"/>
        <v>Good</v>
      </c>
      <c r="D1427" s="3" t="s">
        <v>2021</v>
      </c>
      <c r="E1427" s="3" t="s">
        <v>2808</v>
      </c>
      <c r="F1427" s="5" t="s">
        <v>2803</v>
      </c>
      <c r="G1427" s="4" t="str">
        <f t="shared" si="89"/>
        <v>7th</v>
      </c>
      <c r="H1427" s="4" t="str">
        <f t="shared" si="90"/>
        <v>October</v>
      </c>
      <c r="I1427" s="4" t="str">
        <f t="shared" si="91"/>
        <v>2013</v>
      </c>
      <c r="J1427" s="10" t="s">
        <v>9</v>
      </c>
    </row>
    <row r="1428" spans="1:10" x14ac:dyDescent="0.35">
      <c r="A1428" s="9" t="s">
        <v>1937</v>
      </c>
      <c r="B1428" s="3">
        <v>10</v>
      </c>
      <c r="C1428" s="4" t="str">
        <f t="shared" si="88"/>
        <v>Good</v>
      </c>
      <c r="D1428" s="3" t="s">
        <v>2021</v>
      </c>
      <c r="E1428" s="3" t="s">
        <v>2809</v>
      </c>
      <c r="F1428" s="5" t="s">
        <v>2803</v>
      </c>
      <c r="G1428" s="4" t="str">
        <f t="shared" si="89"/>
        <v>7th</v>
      </c>
      <c r="H1428" s="4" t="str">
        <f t="shared" si="90"/>
        <v>October</v>
      </c>
      <c r="I1428" s="4" t="str">
        <f t="shared" si="91"/>
        <v>2013</v>
      </c>
      <c r="J1428" s="10" t="s">
        <v>9</v>
      </c>
    </row>
    <row r="1429" spans="1:10" x14ac:dyDescent="0.35">
      <c r="A1429" s="9" t="s">
        <v>1937</v>
      </c>
      <c r="B1429" s="3">
        <v>9</v>
      </c>
      <c r="C1429" s="4" t="str">
        <f t="shared" si="88"/>
        <v>Good</v>
      </c>
      <c r="D1429" s="3" t="s">
        <v>2021</v>
      </c>
      <c r="E1429" s="3" t="s">
        <v>191</v>
      </c>
      <c r="F1429" s="5" t="s">
        <v>2803</v>
      </c>
      <c r="G1429" s="4" t="str">
        <f t="shared" si="89"/>
        <v>7th</v>
      </c>
      <c r="H1429" s="4" t="str">
        <f t="shared" si="90"/>
        <v>October</v>
      </c>
      <c r="I1429" s="4" t="str">
        <f t="shared" si="91"/>
        <v>2013</v>
      </c>
      <c r="J1429" s="10" t="s">
        <v>9</v>
      </c>
    </row>
    <row r="1430" spans="1:10" x14ac:dyDescent="0.35">
      <c r="A1430" s="9" t="s">
        <v>1937</v>
      </c>
      <c r="B1430" s="3">
        <v>9</v>
      </c>
      <c r="C1430" s="4" t="str">
        <f t="shared" si="88"/>
        <v>Good</v>
      </c>
      <c r="D1430" s="3" t="s">
        <v>2021</v>
      </c>
      <c r="E1430" s="3" t="s">
        <v>2810</v>
      </c>
      <c r="F1430" s="5" t="s">
        <v>2803</v>
      </c>
      <c r="G1430" s="4" t="str">
        <f t="shared" si="89"/>
        <v>7th</v>
      </c>
      <c r="H1430" s="4" t="str">
        <f t="shared" si="90"/>
        <v>October</v>
      </c>
      <c r="I1430" s="4" t="str">
        <f t="shared" si="91"/>
        <v>2013</v>
      </c>
      <c r="J1430" s="10" t="s">
        <v>9</v>
      </c>
    </row>
    <row r="1431" spans="1:10" x14ac:dyDescent="0.35">
      <c r="A1431" s="9" t="s">
        <v>1937</v>
      </c>
      <c r="B1431" s="3"/>
      <c r="C1431" s="4" t="str">
        <f t="shared" si="88"/>
        <v>Bad</v>
      </c>
      <c r="D1431" s="3" t="s">
        <v>2021</v>
      </c>
      <c r="E1431" s="3" t="s">
        <v>2811</v>
      </c>
      <c r="F1431" s="5" t="s">
        <v>2803</v>
      </c>
      <c r="G1431" s="4" t="str">
        <f t="shared" si="89"/>
        <v>7th</v>
      </c>
      <c r="H1431" s="4" t="str">
        <f t="shared" si="90"/>
        <v>October</v>
      </c>
      <c r="I1431" s="4" t="str">
        <f t="shared" si="91"/>
        <v>2013</v>
      </c>
      <c r="J1431" s="10" t="s">
        <v>12</v>
      </c>
    </row>
    <row r="1432" spans="1:10" x14ac:dyDescent="0.35">
      <c r="A1432" s="9" t="s">
        <v>1937</v>
      </c>
      <c r="B1432" s="3">
        <v>8</v>
      </c>
      <c r="C1432" s="4" t="str">
        <f t="shared" si="88"/>
        <v>Good</v>
      </c>
      <c r="D1432" s="3" t="s">
        <v>2021</v>
      </c>
      <c r="E1432" s="3" t="s">
        <v>2812</v>
      </c>
      <c r="F1432" s="5" t="s">
        <v>2813</v>
      </c>
      <c r="G1432" s="4" t="str">
        <f t="shared" si="89"/>
        <v>23rd</v>
      </c>
      <c r="H1432" s="4" t="str">
        <f t="shared" si="90"/>
        <v>May</v>
      </c>
      <c r="I1432" s="4" t="str">
        <f t="shared" si="91"/>
        <v>2013</v>
      </c>
      <c r="J1432" s="10" t="s">
        <v>9</v>
      </c>
    </row>
    <row r="1433" spans="1:10" x14ac:dyDescent="0.35">
      <c r="A1433" s="9" t="s">
        <v>1937</v>
      </c>
      <c r="B1433" s="3">
        <v>9</v>
      </c>
      <c r="C1433" s="4" t="str">
        <f t="shared" si="88"/>
        <v>Good</v>
      </c>
      <c r="D1433" s="3" t="s">
        <v>2021</v>
      </c>
      <c r="E1433" s="3" t="s">
        <v>2770</v>
      </c>
      <c r="F1433" s="5" t="s">
        <v>2813</v>
      </c>
      <c r="G1433" s="4" t="str">
        <f t="shared" si="89"/>
        <v>23rd</v>
      </c>
      <c r="H1433" s="4" t="str">
        <f t="shared" si="90"/>
        <v>May</v>
      </c>
      <c r="I1433" s="4" t="str">
        <f t="shared" si="91"/>
        <v>2013</v>
      </c>
      <c r="J1433" s="10" t="s">
        <v>9</v>
      </c>
    </row>
    <row r="1434" spans="1:10" x14ac:dyDescent="0.35">
      <c r="A1434" s="9" t="s">
        <v>1937</v>
      </c>
      <c r="B1434" s="3">
        <v>10</v>
      </c>
      <c r="C1434" s="4" t="str">
        <f t="shared" si="88"/>
        <v>Good</v>
      </c>
      <c r="D1434" s="3" t="s">
        <v>2021</v>
      </c>
      <c r="E1434" s="3" t="s">
        <v>2807</v>
      </c>
      <c r="F1434" s="5" t="s">
        <v>2813</v>
      </c>
      <c r="G1434" s="4" t="str">
        <f t="shared" si="89"/>
        <v>23rd</v>
      </c>
      <c r="H1434" s="4" t="str">
        <f t="shared" si="90"/>
        <v>May</v>
      </c>
      <c r="I1434" s="4" t="str">
        <f t="shared" si="91"/>
        <v>2013</v>
      </c>
      <c r="J1434" s="10" t="s">
        <v>9</v>
      </c>
    </row>
    <row r="1435" spans="1:10" x14ac:dyDescent="0.35">
      <c r="A1435" s="9" t="s">
        <v>1937</v>
      </c>
      <c r="B1435" s="3">
        <v>9</v>
      </c>
      <c r="C1435" s="4" t="str">
        <f t="shared" si="88"/>
        <v>Good</v>
      </c>
      <c r="D1435" s="3" t="s">
        <v>2021</v>
      </c>
      <c r="E1435" s="3" t="s">
        <v>2814</v>
      </c>
      <c r="F1435" s="5" t="s">
        <v>2813</v>
      </c>
      <c r="G1435" s="4" t="str">
        <f t="shared" si="89"/>
        <v>23rd</v>
      </c>
      <c r="H1435" s="4" t="str">
        <f t="shared" si="90"/>
        <v>May</v>
      </c>
      <c r="I1435" s="4" t="str">
        <f t="shared" si="91"/>
        <v>2013</v>
      </c>
      <c r="J1435" s="10" t="s">
        <v>9</v>
      </c>
    </row>
    <row r="1436" spans="1:10" x14ac:dyDescent="0.35">
      <c r="A1436" s="9" t="s">
        <v>1937</v>
      </c>
      <c r="B1436" s="3">
        <v>8</v>
      </c>
      <c r="C1436" s="4" t="str">
        <f t="shared" si="88"/>
        <v>Good</v>
      </c>
      <c r="D1436" s="3" t="s">
        <v>2021</v>
      </c>
      <c r="E1436" s="3" t="s">
        <v>2815</v>
      </c>
      <c r="F1436" s="5" t="s">
        <v>2813</v>
      </c>
      <c r="G1436" s="4" t="str">
        <f t="shared" si="89"/>
        <v>23rd</v>
      </c>
      <c r="H1436" s="4" t="str">
        <f t="shared" si="90"/>
        <v>May</v>
      </c>
      <c r="I1436" s="4" t="str">
        <f t="shared" si="91"/>
        <v>2013</v>
      </c>
      <c r="J1436" s="10" t="s">
        <v>9</v>
      </c>
    </row>
    <row r="1437" spans="1:10" x14ac:dyDescent="0.35">
      <c r="A1437" s="9" t="s">
        <v>1937</v>
      </c>
      <c r="B1437" s="3">
        <v>9</v>
      </c>
      <c r="C1437" s="4" t="str">
        <f t="shared" si="88"/>
        <v>Good</v>
      </c>
      <c r="D1437" s="3" t="s">
        <v>2021</v>
      </c>
      <c r="E1437" s="3" t="s">
        <v>2816</v>
      </c>
      <c r="F1437" s="5" t="s">
        <v>2813</v>
      </c>
      <c r="G1437" s="4" t="str">
        <f t="shared" si="89"/>
        <v>23rd</v>
      </c>
      <c r="H1437" s="4" t="str">
        <f t="shared" si="90"/>
        <v>May</v>
      </c>
      <c r="I1437" s="4" t="str">
        <f t="shared" si="91"/>
        <v>2013</v>
      </c>
      <c r="J1437" s="10" t="s">
        <v>9</v>
      </c>
    </row>
    <row r="1438" spans="1:10" x14ac:dyDescent="0.35">
      <c r="A1438" s="9" t="s">
        <v>1937</v>
      </c>
      <c r="B1438" s="3">
        <v>10</v>
      </c>
      <c r="C1438" s="4" t="str">
        <f t="shared" si="88"/>
        <v>Good</v>
      </c>
      <c r="D1438" s="3" t="s">
        <v>2021</v>
      </c>
      <c r="E1438" s="3" t="s">
        <v>2817</v>
      </c>
      <c r="F1438" s="5" t="s">
        <v>2813</v>
      </c>
      <c r="G1438" s="4" t="str">
        <f t="shared" si="89"/>
        <v>23rd</v>
      </c>
      <c r="H1438" s="4" t="str">
        <f t="shared" si="90"/>
        <v>May</v>
      </c>
      <c r="I1438" s="4" t="str">
        <f t="shared" si="91"/>
        <v>2013</v>
      </c>
      <c r="J1438" s="10" t="s">
        <v>9</v>
      </c>
    </row>
    <row r="1439" spans="1:10" x14ac:dyDescent="0.35">
      <c r="A1439" s="9" t="s">
        <v>1937</v>
      </c>
      <c r="B1439" s="3">
        <v>8</v>
      </c>
      <c r="C1439" s="4" t="str">
        <f t="shared" si="88"/>
        <v>Good</v>
      </c>
      <c r="D1439" s="3" t="s">
        <v>2021</v>
      </c>
      <c r="E1439" s="3" t="s">
        <v>2807</v>
      </c>
      <c r="F1439" s="5" t="s">
        <v>2813</v>
      </c>
      <c r="G1439" s="4" t="str">
        <f t="shared" si="89"/>
        <v>23rd</v>
      </c>
      <c r="H1439" s="4" t="str">
        <f t="shared" si="90"/>
        <v>May</v>
      </c>
      <c r="I1439" s="4" t="str">
        <f t="shared" si="91"/>
        <v>2013</v>
      </c>
      <c r="J1439" s="10" t="s">
        <v>9</v>
      </c>
    </row>
    <row r="1440" spans="1:10" x14ac:dyDescent="0.35">
      <c r="A1440" s="9" t="s">
        <v>1937</v>
      </c>
      <c r="B1440" s="3">
        <v>10</v>
      </c>
      <c r="C1440" s="4" t="str">
        <f t="shared" si="88"/>
        <v>Good</v>
      </c>
      <c r="D1440" s="3" t="s">
        <v>2021</v>
      </c>
      <c r="E1440" s="3" t="s">
        <v>2818</v>
      </c>
      <c r="F1440" s="5" t="s">
        <v>2813</v>
      </c>
      <c r="G1440" s="4" t="str">
        <f t="shared" si="89"/>
        <v>23rd</v>
      </c>
      <c r="H1440" s="4" t="str">
        <f t="shared" si="90"/>
        <v>May</v>
      </c>
      <c r="I1440" s="4" t="str">
        <f t="shared" si="91"/>
        <v>2013</v>
      </c>
      <c r="J1440" s="10" t="s">
        <v>9</v>
      </c>
    </row>
    <row r="1441" spans="1:10" x14ac:dyDescent="0.35">
      <c r="A1441" s="9" t="s">
        <v>1937</v>
      </c>
      <c r="B1441" s="3">
        <v>10</v>
      </c>
      <c r="C1441" s="4" t="str">
        <f t="shared" si="88"/>
        <v>Good</v>
      </c>
      <c r="D1441" s="3" t="s">
        <v>2021</v>
      </c>
      <c r="E1441" s="3" t="s">
        <v>2819</v>
      </c>
      <c r="F1441" s="5" t="s">
        <v>2813</v>
      </c>
      <c r="G1441" s="4" t="str">
        <f t="shared" si="89"/>
        <v>23rd</v>
      </c>
      <c r="H1441" s="4" t="str">
        <f t="shared" si="90"/>
        <v>May</v>
      </c>
      <c r="I1441" s="4" t="str">
        <f t="shared" si="91"/>
        <v>2013</v>
      </c>
      <c r="J1441" s="10" t="s">
        <v>9</v>
      </c>
    </row>
    <row r="1442" spans="1:10" x14ac:dyDescent="0.35">
      <c r="A1442" s="9" t="s">
        <v>1937</v>
      </c>
      <c r="B1442" s="3">
        <v>9</v>
      </c>
      <c r="C1442" s="4" t="str">
        <f t="shared" si="88"/>
        <v>Good</v>
      </c>
      <c r="D1442" s="3" t="s">
        <v>2021</v>
      </c>
      <c r="E1442" s="3" t="s">
        <v>2820</v>
      </c>
      <c r="F1442" s="5" t="s">
        <v>2821</v>
      </c>
      <c r="G1442" s="4" t="str">
        <f t="shared" si="89"/>
        <v>8th</v>
      </c>
      <c r="H1442" s="4" t="str">
        <f t="shared" si="90"/>
        <v>January</v>
      </c>
      <c r="I1442" s="4" t="str">
        <f t="shared" si="91"/>
        <v>2013</v>
      </c>
      <c r="J1442" s="10" t="s">
        <v>9</v>
      </c>
    </row>
    <row r="1443" spans="1:10" x14ac:dyDescent="0.35">
      <c r="A1443" s="9" t="s">
        <v>1937</v>
      </c>
      <c r="B1443" s="3"/>
      <c r="C1443" s="4" t="str">
        <f t="shared" si="88"/>
        <v>Bad</v>
      </c>
      <c r="D1443" s="3" t="s">
        <v>2021</v>
      </c>
      <c r="E1443" s="3" t="s">
        <v>2822</v>
      </c>
      <c r="F1443" s="5" t="s">
        <v>2821</v>
      </c>
      <c r="G1443" s="4" t="str">
        <f t="shared" si="89"/>
        <v>8th</v>
      </c>
      <c r="H1443" s="4" t="str">
        <f t="shared" si="90"/>
        <v>January</v>
      </c>
      <c r="I1443" s="4" t="str">
        <f t="shared" si="91"/>
        <v>2013</v>
      </c>
      <c r="J1443" s="10" t="s">
        <v>12</v>
      </c>
    </row>
    <row r="1444" spans="1:10" x14ac:dyDescent="0.35">
      <c r="A1444" s="9" t="s">
        <v>1937</v>
      </c>
      <c r="B1444" s="3">
        <v>9</v>
      </c>
      <c r="C1444" s="4" t="str">
        <f t="shared" si="88"/>
        <v>Good</v>
      </c>
      <c r="D1444" s="3" t="s">
        <v>2021</v>
      </c>
      <c r="E1444" s="3" t="s">
        <v>191</v>
      </c>
      <c r="F1444" s="5" t="s">
        <v>2821</v>
      </c>
      <c r="G1444" s="4" t="str">
        <f t="shared" si="89"/>
        <v>8th</v>
      </c>
      <c r="H1444" s="4" t="str">
        <f t="shared" si="90"/>
        <v>January</v>
      </c>
      <c r="I1444" s="4" t="str">
        <f t="shared" si="91"/>
        <v>2013</v>
      </c>
      <c r="J1444" s="10" t="s">
        <v>9</v>
      </c>
    </row>
    <row r="1445" spans="1:10" x14ac:dyDescent="0.35">
      <c r="A1445" s="9" t="s">
        <v>1937</v>
      </c>
      <c r="B1445" s="3">
        <v>10</v>
      </c>
      <c r="C1445" s="4" t="str">
        <f t="shared" si="88"/>
        <v>Good</v>
      </c>
      <c r="D1445" s="3" t="s">
        <v>2021</v>
      </c>
      <c r="E1445" s="3" t="s">
        <v>2823</v>
      </c>
      <c r="F1445" s="5" t="s">
        <v>2821</v>
      </c>
      <c r="G1445" s="4" t="str">
        <f t="shared" si="89"/>
        <v>8th</v>
      </c>
      <c r="H1445" s="4" t="str">
        <f t="shared" si="90"/>
        <v>January</v>
      </c>
      <c r="I1445" s="4" t="str">
        <f t="shared" si="91"/>
        <v>2013</v>
      </c>
      <c r="J1445" s="10" t="s">
        <v>9</v>
      </c>
    </row>
    <row r="1446" spans="1:10" x14ac:dyDescent="0.35">
      <c r="A1446" s="9" t="s">
        <v>1937</v>
      </c>
      <c r="B1446" s="3">
        <v>10</v>
      </c>
      <c r="C1446" s="4" t="str">
        <f t="shared" si="88"/>
        <v>Good</v>
      </c>
      <c r="D1446" s="3" t="s">
        <v>2021</v>
      </c>
      <c r="E1446" s="3" t="s">
        <v>100</v>
      </c>
      <c r="F1446" s="5" t="s">
        <v>2821</v>
      </c>
      <c r="G1446" s="4" t="str">
        <f t="shared" si="89"/>
        <v>8th</v>
      </c>
      <c r="H1446" s="4" t="str">
        <f t="shared" si="90"/>
        <v>January</v>
      </c>
      <c r="I1446" s="4" t="str">
        <f t="shared" si="91"/>
        <v>2013</v>
      </c>
      <c r="J1446" s="10" t="s">
        <v>9</v>
      </c>
    </row>
    <row r="1447" spans="1:10" x14ac:dyDescent="0.35">
      <c r="A1447" s="9" t="s">
        <v>1937</v>
      </c>
      <c r="B1447" s="3">
        <v>9</v>
      </c>
      <c r="C1447" s="4" t="str">
        <f t="shared" si="88"/>
        <v>Good</v>
      </c>
      <c r="D1447" s="3" t="s">
        <v>2021</v>
      </c>
      <c r="E1447" s="3" t="s">
        <v>2824</v>
      </c>
      <c r="F1447" s="5" t="s">
        <v>2821</v>
      </c>
      <c r="G1447" s="4" t="str">
        <f t="shared" si="89"/>
        <v>8th</v>
      </c>
      <c r="H1447" s="4" t="str">
        <f t="shared" si="90"/>
        <v>January</v>
      </c>
      <c r="I1447" s="4" t="str">
        <f t="shared" si="91"/>
        <v>2013</v>
      </c>
      <c r="J1447" s="10" t="s">
        <v>9</v>
      </c>
    </row>
    <row r="1448" spans="1:10" x14ac:dyDescent="0.35">
      <c r="A1448" s="9" t="s">
        <v>1937</v>
      </c>
      <c r="B1448" s="3">
        <v>9</v>
      </c>
      <c r="C1448" s="4" t="str">
        <f t="shared" si="88"/>
        <v>Good</v>
      </c>
      <c r="D1448" s="3" t="s">
        <v>2021</v>
      </c>
      <c r="E1448" s="3" t="s">
        <v>191</v>
      </c>
      <c r="F1448" s="5" t="s">
        <v>2821</v>
      </c>
      <c r="G1448" s="4" t="str">
        <f t="shared" si="89"/>
        <v>8th</v>
      </c>
      <c r="H1448" s="4" t="str">
        <f t="shared" si="90"/>
        <v>January</v>
      </c>
      <c r="I1448" s="4" t="str">
        <f t="shared" si="91"/>
        <v>2013</v>
      </c>
      <c r="J1448" s="10" t="s">
        <v>9</v>
      </c>
    </row>
    <row r="1449" spans="1:10" x14ac:dyDescent="0.35">
      <c r="A1449" s="9" t="s">
        <v>1937</v>
      </c>
      <c r="B1449" s="3">
        <v>8</v>
      </c>
      <c r="C1449" s="4" t="str">
        <f t="shared" si="88"/>
        <v>Good</v>
      </c>
      <c r="D1449" s="3" t="s">
        <v>2021</v>
      </c>
      <c r="E1449" s="3" t="s">
        <v>2770</v>
      </c>
      <c r="F1449" s="5" t="s">
        <v>2821</v>
      </c>
      <c r="G1449" s="4" t="str">
        <f t="shared" si="89"/>
        <v>8th</v>
      </c>
      <c r="H1449" s="4" t="str">
        <f t="shared" si="90"/>
        <v>January</v>
      </c>
      <c r="I1449" s="4" t="str">
        <f t="shared" si="91"/>
        <v>2013</v>
      </c>
      <c r="J1449" s="10" t="s">
        <v>9</v>
      </c>
    </row>
    <row r="1450" spans="1:10" x14ac:dyDescent="0.35">
      <c r="A1450" s="9" t="s">
        <v>1937</v>
      </c>
      <c r="B1450" s="3">
        <v>8</v>
      </c>
      <c r="C1450" s="4" t="str">
        <f t="shared" si="88"/>
        <v>Good</v>
      </c>
      <c r="D1450" s="3" t="s">
        <v>2021</v>
      </c>
      <c r="E1450" s="3" t="s">
        <v>2770</v>
      </c>
      <c r="F1450" s="5" t="s">
        <v>2821</v>
      </c>
      <c r="G1450" s="4" t="str">
        <f t="shared" si="89"/>
        <v>8th</v>
      </c>
      <c r="H1450" s="4" t="str">
        <f t="shared" si="90"/>
        <v>January</v>
      </c>
      <c r="I1450" s="4" t="str">
        <f t="shared" si="91"/>
        <v>2013</v>
      </c>
      <c r="J1450" s="10" t="s">
        <v>9</v>
      </c>
    </row>
    <row r="1451" spans="1:10" x14ac:dyDescent="0.35">
      <c r="A1451" s="9" t="s">
        <v>1937</v>
      </c>
      <c r="B1451" s="3">
        <v>7</v>
      </c>
      <c r="C1451" s="4" t="str">
        <f t="shared" si="88"/>
        <v>Neutral</v>
      </c>
      <c r="D1451" s="3" t="s">
        <v>2021</v>
      </c>
      <c r="E1451" s="3" t="s">
        <v>2825</v>
      </c>
      <c r="F1451" s="5" t="s">
        <v>2821</v>
      </c>
      <c r="G1451" s="4" t="str">
        <f t="shared" si="89"/>
        <v>8th</v>
      </c>
      <c r="H1451" s="4" t="str">
        <f t="shared" si="90"/>
        <v>January</v>
      </c>
      <c r="I1451" s="4" t="str">
        <f t="shared" si="91"/>
        <v>2013</v>
      </c>
      <c r="J1451" s="10" t="s">
        <v>9</v>
      </c>
    </row>
    <row r="1452" spans="1:10" x14ac:dyDescent="0.35">
      <c r="A1452" s="9" t="s">
        <v>2826</v>
      </c>
      <c r="B1452" s="3">
        <v>1</v>
      </c>
      <c r="C1452" s="4" t="str">
        <f t="shared" si="88"/>
        <v>Bad</v>
      </c>
      <c r="D1452" s="3" t="s">
        <v>2827</v>
      </c>
      <c r="E1452" s="3" t="s">
        <v>2828</v>
      </c>
      <c r="F1452" s="5" t="s">
        <v>1940</v>
      </c>
      <c r="G1452" s="4" t="str">
        <f t="shared" si="89"/>
        <v>23rd</v>
      </c>
      <c r="H1452" s="4" t="str">
        <f t="shared" si="90"/>
        <v>September</v>
      </c>
      <c r="I1452" s="4" t="str">
        <f t="shared" si="91"/>
        <v>2024</v>
      </c>
      <c r="J1452" s="10" t="s">
        <v>12</v>
      </c>
    </row>
    <row r="1453" spans="1:10" x14ac:dyDescent="0.35">
      <c r="A1453" s="9" t="s">
        <v>2826</v>
      </c>
      <c r="B1453" s="3">
        <v>1</v>
      </c>
      <c r="C1453" s="4" t="str">
        <f t="shared" si="88"/>
        <v>Bad</v>
      </c>
      <c r="D1453" s="3" t="s">
        <v>2829</v>
      </c>
      <c r="E1453" s="3" t="s">
        <v>2830</v>
      </c>
      <c r="F1453" s="5" t="s">
        <v>1940</v>
      </c>
      <c r="G1453" s="4" t="str">
        <f t="shared" si="89"/>
        <v>23rd</v>
      </c>
      <c r="H1453" s="4" t="str">
        <f t="shared" si="90"/>
        <v>September</v>
      </c>
      <c r="I1453" s="4" t="str">
        <f t="shared" si="91"/>
        <v>2024</v>
      </c>
      <c r="J1453" s="10" t="s">
        <v>12</v>
      </c>
    </row>
    <row r="1454" spans="1:10" x14ac:dyDescent="0.35">
      <c r="A1454" s="9" t="s">
        <v>2826</v>
      </c>
      <c r="B1454" s="3">
        <v>2</v>
      </c>
      <c r="C1454" s="4" t="str">
        <f t="shared" si="88"/>
        <v>Bad</v>
      </c>
      <c r="D1454" s="3" t="s">
        <v>2831</v>
      </c>
      <c r="E1454" s="3" t="s">
        <v>2832</v>
      </c>
      <c r="F1454" s="5" t="s">
        <v>1940</v>
      </c>
      <c r="G1454" s="4" t="str">
        <f t="shared" si="89"/>
        <v>23rd</v>
      </c>
      <c r="H1454" s="4" t="str">
        <f t="shared" si="90"/>
        <v>September</v>
      </c>
      <c r="I1454" s="4" t="str">
        <f t="shared" si="91"/>
        <v>2024</v>
      </c>
      <c r="J1454" s="10" t="s">
        <v>12</v>
      </c>
    </row>
    <row r="1455" spans="1:10" x14ac:dyDescent="0.35">
      <c r="A1455" s="9" t="s">
        <v>2826</v>
      </c>
      <c r="B1455" s="3">
        <v>1</v>
      </c>
      <c r="C1455" s="4" t="str">
        <f t="shared" si="88"/>
        <v>Bad</v>
      </c>
      <c r="D1455" s="3" t="s">
        <v>2833</v>
      </c>
      <c r="E1455" s="3" t="s">
        <v>2834</v>
      </c>
      <c r="F1455" s="5" t="s">
        <v>1940</v>
      </c>
      <c r="G1455" s="4" t="str">
        <f t="shared" si="89"/>
        <v>23rd</v>
      </c>
      <c r="H1455" s="4" t="str">
        <f t="shared" si="90"/>
        <v>September</v>
      </c>
      <c r="I1455" s="4" t="str">
        <f t="shared" si="91"/>
        <v>2024</v>
      </c>
      <c r="J1455" s="10" t="s">
        <v>12</v>
      </c>
    </row>
    <row r="1456" spans="1:10" x14ac:dyDescent="0.35">
      <c r="A1456" s="9" t="s">
        <v>2826</v>
      </c>
      <c r="B1456" s="3">
        <v>10</v>
      </c>
      <c r="C1456" s="4" t="str">
        <f t="shared" si="88"/>
        <v>Good</v>
      </c>
      <c r="D1456" s="3" t="s">
        <v>2835</v>
      </c>
      <c r="E1456" s="3" t="s">
        <v>2836</v>
      </c>
      <c r="F1456" s="5" t="s">
        <v>1940</v>
      </c>
      <c r="G1456" s="4" t="str">
        <f t="shared" si="89"/>
        <v>23rd</v>
      </c>
      <c r="H1456" s="4" t="str">
        <f t="shared" si="90"/>
        <v>September</v>
      </c>
      <c r="I1456" s="4" t="str">
        <f t="shared" si="91"/>
        <v>2024</v>
      </c>
      <c r="J1456" s="10" t="s">
        <v>9</v>
      </c>
    </row>
    <row r="1457" spans="1:10" x14ac:dyDescent="0.35">
      <c r="A1457" s="9" t="s">
        <v>2826</v>
      </c>
      <c r="B1457" s="3">
        <v>1</v>
      </c>
      <c r="C1457" s="4" t="str">
        <f t="shared" si="88"/>
        <v>Bad</v>
      </c>
      <c r="D1457" s="3" t="s">
        <v>2837</v>
      </c>
      <c r="E1457" s="3" t="s">
        <v>2838</v>
      </c>
      <c r="F1457" s="5" t="s">
        <v>1940</v>
      </c>
      <c r="G1457" s="4" t="str">
        <f t="shared" si="89"/>
        <v>23rd</v>
      </c>
      <c r="H1457" s="4" t="str">
        <f t="shared" si="90"/>
        <v>September</v>
      </c>
      <c r="I1457" s="4" t="str">
        <f t="shared" si="91"/>
        <v>2024</v>
      </c>
      <c r="J1457" s="10" t="s">
        <v>12</v>
      </c>
    </row>
    <row r="1458" spans="1:10" x14ac:dyDescent="0.35">
      <c r="A1458" s="9" t="s">
        <v>2826</v>
      </c>
      <c r="B1458" s="3">
        <v>1</v>
      </c>
      <c r="C1458" s="4" t="str">
        <f t="shared" si="88"/>
        <v>Bad</v>
      </c>
      <c r="D1458" s="3" t="s">
        <v>2839</v>
      </c>
      <c r="E1458" s="3" t="s">
        <v>2840</v>
      </c>
      <c r="F1458" s="5" t="s">
        <v>1940</v>
      </c>
      <c r="G1458" s="4" t="str">
        <f t="shared" si="89"/>
        <v>23rd</v>
      </c>
      <c r="H1458" s="4" t="str">
        <f t="shared" si="90"/>
        <v>September</v>
      </c>
      <c r="I1458" s="4" t="str">
        <f t="shared" si="91"/>
        <v>2024</v>
      </c>
      <c r="J1458" s="10" t="s">
        <v>12</v>
      </c>
    </row>
    <row r="1459" spans="1:10" x14ac:dyDescent="0.35">
      <c r="A1459" s="9" t="s">
        <v>2826</v>
      </c>
      <c r="B1459" s="3">
        <v>1</v>
      </c>
      <c r="C1459" s="4" t="str">
        <f t="shared" si="88"/>
        <v>Bad</v>
      </c>
      <c r="D1459" s="3" t="s">
        <v>2841</v>
      </c>
      <c r="E1459" s="3" t="s">
        <v>2842</v>
      </c>
      <c r="F1459" s="5" t="s">
        <v>1940</v>
      </c>
      <c r="G1459" s="4" t="str">
        <f t="shared" si="89"/>
        <v>23rd</v>
      </c>
      <c r="H1459" s="4" t="str">
        <f t="shared" si="90"/>
        <v>September</v>
      </c>
      <c r="I1459" s="4" t="str">
        <f t="shared" si="91"/>
        <v>2024</v>
      </c>
      <c r="J1459" s="10" t="s">
        <v>12</v>
      </c>
    </row>
    <row r="1460" spans="1:10" x14ac:dyDescent="0.35">
      <c r="A1460" s="9" t="s">
        <v>2826</v>
      </c>
      <c r="B1460" s="3">
        <v>1</v>
      </c>
      <c r="C1460" s="4" t="str">
        <f t="shared" si="88"/>
        <v>Bad</v>
      </c>
      <c r="D1460" s="3" t="s">
        <v>2843</v>
      </c>
      <c r="E1460" s="3" t="s">
        <v>2844</v>
      </c>
      <c r="F1460" s="5" t="s">
        <v>1940</v>
      </c>
      <c r="G1460" s="4" t="str">
        <f t="shared" si="89"/>
        <v>23rd</v>
      </c>
      <c r="H1460" s="4" t="str">
        <f t="shared" si="90"/>
        <v>September</v>
      </c>
      <c r="I1460" s="4" t="str">
        <f t="shared" si="91"/>
        <v>2024</v>
      </c>
      <c r="J1460" s="10" t="s">
        <v>12</v>
      </c>
    </row>
    <row r="1461" spans="1:10" x14ac:dyDescent="0.35">
      <c r="A1461" s="9" t="s">
        <v>2826</v>
      </c>
      <c r="B1461" s="3">
        <v>1</v>
      </c>
      <c r="C1461" s="4" t="str">
        <f t="shared" si="88"/>
        <v>Bad</v>
      </c>
      <c r="D1461" s="3" t="s">
        <v>1677</v>
      </c>
      <c r="E1461" s="3" t="s">
        <v>2845</v>
      </c>
      <c r="F1461" s="5" t="s">
        <v>1940</v>
      </c>
      <c r="G1461" s="4" t="str">
        <f t="shared" si="89"/>
        <v>23rd</v>
      </c>
      <c r="H1461" s="4" t="str">
        <f t="shared" si="90"/>
        <v>September</v>
      </c>
      <c r="I1461" s="4" t="str">
        <f t="shared" si="91"/>
        <v>2024</v>
      </c>
      <c r="J1461" s="10" t="s">
        <v>12</v>
      </c>
    </row>
    <row r="1462" spans="1:10" x14ac:dyDescent="0.35">
      <c r="A1462" s="9" t="s">
        <v>2826</v>
      </c>
      <c r="B1462" s="3">
        <v>10</v>
      </c>
      <c r="C1462" s="4" t="str">
        <f t="shared" si="88"/>
        <v>Good</v>
      </c>
      <c r="D1462" s="3" t="s">
        <v>2846</v>
      </c>
      <c r="E1462" s="3" t="s">
        <v>2847</v>
      </c>
      <c r="F1462" s="5" t="s">
        <v>1961</v>
      </c>
      <c r="G1462" s="4" t="str">
        <f t="shared" si="89"/>
        <v>10th</v>
      </c>
      <c r="H1462" s="4" t="str">
        <f t="shared" si="90"/>
        <v>August</v>
      </c>
      <c r="I1462" s="4" t="str">
        <f t="shared" si="91"/>
        <v>2024</v>
      </c>
      <c r="J1462" s="10" t="s">
        <v>9</v>
      </c>
    </row>
    <row r="1463" spans="1:10" x14ac:dyDescent="0.35">
      <c r="A1463" s="9" t="s">
        <v>2826</v>
      </c>
      <c r="B1463" s="3">
        <v>2</v>
      </c>
      <c r="C1463" s="4" t="str">
        <f t="shared" si="88"/>
        <v>Bad</v>
      </c>
      <c r="D1463" s="3" t="s">
        <v>2848</v>
      </c>
      <c r="E1463" s="3" t="s">
        <v>2849</v>
      </c>
      <c r="F1463" s="5" t="s">
        <v>1961</v>
      </c>
      <c r="G1463" s="4" t="str">
        <f t="shared" si="89"/>
        <v>10th</v>
      </c>
      <c r="H1463" s="4" t="str">
        <f t="shared" si="90"/>
        <v>August</v>
      </c>
      <c r="I1463" s="4" t="str">
        <f t="shared" si="91"/>
        <v>2024</v>
      </c>
      <c r="J1463" s="10" t="s">
        <v>12</v>
      </c>
    </row>
    <row r="1464" spans="1:10" x14ac:dyDescent="0.35">
      <c r="A1464" s="9" t="s">
        <v>2826</v>
      </c>
      <c r="B1464" s="3">
        <v>10</v>
      </c>
      <c r="C1464" s="4" t="str">
        <f t="shared" si="88"/>
        <v>Good</v>
      </c>
      <c r="D1464" s="3" t="s">
        <v>2850</v>
      </c>
      <c r="E1464" s="3" t="s">
        <v>2851</v>
      </c>
      <c r="F1464" s="5" t="s">
        <v>1961</v>
      </c>
      <c r="G1464" s="4" t="str">
        <f t="shared" si="89"/>
        <v>10th</v>
      </c>
      <c r="H1464" s="4" t="str">
        <f t="shared" si="90"/>
        <v>August</v>
      </c>
      <c r="I1464" s="4" t="str">
        <f t="shared" si="91"/>
        <v>2024</v>
      </c>
      <c r="J1464" s="10" t="s">
        <v>9</v>
      </c>
    </row>
    <row r="1465" spans="1:10" x14ac:dyDescent="0.35">
      <c r="A1465" s="9" t="s">
        <v>2826</v>
      </c>
      <c r="B1465" s="3">
        <v>10</v>
      </c>
      <c r="C1465" s="4" t="str">
        <f t="shared" si="88"/>
        <v>Good</v>
      </c>
      <c r="D1465" s="3" t="s">
        <v>2852</v>
      </c>
      <c r="E1465" s="3" t="s">
        <v>2853</v>
      </c>
      <c r="F1465" s="5" t="s">
        <v>1961</v>
      </c>
      <c r="G1465" s="4" t="str">
        <f t="shared" si="89"/>
        <v>10th</v>
      </c>
      <c r="H1465" s="4" t="str">
        <f t="shared" si="90"/>
        <v>August</v>
      </c>
      <c r="I1465" s="4" t="str">
        <f t="shared" si="91"/>
        <v>2024</v>
      </c>
      <c r="J1465" s="10" t="s">
        <v>9</v>
      </c>
    </row>
    <row r="1466" spans="1:10" x14ac:dyDescent="0.35">
      <c r="A1466" s="9" t="s">
        <v>2826</v>
      </c>
      <c r="B1466" s="3">
        <v>1</v>
      </c>
      <c r="C1466" s="4" t="str">
        <f t="shared" si="88"/>
        <v>Bad</v>
      </c>
      <c r="D1466" s="3" t="s">
        <v>2854</v>
      </c>
      <c r="E1466" s="3" t="s">
        <v>2855</v>
      </c>
      <c r="F1466" s="5" t="s">
        <v>1961</v>
      </c>
      <c r="G1466" s="4" t="str">
        <f t="shared" si="89"/>
        <v>10th</v>
      </c>
      <c r="H1466" s="4" t="str">
        <f t="shared" si="90"/>
        <v>August</v>
      </c>
      <c r="I1466" s="4" t="str">
        <f t="shared" si="91"/>
        <v>2024</v>
      </c>
      <c r="J1466" s="10" t="s">
        <v>12</v>
      </c>
    </row>
    <row r="1467" spans="1:10" x14ac:dyDescent="0.35">
      <c r="A1467" s="9" t="s">
        <v>2826</v>
      </c>
      <c r="B1467" s="3">
        <v>3</v>
      </c>
      <c r="C1467" s="4" t="str">
        <f t="shared" si="88"/>
        <v>Bad</v>
      </c>
      <c r="D1467" s="3" t="s">
        <v>2856</v>
      </c>
      <c r="E1467" s="3" t="s">
        <v>2857</v>
      </c>
      <c r="F1467" s="5" t="s">
        <v>1961</v>
      </c>
      <c r="G1467" s="4" t="str">
        <f t="shared" si="89"/>
        <v>10th</v>
      </c>
      <c r="H1467" s="4" t="str">
        <f t="shared" si="90"/>
        <v>August</v>
      </c>
      <c r="I1467" s="4" t="str">
        <f t="shared" si="91"/>
        <v>2024</v>
      </c>
      <c r="J1467" s="10" t="s">
        <v>12</v>
      </c>
    </row>
    <row r="1468" spans="1:10" x14ac:dyDescent="0.35">
      <c r="A1468" s="9" t="s">
        <v>2826</v>
      </c>
      <c r="B1468" s="3">
        <v>1</v>
      </c>
      <c r="C1468" s="4" t="str">
        <f t="shared" si="88"/>
        <v>Bad</v>
      </c>
      <c r="D1468" s="3" t="s">
        <v>2858</v>
      </c>
      <c r="E1468" s="3" t="s">
        <v>2859</v>
      </c>
      <c r="F1468" s="5" t="s">
        <v>1961</v>
      </c>
      <c r="G1468" s="4" t="str">
        <f t="shared" si="89"/>
        <v>10th</v>
      </c>
      <c r="H1468" s="4" t="str">
        <f t="shared" si="90"/>
        <v>August</v>
      </c>
      <c r="I1468" s="4" t="str">
        <f t="shared" si="91"/>
        <v>2024</v>
      </c>
      <c r="J1468" s="10" t="s">
        <v>12</v>
      </c>
    </row>
    <row r="1469" spans="1:10" x14ac:dyDescent="0.35">
      <c r="A1469" s="9" t="s">
        <v>2826</v>
      </c>
      <c r="B1469" s="3">
        <v>1</v>
      </c>
      <c r="C1469" s="4" t="str">
        <f t="shared" si="88"/>
        <v>Bad</v>
      </c>
      <c r="D1469" s="3" t="s">
        <v>2860</v>
      </c>
      <c r="E1469" s="3" t="s">
        <v>2861</v>
      </c>
      <c r="F1469" s="5" t="s">
        <v>1961</v>
      </c>
      <c r="G1469" s="4" t="str">
        <f t="shared" si="89"/>
        <v>10th</v>
      </c>
      <c r="H1469" s="4" t="str">
        <f t="shared" si="90"/>
        <v>August</v>
      </c>
      <c r="I1469" s="4" t="str">
        <f t="shared" si="91"/>
        <v>2024</v>
      </c>
      <c r="J1469" s="10" t="s">
        <v>12</v>
      </c>
    </row>
    <row r="1470" spans="1:10" x14ac:dyDescent="0.35">
      <c r="A1470" s="9" t="s">
        <v>2826</v>
      </c>
      <c r="B1470" s="3">
        <v>3</v>
      </c>
      <c r="C1470" s="4" t="str">
        <f t="shared" si="88"/>
        <v>Bad</v>
      </c>
      <c r="D1470" s="3" t="s">
        <v>2862</v>
      </c>
      <c r="E1470" s="3" t="s">
        <v>2863</v>
      </c>
      <c r="F1470" s="5" t="s">
        <v>1961</v>
      </c>
      <c r="G1470" s="4" t="str">
        <f t="shared" si="89"/>
        <v>10th</v>
      </c>
      <c r="H1470" s="4" t="str">
        <f t="shared" si="90"/>
        <v>August</v>
      </c>
      <c r="I1470" s="4" t="str">
        <f t="shared" si="91"/>
        <v>2024</v>
      </c>
      <c r="J1470" s="10" t="s">
        <v>12</v>
      </c>
    </row>
    <row r="1471" spans="1:10" x14ac:dyDescent="0.35">
      <c r="A1471" s="9" t="s">
        <v>2826</v>
      </c>
      <c r="B1471" s="3">
        <v>2</v>
      </c>
      <c r="C1471" s="4" t="str">
        <f t="shared" si="88"/>
        <v>Bad</v>
      </c>
      <c r="D1471" s="3" t="s">
        <v>2864</v>
      </c>
      <c r="E1471" s="3" t="s">
        <v>2865</v>
      </c>
      <c r="F1471" s="5" t="s">
        <v>1961</v>
      </c>
      <c r="G1471" s="4" t="str">
        <f t="shared" si="89"/>
        <v>10th</v>
      </c>
      <c r="H1471" s="4" t="str">
        <f t="shared" si="90"/>
        <v>August</v>
      </c>
      <c r="I1471" s="4" t="str">
        <f t="shared" si="91"/>
        <v>2024</v>
      </c>
      <c r="J1471" s="10" t="s">
        <v>12</v>
      </c>
    </row>
    <row r="1472" spans="1:10" x14ac:dyDescent="0.35">
      <c r="A1472" s="9" t="s">
        <v>2826</v>
      </c>
      <c r="B1472" s="3">
        <v>1</v>
      </c>
      <c r="C1472" s="4" t="str">
        <f t="shared" si="88"/>
        <v>Bad</v>
      </c>
      <c r="D1472" s="3" t="s">
        <v>2866</v>
      </c>
      <c r="E1472" s="3" t="s">
        <v>2867</v>
      </c>
      <c r="F1472" s="5" t="s">
        <v>2868</v>
      </c>
      <c r="G1472" s="4" t="str">
        <f t="shared" si="89"/>
        <v>22nd</v>
      </c>
      <c r="H1472" s="4" t="str">
        <f t="shared" si="90"/>
        <v>June</v>
      </c>
      <c r="I1472" s="4" t="str">
        <f t="shared" si="91"/>
        <v>2024</v>
      </c>
      <c r="J1472" s="10" t="s">
        <v>12</v>
      </c>
    </row>
    <row r="1473" spans="1:10" x14ac:dyDescent="0.35">
      <c r="A1473" s="9" t="s">
        <v>2826</v>
      </c>
      <c r="B1473" s="3">
        <v>1</v>
      </c>
      <c r="C1473" s="4" t="str">
        <f t="shared" si="88"/>
        <v>Bad</v>
      </c>
      <c r="D1473" s="3" t="s">
        <v>2869</v>
      </c>
      <c r="E1473" s="3" t="s">
        <v>2870</v>
      </c>
      <c r="F1473" s="5" t="s">
        <v>2868</v>
      </c>
      <c r="G1473" s="4" t="str">
        <f t="shared" si="89"/>
        <v>22nd</v>
      </c>
      <c r="H1473" s="4" t="str">
        <f t="shared" si="90"/>
        <v>June</v>
      </c>
      <c r="I1473" s="4" t="str">
        <f t="shared" si="91"/>
        <v>2024</v>
      </c>
      <c r="J1473" s="10" t="s">
        <v>12</v>
      </c>
    </row>
    <row r="1474" spans="1:10" x14ac:dyDescent="0.35">
      <c r="A1474" s="9" t="s">
        <v>2826</v>
      </c>
      <c r="B1474" s="3">
        <v>1</v>
      </c>
      <c r="C1474" s="4" t="str">
        <f t="shared" si="88"/>
        <v>Bad</v>
      </c>
      <c r="D1474" s="3" t="s">
        <v>2871</v>
      </c>
      <c r="E1474" s="3" t="s">
        <v>2872</v>
      </c>
      <c r="F1474" s="5" t="s">
        <v>2868</v>
      </c>
      <c r="G1474" s="4" t="str">
        <f t="shared" si="89"/>
        <v>22nd</v>
      </c>
      <c r="H1474" s="4" t="str">
        <f t="shared" si="90"/>
        <v>June</v>
      </c>
      <c r="I1474" s="4" t="str">
        <f t="shared" si="91"/>
        <v>2024</v>
      </c>
      <c r="J1474" s="10" t="s">
        <v>12</v>
      </c>
    </row>
    <row r="1475" spans="1:10" x14ac:dyDescent="0.35">
      <c r="A1475" s="9" t="s">
        <v>2826</v>
      </c>
      <c r="B1475" s="3">
        <v>1</v>
      </c>
      <c r="C1475" s="4" t="str">
        <f t="shared" ref="C1475:C1538" si="92">IF(B1475&gt;=8,"Good",IF(B1475&gt;=5,"Neutral","Bad"))</f>
        <v>Bad</v>
      </c>
      <c r="D1475" s="3" t="s">
        <v>2873</v>
      </c>
      <c r="E1475" s="3" t="s">
        <v>2874</v>
      </c>
      <c r="F1475" s="5" t="s">
        <v>2868</v>
      </c>
      <c r="G1475" s="4" t="str">
        <f t="shared" ref="G1475:G1538" si="93">LEFT(F1475, FIND(" ", F1475)-1)</f>
        <v>22nd</v>
      </c>
      <c r="H1475" s="4" t="str">
        <f t="shared" ref="H1475:H1538" si="94">TRIM(MID(F1475, FIND(" ", F1475)+1, FIND(" ", F1475, FIND(" ", F1475)+1) - FIND(" ", F1475)-1))</f>
        <v>June</v>
      </c>
      <c r="I1475" s="4" t="str">
        <f t="shared" ref="I1475:I1538" si="95">RIGHT(F1475, 4)</f>
        <v>2024</v>
      </c>
      <c r="J1475" s="10" t="s">
        <v>12</v>
      </c>
    </row>
    <row r="1476" spans="1:10" x14ac:dyDescent="0.35">
      <c r="A1476" s="9" t="s">
        <v>2826</v>
      </c>
      <c r="B1476" s="3">
        <v>10</v>
      </c>
      <c r="C1476" s="4" t="str">
        <f t="shared" si="92"/>
        <v>Good</v>
      </c>
      <c r="D1476" s="3" t="s">
        <v>2875</v>
      </c>
      <c r="E1476" s="3" t="s">
        <v>2876</v>
      </c>
      <c r="F1476" s="5" t="s">
        <v>2868</v>
      </c>
      <c r="G1476" s="4" t="str">
        <f t="shared" si="93"/>
        <v>22nd</v>
      </c>
      <c r="H1476" s="4" t="str">
        <f t="shared" si="94"/>
        <v>June</v>
      </c>
      <c r="I1476" s="4" t="str">
        <f t="shared" si="95"/>
        <v>2024</v>
      </c>
      <c r="J1476" s="10" t="s">
        <v>9</v>
      </c>
    </row>
    <row r="1477" spans="1:10" x14ac:dyDescent="0.35">
      <c r="A1477" s="9" t="s">
        <v>2826</v>
      </c>
      <c r="B1477" s="3">
        <v>1</v>
      </c>
      <c r="C1477" s="4" t="str">
        <f t="shared" si="92"/>
        <v>Bad</v>
      </c>
      <c r="D1477" s="3" t="s">
        <v>2877</v>
      </c>
      <c r="E1477" s="3" t="s">
        <v>2878</v>
      </c>
      <c r="F1477" s="5" t="s">
        <v>2868</v>
      </c>
      <c r="G1477" s="4" t="str">
        <f t="shared" si="93"/>
        <v>22nd</v>
      </c>
      <c r="H1477" s="4" t="str">
        <f t="shared" si="94"/>
        <v>June</v>
      </c>
      <c r="I1477" s="4" t="str">
        <f t="shared" si="95"/>
        <v>2024</v>
      </c>
      <c r="J1477" s="10" t="s">
        <v>12</v>
      </c>
    </row>
    <row r="1478" spans="1:10" x14ac:dyDescent="0.35">
      <c r="A1478" s="9" t="s">
        <v>2826</v>
      </c>
      <c r="B1478" s="3">
        <v>1</v>
      </c>
      <c r="C1478" s="4" t="str">
        <f t="shared" si="92"/>
        <v>Bad</v>
      </c>
      <c r="D1478" s="3" t="s">
        <v>2879</v>
      </c>
      <c r="E1478" s="3" t="s">
        <v>2880</v>
      </c>
      <c r="F1478" s="5" t="s">
        <v>2868</v>
      </c>
      <c r="G1478" s="4" t="str">
        <f t="shared" si="93"/>
        <v>22nd</v>
      </c>
      <c r="H1478" s="4" t="str">
        <f t="shared" si="94"/>
        <v>June</v>
      </c>
      <c r="I1478" s="4" t="str">
        <f t="shared" si="95"/>
        <v>2024</v>
      </c>
      <c r="J1478" s="10" t="s">
        <v>12</v>
      </c>
    </row>
    <row r="1479" spans="1:10" x14ac:dyDescent="0.35">
      <c r="A1479" s="9" t="s">
        <v>2826</v>
      </c>
      <c r="B1479" s="3">
        <v>1</v>
      </c>
      <c r="C1479" s="4" t="str">
        <f t="shared" si="92"/>
        <v>Bad</v>
      </c>
      <c r="D1479" s="3" t="s">
        <v>2881</v>
      </c>
      <c r="E1479" s="3" t="s">
        <v>2882</v>
      </c>
      <c r="F1479" s="5" t="s">
        <v>2868</v>
      </c>
      <c r="G1479" s="4" t="str">
        <f t="shared" si="93"/>
        <v>22nd</v>
      </c>
      <c r="H1479" s="4" t="str">
        <f t="shared" si="94"/>
        <v>June</v>
      </c>
      <c r="I1479" s="4" t="str">
        <f t="shared" si="95"/>
        <v>2024</v>
      </c>
      <c r="J1479" s="10" t="s">
        <v>12</v>
      </c>
    </row>
    <row r="1480" spans="1:10" x14ac:dyDescent="0.35">
      <c r="A1480" s="9" t="s">
        <v>2826</v>
      </c>
      <c r="B1480" s="3">
        <v>1</v>
      </c>
      <c r="C1480" s="4" t="str">
        <f t="shared" si="92"/>
        <v>Bad</v>
      </c>
      <c r="D1480" s="3" t="s">
        <v>2883</v>
      </c>
      <c r="E1480" s="3" t="s">
        <v>2884</v>
      </c>
      <c r="F1480" s="5" t="s">
        <v>2868</v>
      </c>
      <c r="G1480" s="4" t="str">
        <f t="shared" si="93"/>
        <v>22nd</v>
      </c>
      <c r="H1480" s="4" t="str">
        <f t="shared" si="94"/>
        <v>June</v>
      </c>
      <c r="I1480" s="4" t="str">
        <f t="shared" si="95"/>
        <v>2024</v>
      </c>
      <c r="J1480" s="10" t="s">
        <v>12</v>
      </c>
    </row>
    <row r="1481" spans="1:10" x14ac:dyDescent="0.35">
      <c r="A1481" s="9" t="s">
        <v>2826</v>
      </c>
      <c r="B1481" s="3">
        <v>1</v>
      </c>
      <c r="C1481" s="4" t="str">
        <f t="shared" si="92"/>
        <v>Bad</v>
      </c>
      <c r="D1481" s="3" t="s">
        <v>2885</v>
      </c>
      <c r="E1481" s="3" t="s">
        <v>2886</v>
      </c>
      <c r="F1481" s="5" t="s">
        <v>2868</v>
      </c>
      <c r="G1481" s="4" t="str">
        <f t="shared" si="93"/>
        <v>22nd</v>
      </c>
      <c r="H1481" s="4" t="str">
        <f t="shared" si="94"/>
        <v>June</v>
      </c>
      <c r="I1481" s="4" t="str">
        <f t="shared" si="95"/>
        <v>2024</v>
      </c>
      <c r="J1481" s="10" t="s">
        <v>12</v>
      </c>
    </row>
    <row r="1482" spans="1:10" x14ac:dyDescent="0.35">
      <c r="A1482" s="9" t="s">
        <v>2826</v>
      </c>
      <c r="B1482" s="3">
        <v>4</v>
      </c>
      <c r="C1482" s="4" t="str">
        <f t="shared" si="92"/>
        <v>Bad</v>
      </c>
      <c r="D1482" s="3" t="s">
        <v>2887</v>
      </c>
      <c r="E1482" s="3" t="s">
        <v>2888</v>
      </c>
      <c r="F1482" s="5" t="s">
        <v>2889</v>
      </c>
      <c r="G1482" s="4" t="str">
        <f t="shared" si="93"/>
        <v>18th</v>
      </c>
      <c r="H1482" s="4" t="str">
        <f t="shared" si="94"/>
        <v>April</v>
      </c>
      <c r="I1482" s="4" t="str">
        <f t="shared" si="95"/>
        <v>2024</v>
      </c>
      <c r="J1482" s="10" t="s">
        <v>12</v>
      </c>
    </row>
    <row r="1483" spans="1:10" x14ac:dyDescent="0.35">
      <c r="A1483" s="9" t="s">
        <v>2826</v>
      </c>
      <c r="B1483" s="3">
        <v>1</v>
      </c>
      <c r="C1483" s="4" t="str">
        <f t="shared" si="92"/>
        <v>Bad</v>
      </c>
      <c r="D1483" s="3" t="s">
        <v>2890</v>
      </c>
      <c r="E1483" s="3" t="s">
        <v>2891</v>
      </c>
      <c r="F1483" s="5" t="s">
        <v>2889</v>
      </c>
      <c r="G1483" s="4" t="str">
        <f t="shared" si="93"/>
        <v>18th</v>
      </c>
      <c r="H1483" s="4" t="str">
        <f t="shared" si="94"/>
        <v>April</v>
      </c>
      <c r="I1483" s="4" t="str">
        <f t="shared" si="95"/>
        <v>2024</v>
      </c>
      <c r="J1483" s="10" t="s">
        <v>12</v>
      </c>
    </row>
    <row r="1484" spans="1:10" x14ac:dyDescent="0.35">
      <c r="A1484" s="9" t="s">
        <v>2826</v>
      </c>
      <c r="B1484" s="3">
        <v>1</v>
      </c>
      <c r="C1484" s="4" t="str">
        <f t="shared" si="92"/>
        <v>Bad</v>
      </c>
      <c r="D1484" s="3" t="s">
        <v>2892</v>
      </c>
      <c r="E1484" s="3" t="s">
        <v>2893</v>
      </c>
      <c r="F1484" s="5" t="s">
        <v>2889</v>
      </c>
      <c r="G1484" s="4" t="str">
        <f t="shared" si="93"/>
        <v>18th</v>
      </c>
      <c r="H1484" s="4" t="str">
        <f t="shared" si="94"/>
        <v>April</v>
      </c>
      <c r="I1484" s="4" t="str">
        <f t="shared" si="95"/>
        <v>2024</v>
      </c>
      <c r="J1484" s="10" t="s">
        <v>12</v>
      </c>
    </row>
    <row r="1485" spans="1:10" x14ac:dyDescent="0.35">
      <c r="A1485" s="9" t="s">
        <v>2826</v>
      </c>
      <c r="B1485" s="3">
        <v>1</v>
      </c>
      <c r="C1485" s="4" t="str">
        <f t="shared" si="92"/>
        <v>Bad</v>
      </c>
      <c r="D1485" s="3" t="s">
        <v>2894</v>
      </c>
      <c r="E1485" s="3" t="s">
        <v>2895</v>
      </c>
      <c r="F1485" s="5" t="s">
        <v>2889</v>
      </c>
      <c r="G1485" s="4" t="str">
        <f t="shared" si="93"/>
        <v>18th</v>
      </c>
      <c r="H1485" s="4" t="str">
        <f t="shared" si="94"/>
        <v>April</v>
      </c>
      <c r="I1485" s="4" t="str">
        <f t="shared" si="95"/>
        <v>2024</v>
      </c>
      <c r="J1485" s="10" t="s">
        <v>12</v>
      </c>
    </row>
    <row r="1486" spans="1:10" x14ac:dyDescent="0.35">
      <c r="A1486" s="9" t="s">
        <v>2826</v>
      </c>
      <c r="B1486" s="3">
        <v>10</v>
      </c>
      <c r="C1486" s="4" t="str">
        <f t="shared" si="92"/>
        <v>Good</v>
      </c>
      <c r="D1486" s="3" t="s">
        <v>2896</v>
      </c>
      <c r="E1486" s="3" t="s">
        <v>2897</v>
      </c>
      <c r="F1486" s="5" t="s">
        <v>2889</v>
      </c>
      <c r="G1486" s="4" t="str">
        <f t="shared" si="93"/>
        <v>18th</v>
      </c>
      <c r="H1486" s="4" t="str">
        <f t="shared" si="94"/>
        <v>April</v>
      </c>
      <c r="I1486" s="4" t="str">
        <f t="shared" si="95"/>
        <v>2024</v>
      </c>
      <c r="J1486" s="10" t="s">
        <v>9</v>
      </c>
    </row>
    <row r="1487" spans="1:10" x14ac:dyDescent="0.35">
      <c r="A1487" s="9" t="s">
        <v>2826</v>
      </c>
      <c r="B1487" s="3">
        <v>2</v>
      </c>
      <c r="C1487" s="4" t="str">
        <f t="shared" si="92"/>
        <v>Bad</v>
      </c>
      <c r="D1487" s="3" t="s">
        <v>2898</v>
      </c>
      <c r="E1487" s="3" t="s">
        <v>2899</v>
      </c>
      <c r="F1487" s="5" t="s">
        <v>2889</v>
      </c>
      <c r="G1487" s="4" t="str">
        <f t="shared" si="93"/>
        <v>18th</v>
      </c>
      <c r="H1487" s="4" t="str">
        <f t="shared" si="94"/>
        <v>April</v>
      </c>
      <c r="I1487" s="4" t="str">
        <f t="shared" si="95"/>
        <v>2024</v>
      </c>
      <c r="J1487" s="10" t="s">
        <v>12</v>
      </c>
    </row>
    <row r="1488" spans="1:10" x14ac:dyDescent="0.35">
      <c r="A1488" s="9" t="s">
        <v>2826</v>
      </c>
      <c r="B1488" s="3">
        <v>2</v>
      </c>
      <c r="C1488" s="4" t="str">
        <f t="shared" si="92"/>
        <v>Bad</v>
      </c>
      <c r="D1488" s="3" t="s">
        <v>2900</v>
      </c>
      <c r="E1488" s="3" t="s">
        <v>2901</v>
      </c>
      <c r="F1488" s="5" t="s">
        <v>2889</v>
      </c>
      <c r="G1488" s="4" t="str">
        <f t="shared" si="93"/>
        <v>18th</v>
      </c>
      <c r="H1488" s="4" t="str">
        <f t="shared" si="94"/>
        <v>April</v>
      </c>
      <c r="I1488" s="4" t="str">
        <f t="shared" si="95"/>
        <v>2024</v>
      </c>
      <c r="J1488" s="10" t="s">
        <v>12</v>
      </c>
    </row>
    <row r="1489" spans="1:10" x14ac:dyDescent="0.35">
      <c r="A1489" s="9" t="s">
        <v>2826</v>
      </c>
      <c r="B1489" s="3">
        <v>10</v>
      </c>
      <c r="C1489" s="4" t="str">
        <f t="shared" si="92"/>
        <v>Good</v>
      </c>
      <c r="D1489" s="3" t="s">
        <v>2902</v>
      </c>
      <c r="E1489" s="3" t="s">
        <v>2903</v>
      </c>
      <c r="F1489" s="5" t="s">
        <v>2889</v>
      </c>
      <c r="G1489" s="4" t="str">
        <f t="shared" si="93"/>
        <v>18th</v>
      </c>
      <c r="H1489" s="4" t="str">
        <f t="shared" si="94"/>
        <v>April</v>
      </c>
      <c r="I1489" s="4" t="str">
        <f t="shared" si="95"/>
        <v>2024</v>
      </c>
      <c r="J1489" s="10" t="s">
        <v>9</v>
      </c>
    </row>
    <row r="1490" spans="1:10" x14ac:dyDescent="0.35">
      <c r="A1490" s="9" t="s">
        <v>2826</v>
      </c>
      <c r="B1490" s="3">
        <v>10</v>
      </c>
      <c r="C1490" s="4" t="str">
        <f t="shared" si="92"/>
        <v>Good</v>
      </c>
      <c r="D1490" s="3" t="s">
        <v>2904</v>
      </c>
      <c r="E1490" s="3" t="s">
        <v>2905</v>
      </c>
      <c r="F1490" s="5" t="s">
        <v>2889</v>
      </c>
      <c r="G1490" s="4" t="str">
        <f t="shared" si="93"/>
        <v>18th</v>
      </c>
      <c r="H1490" s="4" t="str">
        <f t="shared" si="94"/>
        <v>April</v>
      </c>
      <c r="I1490" s="4" t="str">
        <f t="shared" si="95"/>
        <v>2024</v>
      </c>
      <c r="J1490" s="10" t="s">
        <v>9</v>
      </c>
    </row>
    <row r="1491" spans="1:10" x14ac:dyDescent="0.35">
      <c r="A1491" s="9" t="s">
        <v>2826</v>
      </c>
      <c r="B1491" s="3">
        <v>10</v>
      </c>
      <c r="C1491" s="4" t="str">
        <f t="shared" si="92"/>
        <v>Good</v>
      </c>
      <c r="D1491" s="3" t="s">
        <v>2906</v>
      </c>
      <c r="E1491" s="3" t="s">
        <v>2907</v>
      </c>
      <c r="F1491" s="5" t="s">
        <v>2889</v>
      </c>
      <c r="G1491" s="4" t="str">
        <f t="shared" si="93"/>
        <v>18th</v>
      </c>
      <c r="H1491" s="4" t="str">
        <f t="shared" si="94"/>
        <v>April</v>
      </c>
      <c r="I1491" s="4" t="str">
        <f t="shared" si="95"/>
        <v>2024</v>
      </c>
      <c r="J1491" s="10" t="s">
        <v>9</v>
      </c>
    </row>
    <row r="1492" spans="1:10" x14ac:dyDescent="0.35">
      <c r="A1492" s="9" t="s">
        <v>2826</v>
      </c>
      <c r="B1492" s="3">
        <v>10</v>
      </c>
      <c r="C1492" s="4" t="str">
        <f t="shared" si="92"/>
        <v>Good</v>
      </c>
      <c r="D1492" s="3" t="s">
        <v>479</v>
      </c>
      <c r="E1492" s="3" t="s">
        <v>2908</v>
      </c>
      <c r="F1492" s="5" t="s">
        <v>2909</v>
      </c>
      <c r="G1492" s="4" t="str">
        <f t="shared" si="93"/>
        <v>11th</v>
      </c>
      <c r="H1492" s="4" t="str">
        <f t="shared" si="94"/>
        <v>March</v>
      </c>
      <c r="I1492" s="4" t="str">
        <f t="shared" si="95"/>
        <v>2024</v>
      </c>
      <c r="J1492" s="10" t="s">
        <v>9</v>
      </c>
    </row>
    <row r="1493" spans="1:10" x14ac:dyDescent="0.35">
      <c r="A1493" s="9" t="s">
        <v>2826</v>
      </c>
      <c r="B1493" s="3">
        <v>10</v>
      </c>
      <c r="C1493" s="4" t="str">
        <f t="shared" si="92"/>
        <v>Good</v>
      </c>
      <c r="D1493" s="3" t="s">
        <v>2910</v>
      </c>
      <c r="E1493" s="3" t="s">
        <v>2911</v>
      </c>
      <c r="F1493" s="5" t="s">
        <v>2909</v>
      </c>
      <c r="G1493" s="4" t="str">
        <f t="shared" si="93"/>
        <v>11th</v>
      </c>
      <c r="H1493" s="4" t="str">
        <f t="shared" si="94"/>
        <v>March</v>
      </c>
      <c r="I1493" s="4" t="str">
        <f t="shared" si="95"/>
        <v>2024</v>
      </c>
      <c r="J1493" s="10" t="s">
        <v>9</v>
      </c>
    </row>
    <row r="1494" spans="1:10" x14ac:dyDescent="0.35">
      <c r="A1494" s="9" t="s">
        <v>2826</v>
      </c>
      <c r="B1494" s="3">
        <v>1</v>
      </c>
      <c r="C1494" s="4" t="str">
        <f t="shared" si="92"/>
        <v>Bad</v>
      </c>
      <c r="D1494" s="3" t="s">
        <v>2912</v>
      </c>
      <c r="E1494" s="3" t="s">
        <v>2913</v>
      </c>
      <c r="F1494" s="5" t="s">
        <v>2909</v>
      </c>
      <c r="G1494" s="4" t="str">
        <f t="shared" si="93"/>
        <v>11th</v>
      </c>
      <c r="H1494" s="4" t="str">
        <f t="shared" si="94"/>
        <v>March</v>
      </c>
      <c r="I1494" s="4" t="str">
        <f t="shared" si="95"/>
        <v>2024</v>
      </c>
      <c r="J1494" s="10" t="s">
        <v>12</v>
      </c>
    </row>
    <row r="1495" spans="1:10" x14ac:dyDescent="0.35">
      <c r="A1495" s="9" t="s">
        <v>2826</v>
      </c>
      <c r="B1495" s="3">
        <v>1</v>
      </c>
      <c r="C1495" s="4" t="str">
        <f t="shared" si="92"/>
        <v>Bad</v>
      </c>
      <c r="D1495" s="3" t="s">
        <v>2914</v>
      </c>
      <c r="E1495" s="3" t="s">
        <v>2915</v>
      </c>
      <c r="F1495" s="5" t="s">
        <v>2909</v>
      </c>
      <c r="G1495" s="4" t="str">
        <f t="shared" si="93"/>
        <v>11th</v>
      </c>
      <c r="H1495" s="4" t="str">
        <f t="shared" si="94"/>
        <v>March</v>
      </c>
      <c r="I1495" s="4" t="str">
        <f t="shared" si="95"/>
        <v>2024</v>
      </c>
      <c r="J1495" s="10" t="s">
        <v>12</v>
      </c>
    </row>
    <row r="1496" spans="1:10" x14ac:dyDescent="0.35">
      <c r="A1496" s="9" t="s">
        <v>2826</v>
      </c>
      <c r="B1496" s="3">
        <v>1</v>
      </c>
      <c r="C1496" s="4" t="str">
        <f t="shared" si="92"/>
        <v>Bad</v>
      </c>
      <c r="D1496" s="3" t="s">
        <v>2149</v>
      </c>
      <c r="E1496" s="3" t="s">
        <v>2916</v>
      </c>
      <c r="F1496" s="5" t="s">
        <v>2909</v>
      </c>
      <c r="G1496" s="4" t="str">
        <f t="shared" si="93"/>
        <v>11th</v>
      </c>
      <c r="H1496" s="4" t="str">
        <f t="shared" si="94"/>
        <v>March</v>
      </c>
      <c r="I1496" s="4" t="str">
        <f t="shared" si="95"/>
        <v>2024</v>
      </c>
      <c r="J1496" s="10" t="s">
        <v>12</v>
      </c>
    </row>
    <row r="1497" spans="1:10" x14ac:dyDescent="0.35">
      <c r="A1497" s="9" t="s">
        <v>2826</v>
      </c>
      <c r="B1497" s="3">
        <v>1</v>
      </c>
      <c r="C1497" s="4" t="str">
        <f t="shared" si="92"/>
        <v>Bad</v>
      </c>
      <c r="D1497" s="3" t="s">
        <v>1652</v>
      </c>
      <c r="E1497" s="3" t="s">
        <v>2917</v>
      </c>
      <c r="F1497" s="5" t="s">
        <v>2909</v>
      </c>
      <c r="G1497" s="4" t="str">
        <f t="shared" si="93"/>
        <v>11th</v>
      </c>
      <c r="H1497" s="4" t="str">
        <f t="shared" si="94"/>
        <v>March</v>
      </c>
      <c r="I1497" s="4" t="str">
        <f t="shared" si="95"/>
        <v>2024</v>
      </c>
      <c r="J1497" s="10" t="s">
        <v>12</v>
      </c>
    </row>
    <row r="1498" spans="1:10" x14ac:dyDescent="0.35">
      <c r="A1498" s="9" t="s">
        <v>2826</v>
      </c>
      <c r="B1498" s="3">
        <v>10</v>
      </c>
      <c r="C1498" s="4" t="str">
        <f t="shared" si="92"/>
        <v>Good</v>
      </c>
      <c r="D1498" s="3" t="s">
        <v>2918</v>
      </c>
      <c r="E1498" s="3" t="s">
        <v>2919</v>
      </c>
      <c r="F1498" s="5" t="s">
        <v>2909</v>
      </c>
      <c r="G1498" s="4" t="str">
        <f t="shared" si="93"/>
        <v>11th</v>
      </c>
      <c r="H1498" s="4" t="str">
        <f t="shared" si="94"/>
        <v>March</v>
      </c>
      <c r="I1498" s="4" t="str">
        <f t="shared" si="95"/>
        <v>2024</v>
      </c>
      <c r="J1498" s="10" t="s">
        <v>9</v>
      </c>
    </row>
    <row r="1499" spans="1:10" x14ac:dyDescent="0.35">
      <c r="A1499" s="9" t="s">
        <v>2826</v>
      </c>
      <c r="B1499" s="3">
        <v>1</v>
      </c>
      <c r="C1499" s="4" t="str">
        <f t="shared" si="92"/>
        <v>Bad</v>
      </c>
      <c r="D1499" s="3" t="s">
        <v>2920</v>
      </c>
      <c r="E1499" s="3" t="s">
        <v>2921</v>
      </c>
      <c r="F1499" s="5" t="s">
        <v>2909</v>
      </c>
      <c r="G1499" s="4" t="str">
        <f t="shared" si="93"/>
        <v>11th</v>
      </c>
      <c r="H1499" s="4" t="str">
        <f t="shared" si="94"/>
        <v>March</v>
      </c>
      <c r="I1499" s="4" t="str">
        <f t="shared" si="95"/>
        <v>2024</v>
      </c>
      <c r="J1499" s="10" t="s">
        <v>12</v>
      </c>
    </row>
    <row r="1500" spans="1:10" x14ac:dyDescent="0.35">
      <c r="A1500" s="9" t="s">
        <v>2826</v>
      </c>
      <c r="B1500" s="3">
        <v>1</v>
      </c>
      <c r="C1500" s="4" t="str">
        <f t="shared" si="92"/>
        <v>Bad</v>
      </c>
      <c r="D1500" s="3" t="s">
        <v>2922</v>
      </c>
      <c r="E1500" s="3" t="s">
        <v>2923</v>
      </c>
      <c r="F1500" s="5" t="s">
        <v>2909</v>
      </c>
      <c r="G1500" s="4" t="str">
        <f t="shared" si="93"/>
        <v>11th</v>
      </c>
      <c r="H1500" s="4" t="str">
        <f t="shared" si="94"/>
        <v>March</v>
      </c>
      <c r="I1500" s="4" t="str">
        <f t="shared" si="95"/>
        <v>2024</v>
      </c>
      <c r="J1500" s="10" t="s">
        <v>12</v>
      </c>
    </row>
    <row r="1501" spans="1:10" x14ac:dyDescent="0.35">
      <c r="A1501" s="9" t="s">
        <v>2826</v>
      </c>
      <c r="B1501" s="3">
        <v>1</v>
      </c>
      <c r="C1501" s="4" t="str">
        <f t="shared" si="92"/>
        <v>Bad</v>
      </c>
      <c r="D1501" s="3" t="s">
        <v>2924</v>
      </c>
      <c r="E1501" s="3" t="s">
        <v>2925</v>
      </c>
      <c r="F1501" s="5" t="s">
        <v>2909</v>
      </c>
      <c r="G1501" s="4" t="str">
        <f t="shared" si="93"/>
        <v>11th</v>
      </c>
      <c r="H1501" s="4" t="str">
        <f t="shared" si="94"/>
        <v>March</v>
      </c>
      <c r="I1501" s="4" t="str">
        <f t="shared" si="95"/>
        <v>2024</v>
      </c>
      <c r="J1501" s="10" t="s">
        <v>12</v>
      </c>
    </row>
    <row r="1502" spans="1:10" x14ac:dyDescent="0.35">
      <c r="A1502" s="9" t="s">
        <v>2826</v>
      </c>
      <c r="B1502" s="3">
        <v>1</v>
      </c>
      <c r="C1502" s="4" t="str">
        <f t="shared" si="92"/>
        <v>Bad</v>
      </c>
      <c r="D1502" s="3" t="s">
        <v>2926</v>
      </c>
      <c r="E1502" s="3" t="s">
        <v>2927</v>
      </c>
      <c r="F1502" s="5" t="s">
        <v>2928</v>
      </c>
      <c r="G1502" s="4" t="str">
        <f t="shared" si="93"/>
        <v>25th</v>
      </c>
      <c r="H1502" s="4" t="str">
        <f t="shared" si="94"/>
        <v>January</v>
      </c>
      <c r="I1502" s="4" t="str">
        <f t="shared" si="95"/>
        <v>2024</v>
      </c>
      <c r="J1502" s="10" t="s">
        <v>12</v>
      </c>
    </row>
    <row r="1503" spans="1:10" x14ac:dyDescent="0.35">
      <c r="A1503" s="9" t="s">
        <v>2826</v>
      </c>
      <c r="B1503" s="3">
        <v>1</v>
      </c>
      <c r="C1503" s="4" t="str">
        <f t="shared" si="92"/>
        <v>Bad</v>
      </c>
      <c r="D1503" s="3" t="s">
        <v>2929</v>
      </c>
      <c r="E1503" s="3" t="s">
        <v>2930</v>
      </c>
      <c r="F1503" s="5" t="s">
        <v>2928</v>
      </c>
      <c r="G1503" s="4" t="str">
        <f t="shared" si="93"/>
        <v>25th</v>
      </c>
      <c r="H1503" s="4" t="str">
        <f t="shared" si="94"/>
        <v>January</v>
      </c>
      <c r="I1503" s="4" t="str">
        <f t="shared" si="95"/>
        <v>2024</v>
      </c>
      <c r="J1503" s="10" t="s">
        <v>12</v>
      </c>
    </row>
    <row r="1504" spans="1:10" x14ac:dyDescent="0.35">
      <c r="A1504" s="9" t="s">
        <v>2826</v>
      </c>
      <c r="B1504" s="3">
        <v>1</v>
      </c>
      <c r="C1504" s="4" t="str">
        <f t="shared" si="92"/>
        <v>Bad</v>
      </c>
      <c r="D1504" s="3" t="s">
        <v>2931</v>
      </c>
      <c r="E1504" s="3" t="s">
        <v>2932</v>
      </c>
      <c r="F1504" s="5" t="s">
        <v>2928</v>
      </c>
      <c r="G1504" s="4" t="str">
        <f t="shared" si="93"/>
        <v>25th</v>
      </c>
      <c r="H1504" s="4" t="str">
        <f t="shared" si="94"/>
        <v>January</v>
      </c>
      <c r="I1504" s="4" t="str">
        <f t="shared" si="95"/>
        <v>2024</v>
      </c>
      <c r="J1504" s="10" t="s">
        <v>12</v>
      </c>
    </row>
    <row r="1505" spans="1:10" x14ac:dyDescent="0.35">
      <c r="A1505" s="9" t="s">
        <v>2826</v>
      </c>
      <c r="B1505" s="3">
        <v>1</v>
      </c>
      <c r="C1505" s="4" t="str">
        <f t="shared" si="92"/>
        <v>Bad</v>
      </c>
      <c r="D1505" s="3" t="s">
        <v>2933</v>
      </c>
      <c r="E1505" s="3" t="s">
        <v>2934</v>
      </c>
      <c r="F1505" s="5" t="s">
        <v>2928</v>
      </c>
      <c r="G1505" s="4" t="str">
        <f t="shared" si="93"/>
        <v>25th</v>
      </c>
      <c r="H1505" s="4" t="str">
        <f t="shared" si="94"/>
        <v>January</v>
      </c>
      <c r="I1505" s="4" t="str">
        <f t="shared" si="95"/>
        <v>2024</v>
      </c>
      <c r="J1505" s="10" t="s">
        <v>12</v>
      </c>
    </row>
    <row r="1506" spans="1:10" x14ac:dyDescent="0.35">
      <c r="A1506" s="9" t="s">
        <v>2826</v>
      </c>
      <c r="B1506" s="3">
        <v>2</v>
      </c>
      <c r="C1506" s="4" t="str">
        <f t="shared" si="92"/>
        <v>Bad</v>
      </c>
      <c r="D1506" s="3" t="s">
        <v>2935</v>
      </c>
      <c r="E1506" s="3" t="s">
        <v>2936</v>
      </c>
      <c r="F1506" s="5" t="s">
        <v>2928</v>
      </c>
      <c r="G1506" s="4" t="str">
        <f t="shared" si="93"/>
        <v>25th</v>
      </c>
      <c r="H1506" s="4" t="str">
        <f t="shared" si="94"/>
        <v>January</v>
      </c>
      <c r="I1506" s="4" t="str">
        <f t="shared" si="95"/>
        <v>2024</v>
      </c>
      <c r="J1506" s="10" t="s">
        <v>12</v>
      </c>
    </row>
    <row r="1507" spans="1:10" x14ac:dyDescent="0.35">
      <c r="A1507" s="9" t="s">
        <v>2826</v>
      </c>
      <c r="B1507" s="3">
        <v>1</v>
      </c>
      <c r="C1507" s="4" t="str">
        <f t="shared" si="92"/>
        <v>Bad</v>
      </c>
      <c r="D1507" s="3" t="s">
        <v>2937</v>
      </c>
      <c r="E1507" s="3" t="s">
        <v>2938</v>
      </c>
      <c r="F1507" s="5" t="s">
        <v>2928</v>
      </c>
      <c r="G1507" s="4" t="str">
        <f t="shared" si="93"/>
        <v>25th</v>
      </c>
      <c r="H1507" s="4" t="str">
        <f t="shared" si="94"/>
        <v>January</v>
      </c>
      <c r="I1507" s="4" t="str">
        <f t="shared" si="95"/>
        <v>2024</v>
      </c>
      <c r="J1507" s="10" t="s">
        <v>12</v>
      </c>
    </row>
    <row r="1508" spans="1:10" x14ac:dyDescent="0.35">
      <c r="A1508" s="9" t="s">
        <v>2826</v>
      </c>
      <c r="B1508" s="3">
        <v>1</v>
      </c>
      <c r="C1508" s="4" t="str">
        <f t="shared" si="92"/>
        <v>Bad</v>
      </c>
      <c r="D1508" s="3" t="s">
        <v>2939</v>
      </c>
      <c r="E1508" s="3" t="s">
        <v>2940</v>
      </c>
      <c r="F1508" s="5" t="s">
        <v>2928</v>
      </c>
      <c r="G1508" s="4" t="str">
        <f t="shared" si="93"/>
        <v>25th</v>
      </c>
      <c r="H1508" s="4" t="str">
        <f t="shared" si="94"/>
        <v>January</v>
      </c>
      <c r="I1508" s="4" t="str">
        <f t="shared" si="95"/>
        <v>2024</v>
      </c>
      <c r="J1508" s="10" t="s">
        <v>12</v>
      </c>
    </row>
    <row r="1509" spans="1:10" x14ac:dyDescent="0.35">
      <c r="A1509" s="9" t="s">
        <v>2826</v>
      </c>
      <c r="B1509" s="3">
        <v>1</v>
      </c>
      <c r="C1509" s="4" t="str">
        <f t="shared" si="92"/>
        <v>Bad</v>
      </c>
      <c r="D1509" s="3" t="s">
        <v>2941</v>
      </c>
      <c r="E1509" s="3" t="s">
        <v>2942</v>
      </c>
      <c r="F1509" s="5" t="s">
        <v>2928</v>
      </c>
      <c r="G1509" s="4" t="str">
        <f t="shared" si="93"/>
        <v>25th</v>
      </c>
      <c r="H1509" s="4" t="str">
        <f t="shared" si="94"/>
        <v>January</v>
      </c>
      <c r="I1509" s="4" t="str">
        <f t="shared" si="95"/>
        <v>2024</v>
      </c>
      <c r="J1509" s="10" t="s">
        <v>12</v>
      </c>
    </row>
    <row r="1510" spans="1:10" x14ac:dyDescent="0.35">
      <c r="A1510" s="9" t="s">
        <v>2826</v>
      </c>
      <c r="B1510" s="3">
        <v>2</v>
      </c>
      <c r="C1510" s="4" t="str">
        <f t="shared" si="92"/>
        <v>Bad</v>
      </c>
      <c r="D1510" s="3" t="s">
        <v>2943</v>
      </c>
      <c r="E1510" s="3" t="s">
        <v>2944</v>
      </c>
      <c r="F1510" s="5" t="s">
        <v>2928</v>
      </c>
      <c r="G1510" s="4" t="str">
        <f t="shared" si="93"/>
        <v>25th</v>
      </c>
      <c r="H1510" s="4" t="str">
        <f t="shared" si="94"/>
        <v>January</v>
      </c>
      <c r="I1510" s="4" t="str">
        <f t="shared" si="95"/>
        <v>2024</v>
      </c>
      <c r="J1510" s="10" t="s">
        <v>12</v>
      </c>
    </row>
    <row r="1511" spans="1:10" x14ac:dyDescent="0.35">
      <c r="A1511" s="9" t="s">
        <v>2826</v>
      </c>
      <c r="B1511" s="3">
        <v>1</v>
      </c>
      <c r="C1511" s="4" t="str">
        <f t="shared" si="92"/>
        <v>Bad</v>
      </c>
      <c r="D1511" s="3" t="s">
        <v>2945</v>
      </c>
      <c r="E1511" s="3" t="s">
        <v>2946</v>
      </c>
      <c r="F1511" s="5" t="s">
        <v>2928</v>
      </c>
      <c r="G1511" s="4" t="str">
        <f t="shared" si="93"/>
        <v>25th</v>
      </c>
      <c r="H1511" s="4" t="str">
        <f t="shared" si="94"/>
        <v>January</v>
      </c>
      <c r="I1511" s="4" t="str">
        <f t="shared" si="95"/>
        <v>2024</v>
      </c>
      <c r="J1511" s="10" t="s">
        <v>12</v>
      </c>
    </row>
    <row r="1512" spans="1:10" x14ac:dyDescent="0.35">
      <c r="A1512" s="9" t="s">
        <v>2826</v>
      </c>
      <c r="B1512" s="3">
        <v>1</v>
      </c>
      <c r="C1512" s="4" t="str">
        <f t="shared" si="92"/>
        <v>Bad</v>
      </c>
      <c r="D1512" s="3" t="s">
        <v>2947</v>
      </c>
      <c r="E1512" s="3" t="s">
        <v>2948</v>
      </c>
      <c r="F1512" s="5" t="s">
        <v>2949</v>
      </c>
      <c r="G1512" s="4" t="str">
        <f t="shared" si="93"/>
        <v>7th</v>
      </c>
      <c r="H1512" s="4" t="str">
        <f t="shared" si="94"/>
        <v>December</v>
      </c>
      <c r="I1512" s="4" t="str">
        <f t="shared" si="95"/>
        <v>2023</v>
      </c>
      <c r="J1512" s="10" t="s">
        <v>12</v>
      </c>
    </row>
    <row r="1513" spans="1:10" x14ac:dyDescent="0.35">
      <c r="A1513" s="9" t="s">
        <v>2826</v>
      </c>
      <c r="B1513" s="3">
        <v>1</v>
      </c>
      <c r="C1513" s="4" t="str">
        <f t="shared" si="92"/>
        <v>Bad</v>
      </c>
      <c r="D1513" s="3" t="s">
        <v>2950</v>
      </c>
      <c r="E1513" s="3" t="s">
        <v>2951</v>
      </c>
      <c r="F1513" s="5" t="s">
        <v>2949</v>
      </c>
      <c r="G1513" s="4" t="str">
        <f t="shared" si="93"/>
        <v>7th</v>
      </c>
      <c r="H1513" s="4" t="str">
        <f t="shared" si="94"/>
        <v>December</v>
      </c>
      <c r="I1513" s="4" t="str">
        <f t="shared" si="95"/>
        <v>2023</v>
      </c>
      <c r="J1513" s="10" t="s">
        <v>12</v>
      </c>
    </row>
    <row r="1514" spans="1:10" x14ac:dyDescent="0.35">
      <c r="A1514" s="9" t="s">
        <v>2826</v>
      </c>
      <c r="B1514" s="3">
        <v>1</v>
      </c>
      <c r="C1514" s="4" t="str">
        <f t="shared" si="92"/>
        <v>Bad</v>
      </c>
      <c r="D1514" s="3" t="s">
        <v>2952</v>
      </c>
      <c r="E1514" s="3" t="s">
        <v>2953</v>
      </c>
      <c r="F1514" s="5" t="s">
        <v>2949</v>
      </c>
      <c r="G1514" s="4" t="str">
        <f t="shared" si="93"/>
        <v>7th</v>
      </c>
      <c r="H1514" s="4" t="str">
        <f t="shared" si="94"/>
        <v>December</v>
      </c>
      <c r="I1514" s="4" t="str">
        <f t="shared" si="95"/>
        <v>2023</v>
      </c>
      <c r="J1514" s="10" t="s">
        <v>12</v>
      </c>
    </row>
    <row r="1515" spans="1:10" x14ac:dyDescent="0.35">
      <c r="A1515" s="9" t="s">
        <v>2826</v>
      </c>
      <c r="B1515" s="3">
        <v>1</v>
      </c>
      <c r="C1515" s="4" t="str">
        <f t="shared" si="92"/>
        <v>Bad</v>
      </c>
      <c r="D1515" s="3" t="s">
        <v>2954</v>
      </c>
      <c r="E1515" s="3" t="s">
        <v>2955</v>
      </c>
      <c r="F1515" s="5" t="s">
        <v>2949</v>
      </c>
      <c r="G1515" s="4" t="str">
        <f t="shared" si="93"/>
        <v>7th</v>
      </c>
      <c r="H1515" s="4" t="str">
        <f t="shared" si="94"/>
        <v>December</v>
      </c>
      <c r="I1515" s="4" t="str">
        <f t="shared" si="95"/>
        <v>2023</v>
      </c>
      <c r="J1515" s="10" t="s">
        <v>12</v>
      </c>
    </row>
    <row r="1516" spans="1:10" x14ac:dyDescent="0.35">
      <c r="A1516" s="9" t="s">
        <v>2826</v>
      </c>
      <c r="B1516" s="3">
        <v>1</v>
      </c>
      <c r="C1516" s="4" t="str">
        <f t="shared" si="92"/>
        <v>Bad</v>
      </c>
      <c r="D1516" s="3" t="s">
        <v>2956</v>
      </c>
      <c r="E1516" s="3" t="s">
        <v>2957</v>
      </c>
      <c r="F1516" s="5" t="s">
        <v>2949</v>
      </c>
      <c r="G1516" s="4" t="str">
        <f t="shared" si="93"/>
        <v>7th</v>
      </c>
      <c r="H1516" s="4" t="str">
        <f t="shared" si="94"/>
        <v>December</v>
      </c>
      <c r="I1516" s="4" t="str">
        <f t="shared" si="95"/>
        <v>2023</v>
      </c>
      <c r="J1516" s="10" t="s">
        <v>12</v>
      </c>
    </row>
    <row r="1517" spans="1:10" x14ac:dyDescent="0.35">
      <c r="A1517" s="9" t="s">
        <v>2826</v>
      </c>
      <c r="B1517" s="3">
        <v>2</v>
      </c>
      <c r="C1517" s="4" t="str">
        <f t="shared" si="92"/>
        <v>Bad</v>
      </c>
      <c r="D1517" s="3" t="s">
        <v>2958</v>
      </c>
      <c r="E1517" s="3" t="s">
        <v>2959</v>
      </c>
      <c r="F1517" s="5" t="s">
        <v>2949</v>
      </c>
      <c r="G1517" s="4" t="str">
        <f t="shared" si="93"/>
        <v>7th</v>
      </c>
      <c r="H1517" s="4" t="str">
        <f t="shared" si="94"/>
        <v>December</v>
      </c>
      <c r="I1517" s="4" t="str">
        <f t="shared" si="95"/>
        <v>2023</v>
      </c>
      <c r="J1517" s="10" t="s">
        <v>12</v>
      </c>
    </row>
    <row r="1518" spans="1:10" x14ac:dyDescent="0.35">
      <c r="A1518" s="9" t="s">
        <v>2826</v>
      </c>
      <c r="B1518" s="3">
        <v>1</v>
      </c>
      <c r="C1518" s="4" t="str">
        <f t="shared" si="92"/>
        <v>Bad</v>
      </c>
      <c r="D1518" s="3" t="s">
        <v>2960</v>
      </c>
      <c r="E1518" s="3" t="s">
        <v>2961</v>
      </c>
      <c r="F1518" s="5" t="s">
        <v>2949</v>
      </c>
      <c r="G1518" s="4" t="str">
        <f t="shared" si="93"/>
        <v>7th</v>
      </c>
      <c r="H1518" s="4" t="str">
        <f t="shared" si="94"/>
        <v>December</v>
      </c>
      <c r="I1518" s="4" t="str">
        <f t="shared" si="95"/>
        <v>2023</v>
      </c>
      <c r="J1518" s="10" t="s">
        <v>12</v>
      </c>
    </row>
    <row r="1519" spans="1:10" x14ac:dyDescent="0.35">
      <c r="A1519" s="9" t="s">
        <v>2826</v>
      </c>
      <c r="B1519" s="3">
        <v>10</v>
      </c>
      <c r="C1519" s="4" t="str">
        <f t="shared" si="92"/>
        <v>Good</v>
      </c>
      <c r="D1519" s="3" t="s">
        <v>2962</v>
      </c>
      <c r="E1519" s="3" t="s">
        <v>2963</v>
      </c>
      <c r="F1519" s="5" t="s">
        <v>2949</v>
      </c>
      <c r="G1519" s="4" t="str">
        <f t="shared" si="93"/>
        <v>7th</v>
      </c>
      <c r="H1519" s="4" t="str">
        <f t="shared" si="94"/>
        <v>December</v>
      </c>
      <c r="I1519" s="4" t="str">
        <f t="shared" si="95"/>
        <v>2023</v>
      </c>
      <c r="J1519" s="10" t="s">
        <v>9</v>
      </c>
    </row>
    <row r="1520" spans="1:10" x14ac:dyDescent="0.35">
      <c r="A1520" s="9" t="s">
        <v>2826</v>
      </c>
      <c r="B1520" s="3">
        <v>1</v>
      </c>
      <c r="C1520" s="4" t="str">
        <f t="shared" si="92"/>
        <v>Bad</v>
      </c>
      <c r="D1520" s="3" t="s">
        <v>2964</v>
      </c>
      <c r="E1520" s="3" t="s">
        <v>2965</v>
      </c>
      <c r="F1520" s="5" t="s">
        <v>2949</v>
      </c>
      <c r="G1520" s="4" t="str">
        <f t="shared" si="93"/>
        <v>7th</v>
      </c>
      <c r="H1520" s="4" t="str">
        <f t="shared" si="94"/>
        <v>December</v>
      </c>
      <c r="I1520" s="4" t="str">
        <f t="shared" si="95"/>
        <v>2023</v>
      </c>
      <c r="J1520" s="10" t="s">
        <v>12</v>
      </c>
    </row>
    <row r="1521" spans="1:10" x14ac:dyDescent="0.35">
      <c r="A1521" s="9" t="s">
        <v>2826</v>
      </c>
      <c r="B1521" s="3">
        <v>1</v>
      </c>
      <c r="C1521" s="4" t="str">
        <f t="shared" si="92"/>
        <v>Bad</v>
      </c>
      <c r="D1521" s="3" t="s">
        <v>2966</v>
      </c>
      <c r="E1521" s="3" t="s">
        <v>2967</v>
      </c>
      <c r="F1521" s="5" t="s">
        <v>2949</v>
      </c>
      <c r="G1521" s="4" t="str">
        <f t="shared" si="93"/>
        <v>7th</v>
      </c>
      <c r="H1521" s="4" t="str">
        <f t="shared" si="94"/>
        <v>December</v>
      </c>
      <c r="I1521" s="4" t="str">
        <f t="shared" si="95"/>
        <v>2023</v>
      </c>
      <c r="J1521" s="10" t="s">
        <v>12</v>
      </c>
    </row>
    <row r="1522" spans="1:10" x14ac:dyDescent="0.35">
      <c r="A1522" s="9" t="s">
        <v>2826</v>
      </c>
      <c r="B1522" s="3">
        <v>1</v>
      </c>
      <c r="C1522" s="4" t="str">
        <f t="shared" si="92"/>
        <v>Bad</v>
      </c>
      <c r="D1522" s="3" t="s">
        <v>2968</v>
      </c>
      <c r="E1522" s="3" t="s">
        <v>2969</v>
      </c>
      <c r="F1522" s="5" t="s">
        <v>2970</v>
      </c>
      <c r="G1522" s="4" t="str">
        <f t="shared" si="93"/>
        <v>1st</v>
      </c>
      <c r="H1522" s="4" t="str">
        <f t="shared" si="94"/>
        <v>November</v>
      </c>
      <c r="I1522" s="4" t="str">
        <f t="shared" si="95"/>
        <v>2023</v>
      </c>
      <c r="J1522" s="10" t="s">
        <v>12</v>
      </c>
    </row>
    <row r="1523" spans="1:10" x14ac:dyDescent="0.35">
      <c r="A1523" s="9" t="s">
        <v>2826</v>
      </c>
      <c r="B1523" s="3">
        <v>1</v>
      </c>
      <c r="C1523" s="4" t="str">
        <f t="shared" si="92"/>
        <v>Bad</v>
      </c>
      <c r="D1523" s="3" t="s">
        <v>2971</v>
      </c>
      <c r="E1523" s="3" t="s">
        <v>2972</v>
      </c>
      <c r="F1523" s="5" t="s">
        <v>2970</v>
      </c>
      <c r="G1523" s="4" t="str">
        <f t="shared" si="93"/>
        <v>1st</v>
      </c>
      <c r="H1523" s="4" t="str">
        <f t="shared" si="94"/>
        <v>November</v>
      </c>
      <c r="I1523" s="4" t="str">
        <f t="shared" si="95"/>
        <v>2023</v>
      </c>
      <c r="J1523" s="10" t="s">
        <v>12</v>
      </c>
    </row>
    <row r="1524" spans="1:10" x14ac:dyDescent="0.35">
      <c r="A1524" s="9" t="s">
        <v>2826</v>
      </c>
      <c r="B1524" s="3">
        <v>1</v>
      </c>
      <c r="C1524" s="4" t="str">
        <f t="shared" si="92"/>
        <v>Bad</v>
      </c>
      <c r="D1524" s="3" t="s">
        <v>2973</v>
      </c>
      <c r="E1524" s="3" t="s">
        <v>2974</v>
      </c>
      <c r="F1524" s="5" t="s">
        <v>2970</v>
      </c>
      <c r="G1524" s="4" t="str">
        <f t="shared" si="93"/>
        <v>1st</v>
      </c>
      <c r="H1524" s="4" t="str">
        <f t="shared" si="94"/>
        <v>November</v>
      </c>
      <c r="I1524" s="4" t="str">
        <f t="shared" si="95"/>
        <v>2023</v>
      </c>
      <c r="J1524" s="10" t="s">
        <v>12</v>
      </c>
    </row>
    <row r="1525" spans="1:10" x14ac:dyDescent="0.35">
      <c r="A1525" s="9" t="s">
        <v>2826</v>
      </c>
      <c r="B1525" s="3">
        <v>7</v>
      </c>
      <c r="C1525" s="4" t="str">
        <f t="shared" si="92"/>
        <v>Neutral</v>
      </c>
      <c r="D1525" s="3" t="s">
        <v>2975</v>
      </c>
      <c r="E1525" s="3" t="s">
        <v>2976</v>
      </c>
      <c r="F1525" s="5" t="s">
        <v>2970</v>
      </c>
      <c r="G1525" s="4" t="str">
        <f t="shared" si="93"/>
        <v>1st</v>
      </c>
      <c r="H1525" s="4" t="str">
        <f t="shared" si="94"/>
        <v>November</v>
      </c>
      <c r="I1525" s="4" t="str">
        <f t="shared" si="95"/>
        <v>2023</v>
      </c>
      <c r="J1525" s="10" t="s">
        <v>9</v>
      </c>
    </row>
    <row r="1526" spans="1:10" x14ac:dyDescent="0.35">
      <c r="A1526" s="9" t="s">
        <v>2826</v>
      </c>
      <c r="B1526" s="3">
        <v>9</v>
      </c>
      <c r="C1526" s="4" t="str">
        <f t="shared" si="92"/>
        <v>Good</v>
      </c>
      <c r="D1526" s="3" t="s">
        <v>2977</v>
      </c>
      <c r="E1526" s="3" t="s">
        <v>2978</v>
      </c>
      <c r="F1526" s="5" t="s">
        <v>2970</v>
      </c>
      <c r="G1526" s="4" t="str">
        <f t="shared" si="93"/>
        <v>1st</v>
      </c>
      <c r="H1526" s="4" t="str">
        <f t="shared" si="94"/>
        <v>November</v>
      </c>
      <c r="I1526" s="4" t="str">
        <f t="shared" si="95"/>
        <v>2023</v>
      </c>
      <c r="J1526" s="10" t="s">
        <v>9</v>
      </c>
    </row>
    <row r="1527" spans="1:10" x14ac:dyDescent="0.35">
      <c r="A1527" s="9" t="s">
        <v>2826</v>
      </c>
      <c r="B1527" s="3">
        <v>2</v>
      </c>
      <c r="C1527" s="4" t="str">
        <f t="shared" si="92"/>
        <v>Bad</v>
      </c>
      <c r="D1527" s="3" t="s">
        <v>2979</v>
      </c>
      <c r="E1527" s="3" t="s">
        <v>2980</v>
      </c>
      <c r="F1527" s="5" t="s">
        <v>2970</v>
      </c>
      <c r="G1527" s="4" t="str">
        <f t="shared" si="93"/>
        <v>1st</v>
      </c>
      <c r="H1527" s="4" t="str">
        <f t="shared" si="94"/>
        <v>November</v>
      </c>
      <c r="I1527" s="4" t="str">
        <f t="shared" si="95"/>
        <v>2023</v>
      </c>
      <c r="J1527" s="10" t="s">
        <v>12</v>
      </c>
    </row>
    <row r="1528" spans="1:10" x14ac:dyDescent="0.35">
      <c r="A1528" s="9" t="s">
        <v>2826</v>
      </c>
      <c r="B1528" s="3">
        <v>10</v>
      </c>
      <c r="C1528" s="4" t="str">
        <f t="shared" si="92"/>
        <v>Good</v>
      </c>
      <c r="D1528" s="3" t="s">
        <v>2981</v>
      </c>
      <c r="E1528" s="3" t="s">
        <v>2982</v>
      </c>
      <c r="F1528" s="5" t="s">
        <v>2970</v>
      </c>
      <c r="G1528" s="4" t="str">
        <f t="shared" si="93"/>
        <v>1st</v>
      </c>
      <c r="H1528" s="4" t="str">
        <f t="shared" si="94"/>
        <v>November</v>
      </c>
      <c r="I1528" s="4" t="str">
        <f t="shared" si="95"/>
        <v>2023</v>
      </c>
      <c r="J1528" s="10" t="s">
        <v>9</v>
      </c>
    </row>
    <row r="1529" spans="1:10" x14ac:dyDescent="0.35">
      <c r="A1529" s="9" t="s">
        <v>2826</v>
      </c>
      <c r="B1529" s="3">
        <v>5</v>
      </c>
      <c r="C1529" s="4" t="str">
        <f t="shared" si="92"/>
        <v>Neutral</v>
      </c>
      <c r="D1529" s="3" t="s">
        <v>2983</v>
      </c>
      <c r="E1529" s="3" t="s">
        <v>2316</v>
      </c>
      <c r="F1529" s="5" t="s">
        <v>2970</v>
      </c>
      <c r="G1529" s="4" t="str">
        <f t="shared" si="93"/>
        <v>1st</v>
      </c>
      <c r="H1529" s="4" t="str">
        <f t="shared" si="94"/>
        <v>November</v>
      </c>
      <c r="I1529" s="4" t="str">
        <f t="shared" si="95"/>
        <v>2023</v>
      </c>
      <c r="J1529" s="10" t="s">
        <v>9</v>
      </c>
    </row>
    <row r="1530" spans="1:10" x14ac:dyDescent="0.35">
      <c r="A1530" s="9" t="s">
        <v>2826</v>
      </c>
      <c r="B1530" s="3">
        <v>2</v>
      </c>
      <c r="C1530" s="4" t="str">
        <f t="shared" si="92"/>
        <v>Bad</v>
      </c>
      <c r="D1530" s="3" t="s">
        <v>568</v>
      </c>
      <c r="E1530" s="3" t="s">
        <v>2984</v>
      </c>
      <c r="F1530" s="5" t="s">
        <v>2970</v>
      </c>
      <c r="G1530" s="4" t="str">
        <f t="shared" si="93"/>
        <v>1st</v>
      </c>
      <c r="H1530" s="4" t="str">
        <f t="shared" si="94"/>
        <v>November</v>
      </c>
      <c r="I1530" s="4" t="str">
        <f t="shared" si="95"/>
        <v>2023</v>
      </c>
      <c r="J1530" s="10" t="s">
        <v>12</v>
      </c>
    </row>
    <row r="1531" spans="1:10" x14ac:dyDescent="0.35">
      <c r="A1531" s="9" t="s">
        <v>2826</v>
      </c>
      <c r="B1531" s="3">
        <v>1</v>
      </c>
      <c r="C1531" s="4" t="str">
        <f t="shared" si="92"/>
        <v>Bad</v>
      </c>
      <c r="D1531" s="3" t="s">
        <v>2985</v>
      </c>
      <c r="E1531" s="3" t="s">
        <v>2986</v>
      </c>
      <c r="F1531" s="5" t="s">
        <v>2970</v>
      </c>
      <c r="G1531" s="4" t="str">
        <f t="shared" si="93"/>
        <v>1st</v>
      </c>
      <c r="H1531" s="4" t="str">
        <f t="shared" si="94"/>
        <v>November</v>
      </c>
      <c r="I1531" s="4" t="str">
        <f t="shared" si="95"/>
        <v>2023</v>
      </c>
      <c r="J1531" s="10" t="s">
        <v>12</v>
      </c>
    </row>
    <row r="1532" spans="1:10" x14ac:dyDescent="0.35">
      <c r="A1532" s="9" t="s">
        <v>2826</v>
      </c>
      <c r="B1532" s="3">
        <v>1</v>
      </c>
      <c r="C1532" s="4" t="str">
        <f t="shared" si="92"/>
        <v>Bad</v>
      </c>
      <c r="D1532" s="3" t="s">
        <v>471</v>
      </c>
      <c r="E1532" s="3" t="s">
        <v>2987</v>
      </c>
      <c r="F1532" s="5" t="s">
        <v>2988</v>
      </c>
      <c r="G1532" s="4" t="str">
        <f t="shared" si="93"/>
        <v>21st</v>
      </c>
      <c r="H1532" s="4" t="str">
        <f t="shared" si="94"/>
        <v>September</v>
      </c>
      <c r="I1532" s="4" t="str">
        <f t="shared" si="95"/>
        <v>2023</v>
      </c>
      <c r="J1532" s="10" t="s">
        <v>12</v>
      </c>
    </row>
    <row r="1533" spans="1:10" x14ac:dyDescent="0.35">
      <c r="A1533" s="9" t="s">
        <v>2826</v>
      </c>
      <c r="B1533" s="3">
        <v>9</v>
      </c>
      <c r="C1533" s="4" t="str">
        <f t="shared" si="92"/>
        <v>Good</v>
      </c>
      <c r="D1533" s="3" t="s">
        <v>2989</v>
      </c>
      <c r="E1533" s="3" t="s">
        <v>2990</v>
      </c>
      <c r="F1533" s="5" t="s">
        <v>2988</v>
      </c>
      <c r="G1533" s="4" t="str">
        <f t="shared" si="93"/>
        <v>21st</v>
      </c>
      <c r="H1533" s="4" t="str">
        <f t="shared" si="94"/>
        <v>September</v>
      </c>
      <c r="I1533" s="4" t="str">
        <f t="shared" si="95"/>
        <v>2023</v>
      </c>
      <c r="J1533" s="10" t="s">
        <v>9</v>
      </c>
    </row>
    <row r="1534" spans="1:10" x14ac:dyDescent="0.35">
      <c r="A1534" s="9" t="s">
        <v>2826</v>
      </c>
      <c r="B1534" s="3">
        <v>1</v>
      </c>
      <c r="C1534" s="4" t="str">
        <f t="shared" si="92"/>
        <v>Bad</v>
      </c>
      <c r="D1534" s="3" t="s">
        <v>2991</v>
      </c>
      <c r="E1534" s="3" t="s">
        <v>2992</v>
      </c>
      <c r="F1534" s="5" t="s">
        <v>2988</v>
      </c>
      <c r="G1534" s="4" t="str">
        <f t="shared" si="93"/>
        <v>21st</v>
      </c>
      <c r="H1534" s="4" t="str">
        <f t="shared" si="94"/>
        <v>September</v>
      </c>
      <c r="I1534" s="4" t="str">
        <f t="shared" si="95"/>
        <v>2023</v>
      </c>
      <c r="J1534" s="10" t="s">
        <v>12</v>
      </c>
    </row>
    <row r="1535" spans="1:10" x14ac:dyDescent="0.35">
      <c r="A1535" s="9" t="s">
        <v>2826</v>
      </c>
      <c r="B1535" s="3">
        <v>9</v>
      </c>
      <c r="C1535" s="4" t="str">
        <f t="shared" si="92"/>
        <v>Good</v>
      </c>
      <c r="D1535" s="3" t="s">
        <v>2993</v>
      </c>
      <c r="E1535" s="3" t="s">
        <v>2994</v>
      </c>
      <c r="F1535" s="5" t="s">
        <v>2988</v>
      </c>
      <c r="G1535" s="4" t="str">
        <f t="shared" si="93"/>
        <v>21st</v>
      </c>
      <c r="H1535" s="4" t="str">
        <f t="shared" si="94"/>
        <v>September</v>
      </c>
      <c r="I1535" s="4" t="str">
        <f t="shared" si="95"/>
        <v>2023</v>
      </c>
      <c r="J1535" s="10" t="s">
        <v>9</v>
      </c>
    </row>
    <row r="1536" spans="1:10" x14ac:dyDescent="0.35">
      <c r="A1536" s="9" t="s">
        <v>2826</v>
      </c>
      <c r="B1536" s="3">
        <v>1</v>
      </c>
      <c r="C1536" s="4" t="str">
        <f t="shared" si="92"/>
        <v>Bad</v>
      </c>
      <c r="D1536" s="3" t="s">
        <v>2995</v>
      </c>
      <c r="E1536" s="3" t="s">
        <v>2996</v>
      </c>
      <c r="F1536" s="5" t="s">
        <v>2988</v>
      </c>
      <c r="G1536" s="4" t="str">
        <f t="shared" si="93"/>
        <v>21st</v>
      </c>
      <c r="H1536" s="4" t="str">
        <f t="shared" si="94"/>
        <v>September</v>
      </c>
      <c r="I1536" s="4" t="str">
        <f t="shared" si="95"/>
        <v>2023</v>
      </c>
      <c r="J1536" s="10" t="s">
        <v>12</v>
      </c>
    </row>
    <row r="1537" spans="1:10" x14ac:dyDescent="0.35">
      <c r="A1537" s="9" t="s">
        <v>2826</v>
      </c>
      <c r="B1537" s="3">
        <v>1</v>
      </c>
      <c r="C1537" s="4" t="str">
        <f t="shared" si="92"/>
        <v>Bad</v>
      </c>
      <c r="D1537" s="3" t="s">
        <v>2997</v>
      </c>
      <c r="E1537" s="3" t="s">
        <v>2998</v>
      </c>
      <c r="F1537" s="5" t="s">
        <v>2988</v>
      </c>
      <c r="G1537" s="4" t="str">
        <f t="shared" si="93"/>
        <v>21st</v>
      </c>
      <c r="H1537" s="4" t="str">
        <f t="shared" si="94"/>
        <v>September</v>
      </c>
      <c r="I1537" s="4" t="str">
        <f t="shared" si="95"/>
        <v>2023</v>
      </c>
      <c r="J1537" s="10" t="s">
        <v>12</v>
      </c>
    </row>
    <row r="1538" spans="1:10" x14ac:dyDescent="0.35">
      <c r="A1538" s="9" t="s">
        <v>2826</v>
      </c>
      <c r="B1538" s="3">
        <v>9</v>
      </c>
      <c r="C1538" s="4" t="str">
        <f t="shared" si="92"/>
        <v>Good</v>
      </c>
      <c r="D1538" s="3" t="s">
        <v>2999</v>
      </c>
      <c r="E1538" s="3" t="s">
        <v>3000</v>
      </c>
      <c r="F1538" s="5" t="s">
        <v>2988</v>
      </c>
      <c r="G1538" s="4" t="str">
        <f t="shared" si="93"/>
        <v>21st</v>
      </c>
      <c r="H1538" s="4" t="str">
        <f t="shared" si="94"/>
        <v>September</v>
      </c>
      <c r="I1538" s="4" t="str">
        <f t="shared" si="95"/>
        <v>2023</v>
      </c>
      <c r="J1538" s="10" t="s">
        <v>9</v>
      </c>
    </row>
    <row r="1539" spans="1:10" x14ac:dyDescent="0.35">
      <c r="A1539" s="9" t="s">
        <v>2826</v>
      </c>
      <c r="B1539" s="3">
        <v>10</v>
      </c>
      <c r="C1539" s="4" t="str">
        <f t="shared" ref="C1539:C1602" si="96">IF(B1539&gt;=8,"Good",IF(B1539&gt;=5,"Neutral","Bad"))</f>
        <v>Good</v>
      </c>
      <c r="D1539" s="3" t="s">
        <v>3001</v>
      </c>
      <c r="E1539" s="3" t="s">
        <v>3002</v>
      </c>
      <c r="F1539" s="5" t="s">
        <v>2988</v>
      </c>
      <c r="G1539" s="4" t="str">
        <f t="shared" ref="G1539:G1602" si="97">LEFT(F1539, FIND(" ", F1539)-1)</f>
        <v>21st</v>
      </c>
      <c r="H1539" s="4" t="str">
        <f t="shared" ref="H1539:H1602" si="98">TRIM(MID(F1539, FIND(" ", F1539)+1, FIND(" ", F1539, FIND(" ", F1539)+1) - FIND(" ", F1539)-1))</f>
        <v>September</v>
      </c>
      <c r="I1539" s="4" t="str">
        <f t="shared" ref="I1539:I1602" si="99">RIGHT(F1539, 4)</f>
        <v>2023</v>
      </c>
      <c r="J1539" s="10" t="s">
        <v>9</v>
      </c>
    </row>
    <row r="1540" spans="1:10" x14ac:dyDescent="0.35">
      <c r="A1540" s="9" t="s">
        <v>2826</v>
      </c>
      <c r="B1540" s="3">
        <v>10</v>
      </c>
      <c r="C1540" s="4" t="str">
        <f t="shared" si="96"/>
        <v>Good</v>
      </c>
      <c r="D1540" s="3" t="s">
        <v>3003</v>
      </c>
      <c r="E1540" s="3" t="s">
        <v>3004</v>
      </c>
      <c r="F1540" s="5" t="s">
        <v>2988</v>
      </c>
      <c r="G1540" s="4" t="str">
        <f t="shared" si="97"/>
        <v>21st</v>
      </c>
      <c r="H1540" s="4" t="str">
        <f t="shared" si="98"/>
        <v>September</v>
      </c>
      <c r="I1540" s="4" t="str">
        <f t="shared" si="99"/>
        <v>2023</v>
      </c>
      <c r="J1540" s="10" t="s">
        <v>9</v>
      </c>
    </row>
    <row r="1541" spans="1:10" x14ac:dyDescent="0.35">
      <c r="A1541" s="9" t="s">
        <v>2826</v>
      </c>
      <c r="B1541" s="3">
        <v>1</v>
      </c>
      <c r="C1541" s="4" t="str">
        <f t="shared" si="96"/>
        <v>Bad</v>
      </c>
      <c r="D1541" s="3" t="s">
        <v>3005</v>
      </c>
      <c r="E1541" s="3" t="s">
        <v>3006</v>
      </c>
      <c r="F1541" s="5" t="s">
        <v>2988</v>
      </c>
      <c r="G1541" s="4" t="str">
        <f t="shared" si="97"/>
        <v>21st</v>
      </c>
      <c r="H1541" s="4" t="str">
        <f t="shared" si="98"/>
        <v>September</v>
      </c>
      <c r="I1541" s="4" t="str">
        <f t="shared" si="99"/>
        <v>2023</v>
      </c>
      <c r="J1541" s="10" t="s">
        <v>12</v>
      </c>
    </row>
    <row r="1542" spans="1:10" x14ac:dyDescent="0.35">
      <c r="A1542" s="9" t="s">
        <v>2826</v>
      </c>
      <c r="B1542" s="3">
        <v>2</v>
      </c>
      <c r="C1542" s="4" t="str">
        <f t="shared" si="96"/>
        <v>Bad</v>
      </c>
      <c r="D1542" s="3" t="s">
        <v>3007</v>
      </c>
      <c r="E1542" s="3" t="s">
        <v>3008</v>
      </c>
      <c r="F1542" s="5" t="s">
        <v>3009</v>
      </c>
      <c r="G1542" s="4" t="str">
        <f t="shared" si="97"/>
        <v>11th</v>
      </c>
      <c r="H1542" s="4" t="str">
        <f t="shared" si="98"/>
        <v>July</v>
      </c>
      <c r="I1542" s="4" t="str">
        <f t="shared" si="99"/>
        <v>2023</v>
      </c>
      <c r="J1542" s="10" t="s">
        <v>12</v>
      </c>
    </row>
    <row r="1543" spans="1:10" x14ac:dyDescent="0.35">
      <c r="A1543" s="9" t="s">
        <v>2826</v>
      </c>
      <c r="B1543" s="3">
        <v>1</v>
      </c>
      <c r="C1543" s="4" t="str">
        <f t="shared" si="96"/>
        <v>Bad</v>
      </c>
      <c r="D1543" s="3" t="s">
        <v>3010</v>
      </c>
      <c r="E1543" s="3" t="s">
        <v>3011</v>
      </c>
      <c r="F1543" s="5" t="s">
        <v>3009</v>
      </c>
      <c r="G1543" s="4" t="str">
        <f t="shared" si="97"/>
        <v>11th</v>
      </c>
      <c r="H1543" s="4" t="str">
        <f t="shared" si="98"/>
        <v>July</v>
      </c>
      <c r="I1543" s="4" t="str">
        <f t="shared" si="99"/>
        <v>2023</v>
      </c>
      <c r="J1543" s="10" t="s">
        <v>12</v>
      </c>
    </row>
    <row r="1544" spans="1:10" x14ac:dyDescent="0.35">
      <c r="A1544" s="9" t="s">
        <v>2826</v>
      </c>
      <c r="B1544" s="3">
        <v>1</v>
      </c>
      <c r="C1544" s="4" t="str">
        <f t="shared" si="96"/>
        <v>Bad</v>
      </c>
      <c r="D1544" s="3" t="s">
        <v>3012</v>
      </c>
      <c r="E1544" s="3" t="s">
        <v>3013</v>
      </c>
      <c r="F1544" s="5" t="s">
        <v>3009</v>
      </c>
      <c r="G1544" s="4" t="str">
        <f t="shared" si="97"/>
        <v>11th</v>
      </c>
      <c r="H1544" s="4" t="str">
        <f t="shared" si="98"/>
        <v>July</v>
      </c>
      <c r="I1544" s="4" t="str">
        <f t="shared" si="99"/>
        <v>2023</v>
      </c>
      <c r="J1544" s="10" t="s">
        <v>12</v>
      </c>
    </row>
    <row r="1545" spans="1:10" x14ac:dyDescent="0.35">
      <c r="A1545" s="9" t="s">
        <v>2826</v>
      </c>
      <c r="B1545" s="3">
        <v>1</v>
      </c>
      <c r="C1545" s="4" t="str">
        <f t="shared" si="96"/>
        <v>Bad</v>
      </c>
      <c r="D1545" s="3" t="s">
        <v>3014</v>
      </c>
      <c r="E1545" s="3" t="s">
        <v>3015</v>
      </c>
      <c r="F1545" s="5" t="s">
        <v>3009</v>
      </c>
      <c r="G1545" s="4" t="str">
        <f t="shared" si="97"/>
        <v>11th</v>
      </c>
      <c r="H1545" s="4" t="str">
        <f t="shared" si="98"/>
        <v>July</v>
      </c>
      <c r="I1545" s="4" t="str">
        <f t="shared" si="99"/>
        <v>2023</v>
      </c>
      <c r="J1545" s="10" t="s">
        <v>12</v>
      </c>
    </row>
    <row r="1546" spans="1:10" x14ac:dyDescent="0.35">
      <c r="A1546" s="9" t="s">
        <v>2826</v>
      </c>
      <c r="B1546" s="3">
        <v>9</v>
      </c>
      <c r="C1546" s="4" t="str">
        <f t="shared" si="96"/>
        <v>Good</v>
      </c>
      <c r="D1546" s="3" t="s">
        <v>3016</v>
      </c>
      <c r="E1546" s="3" t="s">
        <v>3017</v>
      </c>
      <c r="F1546" s="5" t="s">
        <v>3009</v>
      </c>
      <c r="G1546" s="4" t="str">
        <f t="shared" si="97"/>
        <v>11th</v>
      </c>
      <c r="H1546" s="4" t="str">
        <f t="shared" si="98"/>
        <v>July</v>
      </c>
      <c r="I1546" s="4" t="str">
        <f t="shared" si="99"/>
        <v>2023</v>
      </c>
      <c r="J1546" s="10" t="s">
        <v>9</v>
      </c>
    </row>
    <row r="1547" spans="1:10" x14ac:dyDescent="0.35">
      <c r="A1547" s="9" t="s">
        <v>2826</v>
      </c>
      <c r="B1547" s="3">
        <v>1</v>
      </c>
      <c r="C1547" s="4" t="str">
        <f t="shared" si="96"/>
        <v>Bad</v>
      </c>
      <c r="D1547" s="3" t="s">
        <v>3018</v>
      </c>
      <c r="E1547" s="3" t="s">
        <v>3019</v>
      </c>
      <c r="F1547" s="5" t="s">
        <v>3009</v>
      </c>
      <c r="G1547" s="4" t="str">
        <f t="shared" si="97"/>
        <v>11th</v>
      </c>
      <c r="H1547" s="4" t="str">
        <f t="shared" si="98"/>
        <v>July</v>
      </c>
      <c r="I1547" s="4" t="str">
        <f t="shared" si="99"/>
        <v>2023</v>
      </c>
      <c r="J1547" s="10" t="s">
        <v>12</v>
      </c>
    </row>
    <row r="1548" spans="1:10" x14ac:dyDescent="0.35">
      <c r="A1548" s="9" t="s">
        <v>2826</v>
      </c>
      <c r="B1548" s="3">
        <v>1</v>
      </c>
      <c r="C1548" s="4" t="str">
        <f t="shared" si="96"/>
        <v>Bad</v>
      </c>
      <c r="D1548" s="3" t="s">
        <v>1043</v>
      </c>
      <c r="E1548" s="3" t="s">
        <v>3020</v>
      </c>
      <c r="F1548" s="5" t="s">
        <v>3009</v>
      </c>
      <c r="G1548" s="4" t="str">
        <f t="shared" si="97"/>
        <v>11th</v>
      </c>
      <c r="H1548" s="4" t="str">
        <f t="shared" si="98"/>
        <v>July</v>
      </c>
      <c r="I1548" s="4" t="str">
        <f t="shared" si="99"/>
        <v>2023</v>
      </c>
      <c r="J1548" s="10" t="s">
        <v>12</v>
      </c>
    </row>
    <row r="1549" spans="1:10" x14ac:dyDescent="0.35">
      <c r="A1549" s="9" t="s">
        <v>2826</v>
      </c>
      <c r="B1549" s="3">
        <v>2</v>
      </c>
      <c r="C1549" s="4" t="str">
        <f t="shared" si="96"/>
        <v>Bad</v>
      </c>
      <c r="D1549" s="3" t="s">
        <v>3021</v>
      </c>
      <c r="E1549" s="3" t="s">
        <v>3022</v>
      </c>
      <c r="F1549" s="5" t="s">
        <v>3009</v>
      </c>
      <c r="G1549" s="4" t="str">
        <f t="shared" si="97"/>
        <v>11th</v>
      </c>
      <c r="H1549" s="4" t="str">
        <f t="shared" si="98"/>
        <v>July</v>
      </c>
      <c r="I1549" s="4" t="str">
        <f t="shared" si="99"/>
        <v>2023</v>
      </c>
      <c r="J1549" s="10" t="s">
        <v>12</v>
      </c>
    </row>
    <row r="1550" spans="1:10" x14ac:dyDescent="0.35">
      <c r="A1550" s="9" t="s">
        <v>2826</v>
      </c>
      <c r="B1550" s="3">
        <v>1</v>
      </c>
      <c r="C1550" s="4" t="str">
        <f t="shared" si="96"/>
        <v>Bad</v>
      </c>
      <c r="D1550" s="3" t="s">
        <v>3023</v>
      </c>
      <c r="E1550" s="3" t="s">
        <v>3024</v>
      </c>
      <c r="F1550" s="5" t="s">
        <v>3009</v>
      </c>
      <c r="G1550" s="4" t="str">
        <f t="shared" si="97"/>
        <v>11th</v>
      </c>
      <c r="H1550" s="4" t="str">
        <f t="shared" si="98"/>
        <v>July</v>
      </c>
      <c r="I1550" s="4" t="str">
        <f t="shared" si="99"/>
        <v>2023</v>
      </c>
      <c r="J1550" s="10" t="s">
        <v>12</v>
      </c>
    </row>
    <row r="1551" spans="1:10" x14ac:dyDescent="0.35">
      <c r="A1551" s="9" t="s">
        <v>2826</v>
      </c>
      <c r="B1551" s="3">
        <v>1</v>
      </c>
      <c r="C1551" s="4" t="str">
        <f t="shared" si="96"/>
        <v>Bad</v>
      </c>
      <c r="D1551" s="3" t="s">
        <v>3025</v>
      </c>
      <c r="E1551" s="3" t="s">
        <v>3026</v>
      </c>
      <c r="F1551" s="5" t="s">
        <v>3009</v>
      </c>
      <c r="G1551" s="4" t="str">
        <f t="shared" si="97"/>
        <v>11th</v>
      </c>
      <c r="H1551" s="4" t="str">
        <f t="shared" si="98"/>
        <v>July</v>
      </c>
      <c r="I1551" s="4" t="str">
        <f t="shared" si="99"/>
        <v>2023</v>
      </c>
      <c r="J1551" s="10" t="s">
        <v>12</v>
      </c>
    </row>
    <row r="1552" spans="1:10" x14ac:dyDescent="0.35">
      <c r="A1552" s="9" t="s">
        <v>2826</v>
      </c>
      <c r="B1552" s="3">
        <v>1</v>
      </c>
      <c r="C1552" s="4" t="str">
        <f t="shared" si="96"/>
        <v>Bad</v>
      </c>
      <c r="D1552" s="3" t="s">
        <v>3027</v>
      </c>
      <c r="E1552" s="3" t="s">
        <v>3028</v>
      </c>
      <c r="F1552" s="5" t="s">
        <v>3029</v>
      </c>
      <c r="G1552" s="4" t="str">
        <f t="shared" si="97"/>
        <v>2nd</v>
      </c>
      <c r="H1552" s="4" t="str">
        <f t="shared" si="98"/>
        <v>June</v>
      </c>
      <c r="I1552" s="4" t="str">
        <f t="shared" si="99"/>
        <v>2023</v>
      </c>
      <c r="J1552" s="10" t="s">
        <v>12</v>
      </c>
    </row>
    <row r="1553" spans="1:10" x14ac:dyDescent="0.35">
      <c r="A1553" s="9" t="s">
        <v>2826</v>
      </c>
      <c r="B1553" s="3">
        <v>1</v>
      </c>
      <c r="C1553" s="4" t="str">
        <f t="shared" si="96"/>
        <v>Bad</v>
      </c>
      <c r="D1553" s="3" t="s">
        <v>799</v>
      </c>
      <c r="E1553" s="3" t="s">
        <v>3030</v>
      </c>
      <c r="F1553" s="5" t="s">
        <v>3029</v>
      </c>
      <c r="G1553" s="4" t="str">
        <f t="shared" si="97"/>
        <v>2nd</v>
      </c>
      <c r="H1553" s="4" t="str">
        <f t="shared" si="98"/>
        <v>June</v>
      </c>
      <c r="I1553" s="4" t="str">
        <f t="shared" si="99"/>
        <v>2023</v>
      </c>
      <c r="J1553" s="10" t="s">
        <v>12</v>
      </c>
    </row>
    <row r="1554" spans="1:10" x14ac:dyDescent="0.35">
      <c r="A1554" s="9" t="s">
        <v>2826</v>
      </c>
      <c r="B1554" s="3">
        <v>2</v>
      </c>
      <c r="C1554" s="4" t="str">
        <f t="shared" si="96"/>
        <v>Bad</v>
      </c>
      <c r="D1554" s="3" t="s">
        <v>3031</v>
      </c>
      <c r="E1554" s="3" t="s">
        <v>3032</v>
      </c>
      <c r="F1554" s="5" t="s">
        <v>3029</v>
      </c>
      <c r="G1554" s="4" t="str">
        <f t="shared" si="97"/>
        <v>2nd</v>
      </c>
      <c r="H1554" s="4" t="str">
        <f t="shared" si="98"/>
        <v>June</v>
      </c>
      <c r="I1554" s="4" t="str">
        <f t="shared" si="99"/>
        <v>2023</v>
      </c>
      <c r="J1554" s="10" t="s">
        <v>12</v>
      </c>
    </row>
    <row r="1555" spans="1:10" x14ac:dyDescent="0.35">
      <c r="A1555" s="9" t="s">
        <v>2826</v>
      </c>
      <c r="B1555" s="3">
        <v>1</v>
      </c>
      <c r="C1555" s="4" t="str">
        <f t="shared" si="96"/>
        <v>Bad</v>
      </c>
      <c r="D1555" s="3" t="s">
        <v>3033</v>
      </c>
      <c r="E1555" s="3" t="s">
        <v>3034</v>
      </c>
      <c r="F1555" s="5" t="s">
        <v>3029</v>
      </c>
      <c r="G1555" s="4" t="str">
        <f t="shared" si="97"/>
        <v>2nd</v>
      </c>
      <c r="H1555" s="4" t="str">
        <f t="shared" si="98"/>
        <v>June</v>
      </c>
      <c r="I1555" s="4" t="str">
        <f t="shared" si="99"/>
        <v>2023</v>
      </c>
      <c r="J1555" s="10" t="s">
        <v>12</v>
      </c>
    </row>
    <row r="1556" spans="1:10" x14ac:dyDescent="0.35">
      <c r="A1556" s="9" t="s">
        <v>2826</v>
      </c>
      <c r="B1556" s="3">
        <v>3</v>
      </c>
      <c r="C1556" s="4" t="str">
        <f t="shared" si="96"/>
        <v>Bad</v>
      </c>
      <c r="D1556" s="3" t="s">
        <v>3035</v>
      </c>
      <c r="E1556" s="3" t="s">
        <v>3036</v>
      </c>
      <c r="F1556" s="5" t="s">
        <v>3029</v>
      </c>
      <c r="G1556" s="4" t="str">
        <f t="shared" si="97"/>
        <v>2nd</v>
      </c>
      <c r="H1556" s="4" t="str">
        <f t="shared" si="98"/>
        <v>June</v>
      </c>
      <c r="I1556" s="4" t="str">
        <f t="shared" si="99"/>
        <v>2023</v>
      </c>
      <c r="J1556" s="10" t="s">
        <v>12</v>
      </c>
    </row>
    <row r="1557" spans="1:10" x14ac:dyDescent="0.35">
      <c r="A1557" s="9" t="s">
        <v>2826</v>
      </c>
      <c r="B1557" s="3">
        <v>1</v>
      </c>
      <c r="C1557" s="4" t="str">
        <f t="shared" si="96"/>
        <v>Bad</v>
      </c>
      <c r="D1557" s="3" t="s">
        <v>3037</v>
      </c>
      <c r="E1557" s="3" t="s">
        <v>3038</v>
      </c>
      <c r="F1557" s="5" t="s">
        <v>3029</v>
      </c>
      <c r="G1557" s="4" t="str">
        <f t="shared" si="97"/>
        <v>2nd</v>
      </c>
      <c r="H1557" s="4" t="str">
        <f t="shared" si="98"/>
        <v>June</v>
      </c>
      <c r="I1557" s="4" t="str">
        <f t="shared" si="99"/>
        <v>2023</v>
      </c>
      <c r="J1557" s="10" t="s">
        <v>12</v>
      </c>
    </row>
    <row r="1558" spans="1:10" x14ac:dyDescent="0.35">
      <c r="A1558" s="9" t="s">
        <v>2826</v>
      </c>
      <c r="B1558" s="3">
        <v>1</v>
      </c>
      <c r="C1558" s="4" t="str">
        <f t="shared" si="96"/>
        <v>Bad</v>
      </c>
      <c r="D1558" s="3" t="s">
        <v>3039</v>
      </c>
      <c r="E1558" s="3" t="s">
        <v>3040</v>
      </c>
      <c r="F1558" s="5" t="s">
        <v>3029</v>
      </c>
      <c r="G1558" s="4" t="str">
        <f t="shared" si="97"/>
        <v>2nd</v>
      </c>
      <c r="H1558" s="4" t="str">
        <f t="shared" si="98"/>
        <v>June</v>
      </c>
      <c r="I1558" s="4" t="str">
        <f t="shared" si="99"/>
        <v>2023</v>
      </c>
      <c r="J1558" s="10" t="s">
        <v>12</v>
      </c>
    </row>
    <row r="1559" spans="1:10" x14ac:dyDescent="0.35">
      <c r="A1559" s="9" t="s">
        <v>2826</v>
      </c>
      <c r="B1559" s="3">
        <v>1</v>
      </c>
      <c r="C1559" s="4" t="str">
        <f t="shared" si="96"/>
        <v>Bad</v>
      </c>
      <c r="D1559" s="3" t="s">
        <v>3041</v>
      </c>
      <c r="E1559" s="3" t="s">
        <v>3042</v>
      </c>
      <c r="F1559" s="5" t="s">
        <v>3029</v>
      </c>
      <c r="G1559" s="4" t="str">
        <f t="shared" si="97"/>
        <v>2nd</v>
      </c>
      <c r="H1559" s="4" t="str">
        <f t="shared" si="98"/>
        <v>June</v>
      </c>
      <c r="I1559" s="4" t="str">
        <f t="shared" si="99"/>
        <v>2023</v>
      </c>
      <c r="J1559" s="10" t="s">
        <v>12</v>
      </c>
    </row>
    <row r="1560" spans="1:10" x14ac:dyDescent="0.35">
      <c r="A1560" s="9" t="s">
        <v>2826</v>
      </c>
      <c r="B1560" s="3">
        <v>1</v>
      </c>
      <c r="C1560" s="4" t="str">
        <f t="shared" si="96"/>
        <v>Bad</v>
      </c>
      <c r="D1560" s="3" t="s">
        <v>3043</v>
      </c>
      <c r="E1560" s="3" t="s">
        <v>3044</v>
      </c>
      <c r="F1560" s="5" t="s">
        <v>3029</v>
      </c>
      <c r="G1560" s="4" t="str">
        <f t="shared" si="97"/>
        <v>2nd</v>
      </c>
      <c r="H1560" s="4" t="str">
        <f t="shared" si="98"/>
        <v>June</v>
      </c>
      <c r="I1560" s="4" t="str">
        <f t="shared" si="99"/>
        <v>2023</v>
      </c>
      <c r="J1560" s="10" t="s">
        <v>12</v>
      </c>
    </row>
    <row r="1561" spans="1:10" x14ac:dyDescent="0.35">
      <c r="A1561" s="9" t="s">
        <v>2826</v>
      </c>
      <c r="B1561" s="3">
        <v>1</v>
      </c>
      <c r="C1561" s="4" t="str">
        <f t="shared" si="96"/>
        <v>Bad</v>
      </c>
      <c r="D1561" s="3" t="s">
        <v>3045</v>
      </c>
      <c r="E1561" s="3" t="s">
        <v>3046</v>
      </c>
      <c r="F1561" s="5" t="s">
        <v>3029</v>
      </c>
      <c r="G1561" s="4" t="str">
        <f t="shared" si="97"/>
        <v>2nd</v>
      </c>
      <c r="H1561" s="4" t="str">
        <f t="shared" si="98"/>
        <v>June</v>
      </c>
      <c r="I1561" s="4" t="str">
        <f t="shared" si="99"/>
        <v>2023</v>
      </c>
      <c r="J1561" s="10" t="s">
        <v>12</v>
      </c>
    </row>
    <row r="1562" spans="1:10" x14ac:dyDescent="0.35">
      <c r="A1562" s="9" t="s">
        <v>2826</v>
      </c>
      <c r="B1562" s="3">
        <v>1</v>
      </c>
      <c r="C1562" s="4" t="str">
        <f t="shared" si="96"/>
        <v>Bad</v>
      </c>
      <c r="D1562" s="3" t="s">
        <v>3047</v>
      </c>
      <c r="E1562" s="3" t="s">
        <v>3048</v>
      </c>
      <c r="F1562" s="5" t="s">
        <v>1656</v>
      </c>
      <c r="G1562" s="4" t="str">
        <f t="shared" si="97"/>
        <v>25th</v>
      </c>
      <c r="H1562" s="4" t="str">
        <f t="shared" si="98"/>
        <v>March</v>
      </c>
      <c r="I1562" s="4" t="str">
        <f t="shared" si="99"/>
        <v>2023</v>
      </c>
      <c r="J1562" s="10" t="s">
        <v>12</v>
      </c>
    </row>
    <row r="1563" spans="1:10" x14ac:dyDescent="0.35">
      <c r="A1563" s="9" t="s">
        <v>2826</v>
      </c>
      <c r="B1563" s="3">
        <v>1</v>
      </c>
      <c r="C1563" s="4" t="str">
        <f t="shared" si="96"/>
        <v>Bad</v>
      </c>
      <c r="D1563" s="3" t="s">
        <v>3049</v>
      </c>
      <c r="E1563" s="3" t="s">
        <v>3050</v>
      </c>
      <c r="F1563" s="5" t="s">
        <v>1656</v>
      </c>
      <c r="G1563" s="4" t="str">
        <f t="shared" si="97"/>
        <v>25th</v>
      </c>
      <c r="H1563" s="4" t="str">
        <f t="shared" si="98"/>
        <v>March</v>
      </c>
      <c r="I1563" s="4" t="str">
        <f t="shared" si="99"/>
        <v>2023</v>
      </c>
      <c r="J1563" s="10" t="s">
        <v>12</v>
      </c>
    </row>
    <row r="1564" spans="1:10" x14ac:dyDescent="0.35">
      <c r="A1564" s="9" t="s">
        <v>2826</v>
      </c>
      <c r="B1564" s="3">
        <v>1</v>
      </c>
      <c r="C1564" s="4" t="str">
        <f t="shared" si="96"/>
        <v>Bad</v>
      </c>
      <c r="D1564" s="3" t="s">
        <v>1704</v>
      </c>
      <c r="E1564" s="3" t="s">
        <v>3051</v>
      </c>
      <c r="F1564" s="5" t="s">
        <v>1656</v>
      </c>
      <c r="G1564" s="4" t="str">
        <f t="shared" si="97"/>
        <v>25th</v>
      </c>
      <c r="H1564" s="4" t="str">
        <f t="shared" si="98"/>
        <v>March</v>
      </c>
      <c r="I1564" s="4" t="str">
        <f t="shared" si="99"/>
        <v>2023</v>
      </c>
      <c r="J1564" s="10" t="s">
        <v>12</v>
      </c>
    </row>
    <row r="1565" spans="1:10" x14ac:dyDescent="0.35">
      <c r="A1565" s="9" t="s">
        <v>2826</v>
      </c>
      <c r="B1565" s="3">
        <v>1</v>
      </c>
      <c r="C1565" s="4" t="str">
        <f t="shared" si="96"/>
        <v>Bad</v>
      </c>
      <c r="D1565" s="3" t="s">
        <v>3052</v>
      </c>
      <c r="E1565" s="3" t="s">
        <v>3053</v>
      </c>
      <c r="F1565" s="5" t="s">
        <v>1656</v>
      </c>
      <c r="G1565" s="4" t="str">
        <f t="shared" si="97"/>
        <v>25th</v>
      </c>
      <c r="H1565" s="4" t="str">
        <f t="shared" si="98"/>
        <v>March</v>
      </c>
      <c r="I1565" s="4" t="str">
        <f t="shared" si="99"/>
        <v>2023</v>
      </c>
      <c r="J1565" s="10" t="s">
        <v>12</v>
      </c>
    </row>
    <row r="1566" spans="1:10" x14ac:dyDescent="0.35">
      <c r="A1566" s="9" t="s">
        <v>2826</v>
      </c>
      <c r="B1566" s="3">
        <v>1</v>
      </c>
      <c r="C1566" s="4" t="str">
        <f t="shared" si="96"/>
        <v>Bad</v>
      </c>
      <c r="D1566" s="3" t="s">
        <v>3054</v>
      </c>
      <c r="E1566" s="3" t="s">
        <v>3055</v>
      </c>
      <c r="F1566" s="5" t="s">
        <v>1656</v>
      </c>
      <c r="G1566" s="4" t="str">
        <f t="shared" si="97"/>
        <v>25th</v>
      </c>
      <c r="H1566" s="4" t="str">
        <f t="shared" si="98"/>
        <v>March</v>
      </c>
      <c r="I1566" s="4" t="str">
        <f t="shared" si="99"/>
        <v>2023</v>
      </c>
      <c r="J1566" s="10" t="s">
        <v>12</v>
      </c>
    </row>
    <row r="1567" spans="1:10" x14ac:dyDescent="0.35">
      <c r="A1567" s="9" t="s">
        <v>2826</v>
      </c>
      <c r="B1567" s="3">
        <v>1</v>
      </c>
      <c r="C1567" s="4" t="str">
        <f t="shared" si="96"/>
        <v>Bad</v>
      </c>
      <c r="D1567" s="3" t="s">
        <v>3056</v>
      </c>
      <c r="E1567" s="3" t="s">
        <v>3057</v>
      </c>
      <c r="F1567" s="5" t="s">
        <v>1656</v>
      </c>
      <c r="G1567" s="4" t="str">
        <f t="shared" si="97"/>
        <v>25th</v>
      </c>
      <c r="H1567" s="4" t="str">
        <f t="shared" si="98"/>
        <v>March</v>
      </c>
      <c r="I1567" s="4" t="str">
        <f t="shared" si="99"/>
        <v>2023</v>
      </c>
      <c r="J1567" s="10" t="s">
        <v>12</v>
      </c>
    </row>
    <row r="1568" spans="1:10" x14ac:dyDescent="0.35">
      <c r="A1568" s="9" t="s">
        <v>2826</v>
      </c>
      <c r="B1568" s="3">
        <v>5</v>
      </c>
      <c r="C1568" s="4" t="str">
        <f t="shared" si="96"/>
        <v>Neutral</v>
      </c>
      <c r="D1568" s="3" t="s">
        <v>3058</v>
      </c>
      <c r="E1568" s="3" t="s">
        <v>677</v>
      </c>
      <c r="F1568" s="5" t="s">
        <v>1656</v>
      </c>
      <c r="G1568" s="4" t="str">
        <f t="shared" si="97"/>
        <v>25th</v>
      </c>
      <c r="H1568" s="4" t="str">
        <f t="shared" si="98"/>
        <v>March</v>
      </c>
      <c r="I1568" s="4" t="str">
        <f t="shared" si="99"/>
        <v>2023</v>
      </c>
      <c r="J1568" s="10" t="s">
        <v>9</v>
      </c>
    </row>
    <row r="1569" spans="1:10" x14ac:dyDescent="0.35">
      <c r="A1569" s="9" t="s">
        <v>2826</v>
      </c>
      <c r="B1569" s="3">
        <v>1</v>
      </c>
      <c r="C1569" s="4" t="str">
        <f t="shared" si="96"/>
        <v>Bad</v>
      </c>
      <c r="D1569" s="3" t="s">
        <v>3054</v>
      </c>
      <c r="E1569" s="3" t="s">
        <v>3059</v>
      </c>
      <c r="F1569" s="5" t="s">
        <v>1656</v>
      </c>
      <c r="G1569" s="4" t="str">
        <f t="shared" si="97"/>
        <v>25th</v>
      </c>
      <c r="H1569" s="4" t="str">
        <f t="shared" si="98"/>
        <v>March</v>
      </c>
      <c r="I1569" s="4" t="str">
        <f t="shared" si="99"/>
        <v>2023</v>
      </c>
      <c r="J1569" s="10" t="s">
        <v>12</v>
      </c>
    </row>
    <row r="1570" spans="1:10" x14ac:dyDescent="0.35">
      <c r="A1570" s="9" t="s">
        <v>2826</v>
      </c>
      <c r="B1570" s="3">
        <v>3</v>
      </c>
      <c r="C1570" s="4" t="str">
        <f t="shared" si="96"/>
        <v>Bad</v>
      </c>
      <c r="D1570" s="3" t="s">
        <v>3060</v>
      </c>
      <c r="E1570" s="3" t="s">
        <v>3061</v>
      </c>
      <c r="F1570" s="5" t="s">
        <v>1656</v>
      </c>
      <c r="G1570" s="4" t="str">
        <f t="shared" si="97"/>
        <v>25th</v>
      </c>
      <c r="H1570" s="4" t="str">
        <f t="shared" si="98"/>
        <v>March</v>
      </c>
      <c r="I1570" s="4" t="str">
        <f t="shared" si="99"/>
        <v>2023</v>
      </c>
      <c r="J1570" s="10" t="s">
        <v>9</v>
      </c>
    </row>
    <row r="1571" spans="1:10" x14ac:dyDescent="0.35">
      <c r="A1571" s="9" t="s">
        <v>2826</v>
      </c>
      <c r="B1571" s="3">
        <v>1</v>
      </c>
      <c r="C1571" s="4" t="str">
        <f t="shared" si="96"/>
        <v>Bad</v>
      </c>
      <c r="D1571" s="3" t="s">
        <v>3062</v>
      </c>
      <c r="E1571" s="3" t="s">
        <v>1450</v>
      </c>
      <c r="F1571" s="5" t="s">
        <v>1656</v>
      </c>
      <c r="G1571" s="4" t="str">
        <f t="shared" si="97"/>
        <v>25th</v>
      </c>
      <c r="H1571" s="4" t="str">
        <f t="shared" si="98"/>
        <v>March</v>
      </c>
      <c r="I1571" s="4" t="str">
        <f t="shared" si="99"/>
        <v>2023</v>
      </c>
      <c r="J1571" s="10" t="s">
        <v>12</v>
      </c>
    </row>
    <row r="1572" spans="1:10" x14ac:dyDescent="0.35">
      <c r="A1572" s="9" t="s">
        <v>2826</v>
      </c>
      <c r="B1572" s="3">
        <v>1</v>
      </c>
      <c r="C1572" s="4" t="str">
        <f t="shared" si="96"/>
        <v>Bad</v>
      </c>
      <c r="D1572" s="3" t="s">
        <v>3063</v>
      </c>
      <c r="E1572" s="3" t="s">
        <v>3064</v>
      </c>
      <c r="F1572" s="5" t="s">
        <v>3065</v>
      </c>
      <c r="G1572" s="4" t="str">
        <f t="shared" si="97"/>
        <v>8th</v>
      </c>
      <c r="H1572" s="4" t="str">
        <f t="shared" si="98"/>
        <v>January</v>
      </c>
      <c r="I1572" s="4" t="str">
        <f t="shared" si="99"/>
        <v>2023</v>
      </c>
      <c r="J1572" s="10" t="s">
        <v>12</v>
      </c>
    </row>
    <row r="1573" spans="1:10" x14ac:dyDescent="0.35">
      <c r="A1573" s="9" t="s">
        <v>2826</v>
      </c>
      <c r="B1573" s="3">
        <v>1</v>
      </c>
      <c r="C1573" s="4" t="str">
        <f t="shared" si="96"/>
        <v>Bad</v>
      </c>
      <c r="D1573" s="3" t="s">
        <v>3066</v>
      </c>
      <c r="E1573" s="3" t="s">
        <v>3067</v>
      </c>
      <c r="F1573" s="5" t="s">
        <v>3065</v>
      </c>
      <c r="G1573" s="4" t="str">
        <f t="shared" si="97"/>
        <v>8th</v>
      </c>
      <c r="H1573" s="4" t="str">
        <f t="shared" si="98"/>
        <v>January</v>
      </c>
      <c r="I1573" s="4" t="str">
        <f t="shared" si="99"/>
        <v>2023</v>
      </c>
      <c r="J1573" s="10" t="s">
        <v>12</v>
      </c>
    </row>
    <row r="1574" spans="1:10" x14ac:dyDescent="0.35">
      <c r="A1574" s="9" t="s">
        <v>2826</v>
      </c>
      <c r="B1574" s="3">
        <v>1</v>
      </c>
      <c r="C1574" s="4" t="str">
        <f t="shared" si="96"/>
        <v>Bad</v>
      </c>
      <c r="D1574" s="3" t="s">
        <v>3068</v>
      </c>
      <c r="E1574" s="3" t="s">
        <v>3069</v>
      </c>
      <c r="F1574" s="5" t="s">
        <v>3065</v>
      </c>
      <c r="G1574" s="4" t="str">
        <f t="shared" si="97"/>
        <v>8th</v>
      </c>
      <c r="H1574" s="4" t="str">
        <f t="shared" si="98"/>
        <v>January</v>
      </c>
      <c r="I1574" s="4" t="str">
        <f t="shared" si="99"/>
        <v>2023</v>
      </c>
      <c r="J1574" s="10" t="s">
        <v>12</v>
      </c>
    </row>
    <row r="1575" spans="1:10" x14ac:dyDescent="0.35">
      <c r="A1575" s="9" t="s">
        <v>2826</v>
      </c>
      <c r="B1575" s="3">
        <v>1</v>
      </c>
      <c r="C1575" s="4" t="str">
        <f t="shared" si="96"/>
        <v>Bad</v>
      </c>
      <c r="D1575" s="3" t="s">
        <v>3070</v>
      </c>
      <c r="E1575" s="3" t="s">
        <v>3071</v>
      </c>
      <c r="F1575" s="5" t="s">
        <v>3065</v>
      </c>
      <c r="G1575" s="4" t="str">
        <f t="shared" si="97"/>
        <v>8th</v>
      </c>
      <c r="H1575" s="4" t="str">
        <f t="shared" si="98"/>
        <v>January</v>
      </c>
      <c r="I1575" s="4" t="str">
        <f t="shared" si="99"/>
        <v>2023</v>
      </c>
      <c r="J1575" s="10" t="s">
        <v>12</v>
      </c>
    </row>
    <row r="1576" spans="1:10" x14ac:dyDescent="0.35">
      <c r="A1576" s="9" t="s">
        <v>2826</v>
      </c>
      <c r="B1576" s="3">
        <v>1</v>
      </c>
      <c r="C1576" s="4" t="str">
        <f t="shared" si="96"/>
        <v>Bad</v>
      </c>
      <c r="D1576" s="3" t="s">
        <v>3072</v>
      </c>
      <c r="E1576" s="3" t="s">
        <v>3073</v>
      </c>
      <c r="F1576" s="5" t="s">
        <v>3065</v>
      </c>
      <c r="G1576" s="4" t="str">
        <f t="shared" si="97"/>
        <v>8th</v>
      </c>
      <c r="H1576" s="4" t="str">
        <f t="shared" si="98"/>
        <v>January</v>
      </c>
      <c r="I1576" s="4" t="str">
        <f t="shared" si="99"/>
        <v>2023</v>
      </c>
      <c r="J1576" s="10" t="s">
        <v>12</v>
      </c>
    </row>
    <row r="1577" spans="1:10" x14ac:dyDescent="0.35">
      <c r="A1577" s="9" t="s">
        <v>2826</v>
      </c>
      <c r="B1577" s="3">
        <v>6</v>
      </c>
      <c r="C1577" s="4" t="str">
        <f t="shared" si="96"/>
        <v>Neutral</v>
      </c>
      <c r="D1577" s="3" t="s">
        <v>3074</v>
      </c>
      <c r="E1577" s="3" t="s">
        <v>35</v>
      </c>
      <c r="F1577" s="5" t="s">
        <v>3065</v>
      </c>
      <c r="G1577" s="4" t="str">
        <f t="shared" si="97"/>
        <v>8th</v>
      </c>
      <c r="H1577" s="4" t="str">
        <f t="shared" si="98"/>
        <v>January</v>
      </c>
      <c r="I1577" s="4" t="str">
        <f t="shared" si="99"/>
        <v>2023</v>
      </c>
      <c r="J1577" s="10" t="s">
        <v>12</v>
      </c>
    </row>
    <row r="1578" spans="1:10" x14ac:dyDescent="0.35">
      <c r="A1578" s="9" t="s">
        <v>2826</v>
      </c>
      <c r="B1578" s="3">
        <v>1</v>
      </c>
      <c r="C1578" s="4" t="str">
        <f t="shared" si="96"/>
        <v>Bad</v>
      </c>
      <c r="D1578" s="3" t="s">
        <v>3056</v>
      </c>
      <c r="E1578" s="3" t="s">
        <v>3075</v>
      </c>
      <c r="F1578" s="5" t="s">
        <v>3065</v>
      </c>
      <c r="G1578" s="4" t="str">
        <f t="shared" si="97"/>
        <v>8th</v>
      </c>
      <c r="H1578" s="4" t="str">
        <f t="shared" si="98"/>
        <v>January</v>
      </c>
      <c r="I1578" s="4" t="str">
        <f t="shared" si="99"/>
        <v>2023</v>
      </c>
      <c r="J1578" s="10" t="s">
        <v>12</v>
      </c>
    </row>
    <row r="1579" spans="1:10" x14ac:dyDescent="0.35">
      <c r="A1579" s="9" t="s">
        <v>2826</v>
      </c>
      <c r="B1579" s="3">
        <v>3</v>
      </c>
      <c r="C1579" s="4" t="str">
        <f t="shared" si="96"/>
        <v>Bad</v>
      </c>
      <c r="D1579" s="3" t="s">
        <v>3076</v>
      </c>
      <c r="E1579" s="3" t="s">
        <v>3077</v>
      </c>
      <c r="F1579" s="5" t="s">
        <v>3065</v>
      </c>
      <c r="G1579" s="4" t="str">
        <f t="shared" si="97"/>
        <v>8th</v>
      </c>
      <c r="H1579" s="4" t="str">
        <f t="shared" si="98"/>
        <v>January</v>
      </c>
      <c r="I1579" s="4" t="str">
        <f t="shared" si="99"/>
        <v>2023</v>
      </c>
      <c r="J1579" s="10" t="s">
        <v>12</v>
      </c>
    </row>
    <row r="1580" spans="1:10" x14ac:dyDescent="0.35">
      <c r="A1580" s="9" t="s">
        <v>2826</v>
      </c>
      <c r="B1580" s="3">
        <v>2</v>
      </c>
      <c r="C1580" s="4" t="str">
        <f t="shared" si="96"/>
        <v>Bad</v>
      </c>
      <c r="D1580" s="3" t="s">
        <v>3078</v>
      </c>
      <c r="E1580" s="3" t="s">
        <v>3079</v>
      </c>
      <c r="F1580" s="5" t="s">
        <v>3065</v>
      </c>
      <c r="G1580" s="4" t="str">
        <f t="shared" si="97"/>
        <v>8th</v>
      </c>
      <c r="H1580" s="4" t="str">
        <f t="shared" si="98"/>
        <v>January</v>
      </c>
      <c r="I1580" s="4" t="str">
        <f t="shared" si="99"/>
        <v>2023</v>
      </c>
      <c r="J1580" s="10" t="s">
        <v>12</v>
      </c>
    </row>
    <row r="1581" spans="1:10" x14ac:dyDescent="0.35">
      <c r="A1581" s="9" t="s">
        <v>2826</v>
      </c>
      <c r="B1581" s="3">
        <v>1</v>
      </c>
      <c r="C1581" s="4" t="str">
        <f t="shared" si="96"/>
        <v>Bad</v>
      </c>
      <c r="D1581" s="3" t="s">
        <v>3080</v>
      </c>
      <c r="E1581" s="3" t="s">
        <v>3081</v>
      </c>
      <c r="F1581" s="5" t="s">
        <v>3065</v>
      </c>
      <c r="G1581" s="4" t="str">
        <f t="shared" si="97"/>
        <v>8th</v>
      </c>
      <c r="H1581" s="4" t="str">
        <f t="shared" si="98"/>
        <v>January</v>
      </c>
      <c r="I1581" s="4" t="str">
        <f t="shared" si="99"/>
        <v>2023</v>
      </c>
      <c r="J1581" s="10" t="s">
        <v>12</v>
      </c>
    </row>
    <row r="1582" spans="1:10" x14ac:dyDescent="0.35">
      <c r="A1582" s="9" t="s">
        <v>2826</v>
      </c>
      <c r="B1582" s="3">
        <v>2</v>
      </c>
      <c r="C1582" s="4" t="str">
        <f t="shared" si="96"/>
        <v>Bad</v>
      </c>
      <c r="D1582" s="3" t="s">
        <v>3082</v>
      </c>
      <c r="E1582" s="3" t="s">
        <v>3083</v>
      </c>
      <c r="F1582" s="5" t="s">
        <v>3084</v>
      </c>
      <c r="G1582" s="4" t="str">
        <f t="shared" si="97"/>
        <v>13th</v>
      </c>
      <c r="H1582" s="4" t="str">
        <f t="shared" si="98"/>
        <v>November</v>
      </c>
      <c r="I1582" s="4" t="str">
        <f t="shared" si="99"/>
        <v>2022</v>
      </c>
      <c r="J1582" s="10" t="s">
        <v>12</v>
      </c>
    </row>
    <row r="1583" spans="1:10" x14ac:dyDescent="0.35">
      <c r="A1583" s="9" t="s">
        <v>2826</v>
      </c>
      <c r="B1583" s="3">
        <v>1</v>
      </c>
      <c r="C1583" s="4" t="str">
        <f t="shared" si="96"/>
        <v>Bad</v>
      </c>
      <c r="D1583" s="3" t="s">
        <v>3085</v>
      </c>
      <c r="E1583" s="3" t="s">
        <v>3086</v>
      </c>
      <c r="F1583" s="5" t="s">
        <v>3084</v>
      </c>
      <c r="G1583" s="4" t="str">
        <f t="shared" si="97"/>
        <v>13th</v>
      </c>
      <c r="H1583" s="4" t="str">
        <f t="shared" si="98"/>
        <v>November</v>
      </c>
      <c r="I1583" s="4" t="str">
        <f t="shared" si="99"/>
        <v>2022</v>
      </c>
      <c r="J1583" s="10" t="s">
        <v>12</v>
      </c>
    </row>
    <row r="1584" spans="1:10" x14ac:dyDescent="0.35">
      <c r="A1584" s="9" t="s">
        <v>2826</v>
      </c>
      <c r="B1584" s="3">
        <v>1</v>
      </c>
      <c r="C1584" s="4" t="str">
        <f t="shared" si="96"/>
        <v>Bad</v>
      </c>
      <c r="D1584" s="3" t="s">
        <v>1915</v>
      </c>
      <c r="E1584" s="3" t="s">
        <v>3087</v>
      </c>
      <c r="F1584" s="5" t="s">
        <v>3084</v>
      </c>
      <c r="G1584" s="4" t="str">
        <f t="shared" si="97"/>
        <v>13th</v>
      </c>
      <c r="H1584" s="4" t="str">
        <f t="shared" si="98"/>
        <v>November</v>
      </c>
      <c r="I1584" s="4" t="str">
        <f t="shared" si="99"/>
        <v>2022</v>
      </c>
      <c r="J1584" s="10" t="s">
        <v>12</v>
      </c>
    </row>
    <row r="1585" spans="1:10" x14ac:dyDescent="0.35">
      <c r="A1585" s="9" t="s">
        <v>2826</v>
      </c>
      <c r="B1585" s="3">
        <v>3</v>
      </c>
      <c r="C1585" s="4" t="str">
        <f t="shared" si="96"/>
        <v>Bad</v>
      </c>
      <c r="D1585" s="3" t="s">
        <v>927</v>
      </c>
      <c r="E1585" s="3" t="s">
        <v>3088</v>
      </c>
      <c r="F1585" s="5" t="s">
        <v>3084</v>
      </c>
      <c r="G1585" s="4" t="str">
        <f t="shared" si="97"/>
        <v>13th</v>
      </c>
      <c r="H1585" s="4" t="str">
        <f t="shared" si="98"/>
        <v>November</v>
      </c>
      <c r="I1585" s="4" t="str">
        <f t="shared" si="99"/>
        <v>2022</v>
      </c>
      <c r="J1585" s="10" t="s">
        <v>12</v>
      </c>
    </row>
    <row r="1586" spans="1:10" x14ac:dyDescent="0.35">
      <c r="A1586" s="9" t="s">
        <v>2826</v>
      </c>
      <c r="B1586" s="3">
        <v>1</v>
      </c>
      <c r="C1586" s="4" t="str">
        <f t="shared" si="96"/>
        <v>Bad</v>
      </c>
      <c r="D1586" s="3" t="s">
        <v>3089</v>
      </c>
      <c r="E1586" s="3" t="s">
        <v>3090</v>
      </c>
      <c r="F1586" s="5" t="s">
        <v>3084</v>
      </c>
      <c r="G1586" s="4" t="str">
        <f t="shared" si="97"/>
        <v>13th</v>
      </c>
      <c r="H1586" s="4" t="str">
        <f t="shared" si="98"/>
        <v>November</v>
      </c>
      <c r="I1586" s="4" t="str">
        <f t="shared" si="99"/>
        <v>2022</v>
      </c>
      <c r="J1586" s="10" t="s">
        <v>12</v>
      </c>
    </row>
    <row r="1587" spans="1:10" x14ac:dyDescent="0.35">
      <c r="A1587" s="9" t="s">
        <v>2826</v>
      </c>
      <c r="B1587" s="3">
        <v>1</v>
      </c>
      <c r="C1587" s="4" t="str">
        <f t="shared" si="96"/>
        <v>Bad</v>
      </c>
      <c r="D1587" s="3" t="s">
        <v>3091</v>
      </c>
      <c r="E1587" s="3" t="s">
        <v>3092</v>
      </c>
      <c r="F1587" s="5" t="s">
        <v>3084</v>
      </c>
      <c r="G1587" s="4" t="str">
        <f t="shared" si="97"/>
        <v>13th</v>
      </c>
      <c r="H1587" s="4" t="str">
        <f t="shared" si="98"/>
        <v>November</v>
      </c>
      <c r="I1587" s="4" t="str">
        <f t="shared" si="99"/>
        <v>2022</v>
      </c>
      <c r="J1587" s="10" t="s">
        <v>12</v>
      </c>
    </row>
    <row r="1588" spans="1:10" x14ac:dyDescent="0.35">
      <c r="A1588" s="9" t="s">
        <v>2826</v>
      </c>
      <c r="B1588" s="3">
        <v>1</v>
      </c>
      <c r="C1588" s="4" t="str">
        <f t="shared" si="96"/>
        <v>Bad</v>
      </c>
      <c r="D1588" s="3" t="s">
        <v>3093</v>
      </c>
      <c r="E1588" s="3" t="s">
        <v>3094</v>
      </c>
      <c r="F1588" s="5" t="s">
        <v>3084</v>
      </c>
      <c r="G1588" s="4" t="str">
        <f t="shared" si="97"/>
        <v>13th</v>
      </c>
      <c r="H1588" s="4" t="str">
        <f t="shared" si="98"/>
        <v>November</v>
      </c>
      <c r="I1588" s="4" t="str">
        <f t="shared" si="99"/>
        <v>2022</v>
      </c>
      <c r="J1588" s="10" t="s">
        <v>12</v>
      </c>
    </row>
    <row r="1589" spans="1:10" x14ac:dyDescent="0.35">
      <c r="A1589" s="9" t="s">
        <v>2826</v>
      </c>
      <c r="B1589" s="3">
        <v>1</v>
      </c>
      <c r="C1589" s="4" t="str">
        <f t="shared" si="96"/>
        <v>Bad</v>
      </c>
      <c r="D1589" s="3" t="s">
        <v>3095</v>
      </c>
      <c r="E1589" s="3" t="s">
        <v>3096</v>
      </c>
      <c r="F1589" s="5" t="s">
        <v>3084</v>
      </c>
      <c r="G1589" s="4" t="str">
        <f t="shared" si="97"/>
        <v>13th</v>
      </c>
      <c r="H1589" s="4" t="str">
        <f t="shared" si="98"/>
        <v>November</v>
      </c>
      <c r="I1589" s="4" t="str">
        <f t="shared" si="99"/>
        <v>2022</v>
      </c>
      <c r="J1589" s="10" t="s">
        <v>12</v>
      </c>
    </row>
    <row r="1590" spans="1:10" x14ac:dyDescent="0.35">
      <c r="A1590" s="9" t="s">
        <v>2826</v>
      </c>
      <c r="B1590" s="3">
        <v>1</v>
      </c>
      <c r="C1590" s="4" t="str">
        <f t="shared" si="96"/>
        <v>Bad</v>
      </c>
      <c r="D1590" s="3" t="s">
        <v>3097</v>
      </c>
      <c r="E1590" s="3" t="s">
        <v>3098</v>
      </c>
      <c r="F1590" s="5" t="s">
        <v>3084</v>
      </c>
      <c r="G1590" s="4" t="str">
        <f t="shared" si="97"/>
        <v>13th</v>
      </c>
      <c r="H1590" s="4" t="str">
        <f t="shared" si="98"/>
        <v>November</v>
      </c>
      <c r="I1590" s="4" t="str">
        <f t="shared" si="99"/>
        <v>2022</v>
      </c>
      <c r="J1590" s="10" t="s">
        <v>12</v>
      </c>
    </row>
    <row r="1591" spans="1:10" x14ac:dyDescent="0.35">
      <c r="A1591" s="9" t="s">
        <v>2826</v>
      </c>
      <c r="B1591" s="3">
        <v>1</v>
      </c>
      <c r="C1591" s="4" t="str">
        <f t="shared" si="96"/>
        <v>Bad</v>
      </c>
      <c r="D1591" s="3" t="s">
        <v>3099</v>
      </c>
      <c r="E1591" s="3" t="s">
        <v>3100</v>
      </c>
      <c r="F1591" s="5" t="s">
        <v>3084</v>
      </c>
      <c r="G1591" s="4" t="str">
        <f t="shared" si="97"/>
        <v>13th</v>
      </c>
      <c r="H1591" s="4" t="str">
        <f t="shared" si="98"/>
        <v>November</v>
      </c>
      <c r="I1591" s="4" t="str">
        <f t="shared" si="99"/>
        <v>2022</v>
      </c>
      <c r="J1591" s="10" t="s">
        <v>12</v>
      </c>
    </row>
    <row r="1592" spans="1:10" x14ac:dyDescent="0.35">
      <c r="A1592" s="9" t="s">
        <v>2826</v>
      </c>
      <c r="B1592" s="3">
        <v>1</v>
      </c>
      <c r="C1592" s="4" t="str">
        <f t="shared" si="96"/>
        <v>Bad</v>
      </c>
      <c r="D1592" s="3" t="s">
        <v>3101</v>
      </c>
      <c r="E1592" s="3" t="s">
        <v>3102</v>
      </c>
      <c r="F1592" s="5" t="s">
        <v>3103</v>
      </c>
      <c r="G1592" s="4" t="str">
        <f t="shared" si="97"/>
        <v>26th</v>
      </c>
      <c r="H1592" s="4" t="str">
        <f t="shared" si="98"/>
        <v>August</v>
      </c>
      <c r="I1592" s="4" t="str">
        <f t="shared" si="99"/>
        <v>2022</v>
      </c>
      <c r="J1592" s="10" t="s">
        <v>12</v>
      </c>
    </row>
    <row r="1593" spans="1:10" x14ac:dyDescent="0.35">
      <c r="A1593" s="9" t="s">
        <v>2826</v>
      </c>
      <c r="B1593" s="3">
        <v>10</v>
      </c>
      <c r="C1593" s="4" t="str">
        <f t="shared" si="96"/>
        <v>Good</v>
      </c>
      <c r="D1593" s="3" t="s">
        <v>3104</v>
      </c>
      <c r="E1593" s="3" t="s">
        <v>3105</v>
      </c>
      <c r="F1593" s="5" t="s">
        <v>3103</v>
      </c>
      <c r="G1593" s="4" t="str">
        <f t="shared" si="97"/>
        <v>26th</v>
      </c>
      <c r="H1593" s="4" t="str">
        <f t="shared" si="98"/>
        <v>August</v>
      </c>
      <c r="I1593" s="4" t="str">
        <f t="shared" si="99"/>
        <v>2022</v>
      </c>
      <c r="J1593" s="10" t="s">
        <v>9</v>
      </c>
    </row>
    <row r="1594" spans="1:10" x14ac:dyDescent="0.35">
      <c r="A1594" s="9" t="s">
        <v>2826</v>
      </c>
      <c r="B1594" s="3">
        <v>1</v>
      </c>
      <c r="C1594" s="4" t="str">
        <f t="shared" si="96"/>
        <v>Bad</v>
      </c>
      <c r="D1594" s="3" t="s">
        <v>3106</v>
      </c>
      <c r="E1594" s="3" t="s">
        <v>3107</v>
      </c>
      <c r="F1594" s="5" t="s">
        <v>3103</v>
      </c>
      <c r="G1594" s="4" t="str">
        <f t="shared" si="97"/>
        <v>26th</v>
      </c>
      <c r="H1594" s="4" t="str">
        <f t="shared" si="98"/>
        <v>August</v>
      </c>
      <c r="I1594" s="4" t="str">
        <f t="shared" si="99"/>
        <v>2022</v>
      </c>
      <c r="J1594" s="10" t="s">
        <v>12</v>
      </c>
    </row>
    <row r="1595" spans="1:10" x14ac:dyDescent="0.35">
      <c r="A1595" s="9" t="s">
        <v>2826</v>
      </c>
      <c r="B1595" s="3">
        <v>7</v>
      </c>
      <c r="C1595" s="4" t="str">
        <f t="shared" si="96"/>
        <v>Neutral</v>
      </c>
      <c r="D1595" s="3" t="s">
        <v>3108</v>
      </c>
      <c r="E1595" s="3" t="s">
        <v>3109</v>
      </c>
      <c r="F1595" s="5" t="s">
        <v>3103</v>
      </c>
      <c r="G1595" s="4" t="str">
        <f t="shared" si="97"/>
        <v>26th</v>
      </c>
      <c r="H1595" s="4" t="str">
        <f t="shared" si="98"/>
        <v>August</v>
      </c>
      <c r="I1595" s="4" t="str">
        <f t="shared" si="99"/>
        <v>2022</v>
      </c>
      <c r="J1595" s="10" t="s">
        <v>9</v>
      </c>
    </row>
    <row r="1596" spans="1:10" x14ac:dyDescent="0.35">
      <c r="A1596" s="9" t="s">
        <v>2826</v>
      </c>
      <c r="B1596" s="3">
        <v>1</v>
      </c>
      <c r="C1596" s="4" t="str">
        <f t="shared" si="96"/>
        <v>Bad</v>
      </c>
      <c r="D1596" s="3" t="s">
        <v>3110</v>
      </c>
      <c r="E1596" s="3" t="s">
        <v>3111</v>
      </c>
      <c r="F1596" s="5" t="s">
        <v>3103</v>
      </c>
      <c r="G1596" s="4" t="str">
        <f t="shared" si="97"/>
        <v>26th</v>
      </c>
      <c r="H1596" s="4" t="str">
        <f t="shared" si="98"/>
        <v>August</v>
      </c>
      <c r="I1596" s="4" t="str">
        <f t="shared" si="99"/>
        <v>2022</v>
      </c>
      <c r="J1596" s="10" t="s">
        <v>12</v>
      </c>
    </row>
    <row r="1597" spans="1:10" x14ac:dyDescent="0.35">
      <c r="A1597" s="9" t="s">
        <v>2826</v>
      </c>
      <c r="B1597" s="3">
        <v>1</v>
      </c>
      <c r="C1597" s="4" t="str">
        <f t="shared" si="96"/>
        <v>Bad</v>
      </c>
      <c r="D1597" s="3" t="s">
        <v>3112</v>
      </c>
      <c r="E1597" s="3" t="s">
        <v>3113</v>
      </c>
      <c r="F1597" s="5" t="s">
        <v>3103</v>
      </c>
      <c r="G1597" s="4" t="str">
        <f t="shared" si="97"/>
        <v>26th</v>
      </c>
      <c r="H1597" s="4" t="str">
        <f t="shared" si="98"/>
        <v>August</v>
      </c>
      <c r="I1597" s="4" t="str">
        <f t="shared" si="99"/>
        <v>2022</v>
      </c>
      <c r="J1597" s="10" t="s">
        <v>12</v>
      </c>
    </row>
    <row r="1598" spans="1:10" x14ac:dyDescent="0.35">
      <c r="A1598" s="9" t="s">
        <v>2826</v>
      </c>
      <c r="B1598" s="3">
        <v>1</v>
      </c>
      <c r="C1598" s="4" t="str">
        <f t="shared" si="96"/>
        <v>Bad</v>
      </c>
      <c r="D1598" s="3" t="s">
        <v>3114</v>
      </c>
      <c r="E1598" s="3" t="s">
        <v>3115</v>
      </c>
      <c r="F1598" s="5" t="s">
        <v>3103</v>
      </c>
      <c r="G1598" s="4" t="str">
        <f t="shared" si="97"/>
        <v>26th</v>
      </c>
      <c r="H1598" s="4" t="str">
        <f t="shared" si="98"/>
        <v>August</v>
      </c>
      <c r="I1598" s="4" t="str">
        <f t="shared" si="99"/>
        <v>2022</v>
      </c>
      <c r="J1598" s="10" t="s">
        <v>12</v>
      </c>
    </row>
    <row r="1599" spans="1:10" x14ac:dyDescent="0.35">
      <c r="A1599" s="9" t="s">
        <v>2826</v>
      </c>
      <c r="B1599" s="3">
        <v>3</v>
      </c>
      <c r="C1599" s="4" t="str">
        <f t="shared" si="96"/>
        <v>Bad</v>
      </c>
      <c r="D1599" s="3" t="s">
        <v>3116</v>
      </c>
      <c r="E1599" s="3" t="s">
        <v>3117</v>
      </c>
      <c r="F1599" s="5" t="s">
        <v>3103</v>
      </c>
      <c r="G1599" s="4" t="str">
        <f t="shared" si="97"/>
        <v>26th</v>
      </c>
      <c r="H1599" s="4" t="str">
        <f t="shared" si="98"/>
        <v>August</v>
      </c>
      <c r="I1599" s="4" t="str">
        <f t="shared" si="99"/>
        <v>2022</v>
      </c>
      <c r="J1599" s="10" t="s">
        <v>12</v>
      </c>
    </row>
    <row r="1600" spans="1:10" x14ac:dyDescent="0.35">
      <c r="A1600" s="9" t="s">
        <v>2826</v>
      </c>
      <c r="B1600" s="3">
        <v>1</v>
      </c>
      <c r="C1600" s="4" t="str">
        <f t="shared" si="96"/>
        <v>Bad</v>
      </c>
      <c r="D1600" s="3" t="s">
        <v>3118</v>
      </c>
      <c r="E1600" s="3" t="s">
        <v>3119</v>
      </c>
      <c r="F1600" s="5" t="s">
        <v>3103</v>
      </c>
      <c r="G1600" s="4" t="str">
        <f t="shared" si="97"/>
        <v>26th</v>
      </c>
      <c r="H1600" s="4" t="str">
        <f t="shared" si="98"/>
        <v>August</v>
      </c>
      <c r="I1600" s="4" t="str">
        <f t="shared" si="99"/>
        <v>2022</v>
      </c>
      <c r="J1600" s="10" t="s">
        <v>12</v>
      </c>
    </row>
    <row r="1601" spans="1:10" x14ac:dyDescent="0.35">
      <c r="A1601" s="9" t="s">
        <v>2826</v>
      </c>
      <c r="B1601" s="3">
        <v>1</v>
      </c>
      <c r="C1601" s="4" t="str">
        <f t="shared" si="96"/>
        <v>Bad</v>
      </c>
      <c r="D1601" s="3" t="s">
        <v>3120</v>
      </c>
      <c r="E1601" s="3" t="s">
        <v>3121</v>
      </c>
      <c r="F1601" s="5" t="s">
        <v>3103</v>
      </c>
      <c r="G1601" s="4" t="str">
        <f t="shared" si="97"/>
        <v>26th</v>
      </c>
      <c r="H1601" s="4" t="str">
        <f t="shared" si="98"/>
        <v>August</v>
      </c>
      <c r="I1601" s="4" t="str">
        <f t="shared" si="99"/>
        <v>2022</v>
      </c>
      <c r="J1601" s="10" t="s">
        <v>12</v>
      </c>
    </row>
    <row r="1602" spans="1:10" x14ac:dyDescent="0.35">
      <c r="A1602" s="9" t="s">
        <v>2826</v>
      </c>
      <c r="B1602" s="3">
        <v>1</v>
      </c>
      <c r="C1602" s="4" t="str">
        <f t="shared" si="96"/>
        <v>Bad</v>
      </c>
      <c r="D1602" s="3" t="s">
        <v>3122</v>
      </c>
      <c r="E1602" s="3" t="s">
        <v>3123</v>
      </c>
      <c r="F1602" s="5" t="s">
        <v>3124</v>
      </c>
      <c r="G1602" s="4" t="str">
        <f t="shared" si="97"/>
        <v>11th</v>
      </c>
      <c r="H1602" s="4" t="str">
        <f t="shared" si="98"/>
        <v>June</v>
      </c>
      <c r="I1602" s="4" t="str">
        <f t="shared" si="99"/>
        <v>2022</v>
      </c>
      <c r="J1602" s="10" t="s">
        <v>12</v>
      </c>
    </row>
    <row r="1603" spans="1:10" x14ac:dyDescent="0.35">
      <c r="A1603" s="9" t="s">
        <v>2826</v>
      </c>
      <c r="B1603" s="3">
        <v>1</v>
      </c>
      <c r="C1603" s="4" t="str">
        <f t="shared" ref="C1603:C1666" si="100">IF(B1603&gt;=8,"Good",IF(B1603&gt;=5,"Neutral","Bad"))</f>
        <v>Bad</v>
      </c>
      <c r="D1603" s="3" t="s">
        <v>3125</v>
      </c>
      <c r="E1603" s="3" t="s">
        <v>3126</v>
      </c>
      <c r="F1603" s="5" t="s">
        <v>3124</v>
      </c>
      <c r="G1603" s="4" t="str">
        <f t="shared" ref="G1603:G1666" si="101">LEFT(F1603, FIND(" ", F1603)-1)</f>
        <v>11th</v>
      </c>
      <c r="H1603" s="4" t="str">
        <f t="shared" ref="H1603:H1666" si="102">TRIM(MID(F1603, FIND(" ", F1603)+1, FIND(" ", F1603, FIND(" ", F1603)+1) - FIND(" ", F1603)-1))</f>
        <v>June</v>
      </c>
      <c r="I1603" s="4" t="str">
        <f t="shared" ref="I1603:I1666" si="103">RIGHT(F1603, 4)</f>
        <v>2022</v>
      </c>
      <c r="J1603" s="10" t="s">
        <v>12</v>
      </c>
    </row>
    <row r="1604" spans="1:10" x14ac:dyDescent="0.35">
      <c r="A1604" s="9" t="s">
        <v>2826</v>
      </c>
      <c r="B1604" s="3">
        <v>1</v>
      </c>
      <c r="C1604" s="4" t="str">
        <f t="shared" si="100"/>
        <v>Bad</v>
      </c>
      <c r="D1604" s="3" t="s">
        <v>1652</v>
      </c>
      <c r="E1604" s="3" t="s">
        <v>3127</v>
      </c>
      <c r="F1604" s="5" t="s">
        <v>3124</v>
      </c>
      <c r="G1604" s="4" t="str">
        <f t="shared" si="101"/>
        <v>11th</v>
      </c>
      <c r="H1604" s="4" t="str">
        <f t="shared" si="102"/>
        <v>June</v>
      </c>
      <c r="I1604" s="4" t="str">
        <f t="shared" si="103"/>
        <v>2022</v>
      </c>
      <c r="J1604" s="10" t="s">
        <v>12</v>
      </c>
    </row>
    <row r="1605" spans="1:10" x14ac:dyDescent="0.35">
      <c r="A1605" s="9" t="s">
        <v>2826</v>
      </c>
      <c r="B1605" s="3">
        <v>8</v>
      </c>
      <c r="C1605" s="4" t="str">
        <f t="shared" si="100"/>
        <v>Good</v>
      </c>
      <c r="D1605" s="3" t="s">
        <v>3128</v>
      </c>
      <c r="E1605" s="3" t="s">
        <v>3129</v>
      </c>
      <c r="F1605" s="5" t="s">
        <v>3124</v>
      </c>
      <c r="G1605" s="4" t="str">
        <f t="shared" si="101"/>
        <v>11th</v>
      </c>
      <c r="H1605" s="4" t="str">
        <f t="shared" si="102"/>
        <v>June</v>
      </c>
      <c r="I1605" s="4" t="str">
        <f t="shared" si="103"/>
        <v>2022</v>
      </c>
      <c r="J1605" s="10" t="s">
        <v>9</v>
      </c>
    </row>
    <row r="1606" spans="1:10" x14ac:dyDescent="0.35">
      <c r="A1606" s="9" t="s">
        <v>2826</v>
      </c>
      <c r="B1606" s="3">
        <v>1</v>
      </c>
      <c r="C1606" s="4" t="str">
        <f t="shared" si="100"/>
        <v>Bad</v>
      </c>
      <c r="D1606" s="3" t="s">
        <v>3130</v>
      </c>
      <c r="E1606" s="3" t="s">
        <v>3131</v>
      </c>
      <c r="F1606" s="5" t="s">
        <v>3124</v>
      </c>
      <c r="G1606" s="4" t="str">
        <f t="shared" si="101"/>
        <v>11th</v>
      </c>
      <c r="H1606" s="4" t="str">
        <f t="shared" si="102"/>
        <v>June</v>
      </c>
      <c r="I1606" s="4" t="str">
        <f t="shared" si="103"/>
        <v>2022</v>
      </c>
      <c r="J1606" s="10" t="s">
        <v>12</v>
      </c>
    </row>
    <row r="1607" spans="1:10" x14ac:dyDescent="0.35">
      <c r="A1607" s="9" t="s">
        <v>2826</v>
      </c>
      <c r="B1607" s="3">
        <v>1</v>
      </c>
      <c r="C1607" s="4" t="str">
        <f t="shared" si="100"/>
        <v>Bad</v>
      </c>
      <c r="D1607" s="3" t="s">
        <v>1677</v>
      </c>
      <c r="E1607" s="3" t="s">
        <v>3132</v>
      </c>
      <c r="F1607" s="5" t="s">
        <v>3124</v>
      </c>
      <c r="G1607" s="4" t="str">
        <f t="shared" si="101"/>
        <v>11th</v>
      </c>
      <c r="H1607" s="4" t="str">
        <f t="shared" si="102"/>
        <v>June</v>
      </c>
      <c r="I1607" s="4" t="str">
        <f t="shared" si="103"/>
        <v>2022</v>
      </c>
      <c r="J1607" s="10" t="s">
        <v>12</v>
      </c>
    </row>
    <row r="1608" spans="1:10" x14ac:dyDescent="0.35">
      <c r="A1608" s="9" t="s">
        <v>2826</v>
      </c>
      <c r="B1608" s="3">
        <v>2</v>
      </c>
      <c r="C1608" s="4" t="str">
        <f t="shared" si="100"/>
        <v>Bad</v>
      </c>
      <c r="D1608" s="3" t="s">
        <v>3133</v>
      </c>
      <c r="E1608" s="3" t="s">
        <v>3134</v>
      </c>
      <c r="F1608" s="5" t="s">
        <v>3124</v>
      </c>
      <c r="G1608" s="4" t="str">
        <f t="shared" si="101"/>
        <v>11th</v>
      </c>
      <c r="H1608" s="4" t="str">
        <f t="shared" si="102"/>
        <v>June</v>
      </c>
      <c r="I1608" s="4" t="str">
        <f t="shared" si="103"/>
        <v>2022</v>
      </c>
      <c r="J1608" s="10" t="s">
        <v>12</v>
      </c>
    </row>
    <row r="1609" spans="1:10" x14ac:dyDescent="0.35">
      <c r="A1609" s="9" t="s">
        <v>2826</v>
      </c>
      <c r="B1609" s="3">
        <v>1</v>
      </c>
      <c r="C1609" s="4" t="str">
        <f t="shared" si="100"/>
        <v>Bad</v>
      </c>
      <c r="D1609" s="3" t="s">
        <v>3135</v>
      </c>
      <c r="E1609" s="3" t="s">
        <v>3136</v>
      </c>
      <c r="F1609" s="5" t="s">
        <v>3124</v>
      </c>
      <c r="G1609" s="4" t="str">
        <f t="shared" si="101"/>
        <v>11th</v>
      </c>
      <c r="H1609" s="4" t="str">
        <f t="shared" si="102"/>
        <v>June</v>
      </c>
      <c r="I1609" s="4" t="str">
        <f t="shared" si="103"/>
        <v>2022</v>
      </c>
      <c r="J1609" s="10" t="s">
        <v>12</v>
      </c>
    </row>
    <row r="1610" spans="1:10" x14ac:dyDescent="0.35">
      <c r="A1610" s="9" t="s">
        <v>2826</v>
      </c>
      <c r="B1610" s="3">
        <v>2</v>
      </c>
      <c r="C1610" s="4" t="str">
        <f t="shared" si="100"/>
        <v>Bad</v>
      </c>
      <c r="D1610" s="3" t="s">
        <v>2149</v>
      </c>
      <c r="E1610" s="3" t="s">
        <v>3137</v>
      </c>
      <c r="F1610" s="5" t="s">
        <v>3124</v>
      </c>
      <c r="G1610" s="4" t="str">
        <f t="shared" si="101"/>
        <v>11th</v>
      </c>
      <c r="H1610" s="4" t="str">
        <f t="shared" si="102"/>
        <v>June</v>
      </c>
      <c r="I1610" s="4" t="str">
        <f t="shared" si="103"/>
        <v>2022</v>
      </c>
      <c r="J1610" s="10" t="s">
        <v>12</v>
      </c>
    </row>
    <row r="1611" spans="1:10" x14ac:dyDescent="0.35">
      <c r="A1611" s="9" t="s">
        <v>2826</v>
      </c>
      <c r="B1611" s="3">
        <v>1</v>
      </c>
      <c r="C1611" s="4" t="str">
        <f t="shared" si="100"/>
        <v>Bad</v>
      </c>
      <c r="D1611" s="3" t="s">
        <v>3138</v>
      </c>
      <c r="E1611" s="3" t="s">
        <v>3139</v>
      </c>
      <c r="F1611" s="5" t="s">
        <v>3124</v>
      </c>
      <c r="G1611" s="4" t="str">
        <f t="shared" si="101"/>
        <v>11th</v>
      </c>
      <c r="H1611" s="4" t="str">
        <f t="shared" si="102"/>
        <v>June</v>
      </c>
      <c r="I1611" s="4" t="str">
        <f t="shared" si="103"/>
        <v>2022</v>
      </c>
      <c r="J1611" s="10" t="s">
        <v>12</v>
      </c>
    </row>
    <row r="1612" spans="1:10" x14ac:dyDescent="0.35">
      <c r="A1612" s="9" t="s">
        <v>2826</v>
      </c>
      <c r="B1612" s="3">
        <v>2</v>
      </c>
      <c r="C1612" s="4" t="str">
        <f t="shared" si="100"/>
        <v>Bad</v>
      </c>
      <c r="D1612" s="3" t="s">
        <v>3140</v>
      </c>
      <c r="E1612" s="3" t="s">
        <v>3141</v>
      </c>
      <c r="F1612" s="5" t="s">
        <v>3142</v>
      </c>
      <c r="G1612" s="4" t="str">
        <f t="shared" si="101"/>
        <v>20th</v>
      </c>
      <c r="H1612" s="4" t="str">
        <f t="shared" si="102"/>
        <v>May</v>
      </c>
      <c r="I1612" s="4" t="str">
        <f t="shared" si="103"/>
        <v>2022</v>
      </c>
      <c r="J1612" s="10" t="s">
        <v>12</v>
      </c>
    </row>
    <row r="1613" spans="1:10" x14ac:dyDescent="0.35">
      <c r="A1613" s="9" t="s">
        <v>2826</v>
      </c>
      <c r="B1613" s="3">
        <v>1</v>
      </c>
      <c r="C1613" s="4" t="str">
        <f t="shared" si="100"/>
        <v>Bad</v>
      </c>
      <c r="D1613" s="3" t="s">
        <v>3143</v>
      </c>
      <c r="E1613" s="3" t="s">
        <v>3144</v>
      </c>
      <c r="F1613" s="5" t="s">
        <v>3142</v>
      </c>
      <c r="G1613" s="4" t="str">
        <f t="shared" si="101"/>
        <v>20th</v>
      </c>
      <c r="H1613" s="4" t="str">
        <f t="shared" si="102"/>
        <v>May</v>
      </c>
      <c r="I1613" s="4" t="str">
        <f t="shared" si="103"/>
        <v>2022</v>
      </c>
      <c r="J1613" s="10" t="s">
        <v>12</v>
      </c>
    </row>
    <row r="1614" spans="1:10" x14ac:dyDescent="0.35">
      <c r="A1614" s="9" t="s">
        <v>2826</v>
      </c>
      <c r="B1614" s="3">
        <v>10</v>
      </c>
      <c r="C1614" s="4" t="str">
        <f t="shared" si="100"/>
        <v>Good</v>
      </c>
      <c r="D1614" s="3" t="s">
        <v>3145</v>
      </c>
      <c r="E1614" s="3" t="s">
        <v>3146</v>
      </c>
      <c r="F1614" s="5" t="s">
        <v>3142</v>
      </c>
      <c r="G1614" s="4" t="str">
        <f t="shared" si="101"/>
        <v>20th</v>
      </c>
      <c r="H1614" s="4" t="str">
        <f t="shared" si="102"/>
        <v>May</v>
      </c>
      <c r="I1614" s="4" t="str">
        <f t="shared" si="103"/>
        <v>2022</v>
      </c>
      <c r="J1614" s="10" t="s">
        <v>9</v>
      </c>
    </row>
    <row r="1615" spans="1:10" x14ac:dyDescent="0.35">
      <c r="A1615" s="9" t="s">
        <v>2826</v>
      </c>
      <c r="B1615" s="3">
        <v>1</v>
      </c>
      <c r="C1615" s="4" t="str">
        <f t="shared" si="100"/>
        <v>Bad</v>
      </c>
      <c r="D1615" s="3" t="s">
        <v>3147</v>
      </c>
      <c r="E1615" s="3" t="s">
        <v>3148</v>
      </c>
      <c r="F1615" s="5" t="s">
        <v>3142</v>
      </c>
      <c r="G1615" s="4" t="str">
        <f t="shared" si="101"/>
        <v>20th</v>
      </c>
      <c r="H1615" s="4" t="str">
        <f t="shared" si="102"/>
        <v>May</v>
      </c>
      <c r="I1615" s="4" t="str">
        <f t="shared" si="103"/>
        <v>2022</v>
      </c>
      <c r="J1615" s="10" t="s">
        <v>12</v>
      </c>
    </row>
    <row r="1616" spans="1:10" x14ac:dyDescent="0.35">
      <c r="A1616" s="9" t="s">
        <v>2826</v>
      </c>
      <c r="B1616" s="3">
        <v>1</v>
      </c>
      <c r="C1616" s="4" t="str">
        <f t="shared" si="100"/>
        <v>Bad</v>
      </c>
      <c r="D1616" s="3" t="s">
        <v>3149</v>
      </c>
      <c r="E1616" s="3" t="s">
        <v>3150</v>
      </c>
      <c r="F1616" s="5" t="s">
        <v>3142</v>
      </c>
      <c r="G1616" s="4" t="str">
        <f t="shared" si="101"/>
        <v>20th</v>
      </c>
      <c r="H1616" s="4" t="str">
        <f t="shared" si="102"/>
        <v>May</v>
      </c>
      <c r="I1616" s="4" t="str">
        <f t="shared" si="103"/>
        <v>2022</v>
      </c>
      <c r="J1616" s="10" t="s">
        <v>12</v>
      </c>
    </row>
    <row r="1617" spans="1:10" x14ac:dyDescent="0.35">
      <c r="A1617" s="9" t="s">
        <v>2826</v>
      </c>
      <c r="B1617" s="3">
        <v>1</v>
      </c>
      <c r="C1617" s="4" t="str">
        <f t="shared" si="100"/>
        <v>Bad</v>
      </c>
      <c r="D1617" s="3" t="s">
        <v>3151</v>
      </c>
      <c r="E1617" s="3" t="s">
        <v>3152</v>
      </c>
      <c r="F1617" s="5" t="s">
        <v>3142</v>
      </c>
      <c r="G1617" s="4" t="str">
        <f t="shared" si="101"/>
        <v>20th</v>
      </c>
      <c r="H1617" s="4" t="str">
        <f t="shared" si="102"/>
        <v>May</v>
      </c>
      <c r="I1617" s="4" t="str">
        <f t="shared" si="103"/>
        <v>2022</v>
      </c>
      <c r="J1617" s="10" t="s">
        <v>12</v>
      </c>
    </row>
    <row r="1618" spans="1:10" x14ac:dyDescent="0.35">
      <c r="A1618" s="9" t="s">
        <v>2826</v>
      </c>
      <c r="B1618" s="3">
        <v>9</v>
      </c>
      <c r="C1618" s="4" t="str">
        <f t="shared" si="100"/>
        <v>Good</v>
      </c>
      <c r="D1618" s="3" t="s">
        <v>3153</v>
      </c>
      <c r="E1618" s="3" t="s">
        <v>3154</v>
      </c>
      <c r="F1618" s="5" t="s">
        <v>3142</v>
      </c>
      <c r="G1618" s="4" t="str">
        <f t="shared" si="101"/>
        <v>20th</v>
      </c>
      <c r="H1618" s="4" t="str">
        <f t="shared" si="102"/>
        <v>May</v>
      </c>
      <c r="I1618" s="4" t="str">
        <f t="shared" si="103"/>
        <v>2022</v>
      </c>
      <c r="J1618" s="10" t="s">
        <v>9</v>
      </c>
    </row>
    <row r="1619" spans="1:10" x14ac:dyDescent="0.35">
      <c r="A1619" s="9" t="s">
        <v>2826</v>
      </c>
      <c r="B1619" s="3">
        <v>7</v>
      </c>
      <c r="C1619" s="4" t="str">
        <f t="shared" si="100"/>
        <v>Neutral</v>
      </c>
      <c r="D1619" s="3" t="s">
        <v>3155</v>
      </c>
      <c r="E1619" s="3" t="s">
        <v>35</v>
      </c>
      <c r="F1619" s="5" t="s">
        <v>3142</v>
      </c>
      <c r="G1619" s="4" t="str">
        <f t="shared" si="101"/>
        <v>20th</v>
      </c>
      <c r="H1619" s="4" t="str">
        <f t="shared" si="102"/>
        <v>May</v>
      </c>
      <c r="I1619" s="4" t="str">
        <f t="shared" si="103"/>
        <v>2022</v>
      </c>
      <c r="J1619" s="10" t="s">
        <v>9</v>
      </c>
    </row>
    <row r="1620" spans="1:10" x14ac:dyDescent="0.35">
      <c r="A1620" s="9" t="s">
        <v>2826</v>
      </c>
      <c r="B1620" s="3">
        <v>1</v>
      </c>
      <c r="C1620" s="4" t="str">
        <f t="shared" si="100"/>
        <v>Bad</v>
      </c>
      <c r="D1620" s="3" t="s">
        <v>3156</v>
      </c>
      <c r="E1620" s="3" t="s">
        <v>3157</v>
      </c>
      <c r="F1620" s="5" t="s">
        <v>3142</v>
      </c>
      <c r="G1620" s="4" t="str">
        <f t="shared" si="101"/>
        <v>20th</v>
      </c>
      <c r="H1620" s="4" t="str">
        <f t="shared" si="102"/>
        <v>May</v>
      </c>
      <c r="I1620" s="4" t="str">
        <f t="shared" si="103"/>
        <v>2022</v>
      </c>
      <c r="J1620" s="10" t="s">
        <v>12</v>
      </c>
    </row>
    <row r="1621" spans="1:10" x14ac:dyDescent="0.35">
      <c r="A1621" s="9" t="s">
        <v>2826</v>
      </c>
      <c r="B1621" s="3">
        <v>10</v>
      </c>
      <c r="C1621" s="4" t="str">
        <f t="shared" si="100"/>
        <v>Good</v>
      </c>
      <c r="D1621" s="3" t="s">
        <v>3158</v>
      </c>
      <c r="E1621" s="3" t="s">
        <v>3159</v>
      </c>
      <c r="F1621" s="5" t="s">
        <v>3142</v>
      </c>
      <c r="G1621" s="4" t="str">
        <f t="shared" si="101"/>
        <v>20th</v>
      </c>
      <c r="H1621" s="4" t="str">
        <f t="shared" si="102"/>
        <v>May</v>
      </c>
      <c r="I1621" s="4" t="str">
        <f t="shared" si="103"/>
        <v>2022</v>
      </c>
      <c r="J1621" s="10" t="s">
        <v>9</v>
      </c>
    </row>
    <row r="1622" spans="1:10" x14ac:dyDescent="0.35">
      <c r="A1622" s="9" t="s">
        <v>2826</v>
      </c>
      <c r="B1622" s="3">
        <v>10</v>
      </c>
      <c r="C1622" s="4" t="str">
        <f t="shared" si="100"/>
        <v>Good</v>
      </c>
      <c r="D1622" s="3" t="s">
        <v>3160</v>
      </c>
      <c r="E1622" s="3" t="s">
        <v>3161</v>
      </c>
      <c r="F1622" s="5" t="s">
        <v>3162</v>
      </c>
      <c r="G1622" s="4" t="str">
        <f t="shared" si="101"/>
        <v>20th</v>
      </c>
      <c r="H1622" s="4" t="str">
        <f t="shared" si="102"/>
        <v>March</v>
      </c>
      <c r="I1622" s="4" t="str">
        <f t="shared" si="103"/>
        <v>2022</v>
      </c>
      <c r="J1622" s="10" t="s">
        <v>9</v>
      </c>
    </row>
    <row r="1623" spans="1:10" x14ac:dyDescent="0.35">
      <c r="A1623" s="9" t="s">
        <v>2826</v>
      </c>
      <c r="B1623" s="3">
        <v>8</v>
      </c>
      <c r="C1623" s="4" t="str">
        <f t="shared" si="100"/>
        <v>Good</v>
      </c>
      <c r="D1623" s="3" t="s">
        <v>1119</v>
      </c>
      <c r="E1623" s="3" t="s">
        <v>35</v>
      </c>
      <c r="F1623" s="5" t="s">
        <v>3162</v>
      </c>
      <c r="G1623" s="4" t="str">
        <f t="shared" si="101"/>
        <v>20th</v>
      </c>
      <c r="H1623" s="4" t="str">
        <f t="shared" si="102"/>
        <v>March</v>
      </c>
      <c r="I1623" s="4" t="str">
        <f t="shared" si="103"/>
        <v>2022</v>
      </c>
      <c r="J1623" s="10" t="s">
        <v>9</v>
      </c>
    </row>
    <row r="1624" spans="1:10" x14ac:dyDescent="0.35">
      <c r="A1624" s="9" t="s">
        <v>2826</v>
      </c>
      <c r="B1624" s="3">
        <v>9</v>
      </c>
      <c r="C1624" s="4" t="str">
        <f t="shared" si="100"/>
        <v>Good</v>
      </c>
      <c r="D1624" s="3" t="s">
        <v>3163</v>
      </c>
      <c r="E1624" s="3" t="s">
        <v>3164</v>
      </c>
      <c r="F1624" s="5" t="s">
        <v>3162</v>
      </c>
      <c r="G1624" s="4" t="str">
        <f t="shared" si="101"/>
        <v>20th</v>
      </c>
      <c r="H1624" s="4" t="str">
        <f t="shared" si="102"/>
        <v>March</v>
      </c>
      <c r="I1624" s="4" t="str">
        <f t="shared" si="103"/>
        <v>2022</v>
      </c>
      <c r="J1624" s="10" t="s">
        <v>9</v>
      </c>
    </row>
    <row r="1625" spans="1:10" x14ac:dyDescent="0.35">
      <c r="A1625" s="9" t="s">
        <v>2826</v>
      </c>
      <c r="B1625" s="3">
        <v>1</v>
      </c>
      <c r="C1625" s="4" t="str">
        <f t="shared" si="100"/>
        <v>Bad</v>
      </c>
      <c r="D1625" s="3" t="s">
        <v>3165</v>
      </c>
      <c r="E1625" s="3" t="s">
        <v>3166</v>
      </c>
      <c r="F1625" s="5" t="s">
        <v>3162</v>
      </c>
      <c r="G1625" s="4" t="str">
        <f t="shared" si="101"/>
        <v>20th</v>
      </c>
      <c r="H1625" s="4" t="str">
        <f t="shared" si="102"/>
        <v>March</v>
      </c>
      <c r="I1625" s="4" t="str">
        <f t="shared" si="103"/>
        <v>2022</v>
      </c>
      <c r="J1625" s="10" t="s">
        <v>12</v>
      </c>
    </row>
    <row r="1626" spans="1:10" x14ac:dyDescent="0.35">
      <c r="A1626" s="9" t="s">
        <v>2826</v>
      </c>
      <c r="B1626" s="3">
        <v>8</v>
      </c>
      <c r="C1626" s="4" t="str">
        <f t="shared" si="100"/>
        <v>Good</v>
      </c>
      <c r="D1626" s="3" t="s">
        <v>3167</v>
      </c>
      <c r="E1626" s="3" t="s">
        <v>3168</v>
      </c>
      <c r="F1626" s="5" t="s">
        <v>3162</v>
      </c>
      <c r="G1626" s="4" t="str">
        <f t="shared" si="101"/>
        <v>20th</v>
      </c>
      <c r="H1626" s="4" t="str">
        <f t="shared" si="102"/>
        <v>March</v>
      </c>
      <c r="I1626" s="4" t="str">
        <f t="shared" si="103"/>
        <v>2022</v>
      </c>
      <c r="J1626" s="10" t="s">
        <v>9</v>
      </c>
    </row>
    <row r="1627" spans="1:10" x14ac:dyDescent="0.35">
      <c r="A1627" s="9" t="s">
        <v>2826</v>
      </c>
      <c r="B1627" s="3">
        <v>10</v>
      </c>
      <c r="C1627" s="4" t="str">
        <f t="shared" si="100"/>
        <v>Good</v>
      </c>
      <c r="D1627" s="3" t="s">
        <v>3169</v>
      </c>
      <c r="E1627" s="3" t="s">
        <v>3170</v>
      </c>
      <c r="F1627" s="5" t="s">
        <v>3162</v>
      </c>
      <c r="G1627" s="4" t="str">
        <f t="shared" si="101"/>
        <v>20th</v>
      </c>
      <c r="H1627" s="4" t="str">
        <f t="shared" si="102"/>
        <v>March</v>
      </c>
      <c r="I1627" s="4" t="str">
        <f t="shared" si="103"/>
        <v>2022</v>
      </c>
      <c r="J1627" s="10" t="s">
        <v>9</v>
      </c>
    </row>
    <row r="1628" spans="1:10" x14ac:dyDescent="0.35">
      <c r="A1628" s="9" t="s">
        <v>2826</v>
      </c>
      <c r="B1628" s="3">
        <v>1</v>
      </c>
      <c r="C1628" s="4" t="str">
        <f t="shared" si="100"/>
        <v>Bad</v>
      </c>
      <c r="D1628" s="3" t="s">
        <v>3171</v>
      </c>
      <c r="E1628" s="3" t="s">
        <v>3172</v>
      </c>
      <c r="F1628" s="5" t="s">
        <v>3162</v>
      </c>
      <c r="G1628" s="4" t="str">
        <f t="shared" si="101"/>
        <v>20th</v>
      </c>
      <c r="H1628" s="4" t="str">
        <f t="shared" si="102"/>
        <v>March</v>
      </c>
      <c r="I1628" s="4" t="str">
        <f t="shared" si="103"/>
        <v>2022</v>
      </c>
      <c r="J1628" s="10" t="s">
        <v>12</v>
      </c>
    </row>
    <row r="1629" spans="1:10" x14ac:dyDescent="0.35">
      <c r="A1629" s="9" t="s">
        <v>2826</v>
      </c>
      <c r="B1629" s="3">
        <v>1</v>
      </c>
      <c r="C1629" s="4" t="str">
        <f t="shared" si="100"/>
        <v>Bad</v>
      </c>
      <c r="D1629" s="3" t="s">
        <v>3173</v>
      </c>
      <c r="E1629" s="3" t="s">
        <v>3174</v>
      </c>
      <c r="F1629" s="5" t="s">
        <v>3162</v>
      </c>
      <c r="G1629" s="4" t="str">
        <f t="shared" si="101"/>
        <v>20th</v>
      </c>
      <c r="H1629" s="4" t="str">
        <f t="shared" si="102"/>
        <v>March</v>
      </c>
      <c r="I1629" s="4" t="str">
        <f t="shared" si="103"/>
        <v>2022</v>
      </c>
      <c r="J1629" s="10" t="s">
        <v>12</v>
      </c>
    </row>
    <row r="1630" spans="1:10" x14ac:dyDescent="0.35">
      <c r="A1630" s="9" t="s">
        <v>2826</v>
      </c>
      <c r="B1630" s="3">
        <v>1</v>
      </c>
      <c r="C1630" s="4" t="str">
        <f t="shared" si="100"/>
        <v>Bad</v>
      </c>
      <c r="D1630" s="3" t="s">
        <v>3175</v>
      </c>
      <c r="E1630" s="3" t="s">
        <v>3176</v>
      </c>
      <c r="F1630" s="5" t="s">
        <v>3162</v>
      </c>
      <c r="G1630" s="4" t="str">
        <f t="shared" si="101"/>
        <v>20th</v>
      </c>
      <c r="H1630" s="4" t="str">
        <f t="shared" si="102"/>
        <v>March</v>
      </c>
      <c r="I1630" s="4" t="str">
        <f t="shared" si="103"/>
        <v>2022</v>
      </c>
      <c r="J1630" s="10" t="s">
        <v>12</v>
      </c>
    </row>
    <row r="1631" spans="1:10" x14ac:dyDescent="0.35">
      <c r="A1631" s="9" t="s">
        <v>2826</v>
      </c>
      <c r="B1631" s="3">
        <v>1</v>
      </c>
      <c r="C1631" s="4" t="str">
        <f t="shared" si="100"/>
        <v>Bad</v>
      </c>
      <c r="D1631" s="3" t="s">
        <v>3177</v>
      </c>
      <c r="E1631" s="3" t="s">
        <v>3178</v>
      </c>
      <c r="F1631" s="5" t="s">
        <v>3162</v>
      </c>
      <c r="G1631" s="4" t="str">
        <f t="shared" si="101"/>
        <v>20th</v>
      </c>
      <c r="H1631" s="4" t="str">
        <f t="shared" si="102"/>
        <v>March</v>
      </c>
      <c r="I1631" s="4" t="str">
        <f t="shared" si="103"/>
        <v>2022</v>
      </c>
      <c r="J1631" s="10" t="s">
        <v>12</v>
      </c>
    </row>
    <row r="1632" spans="1:10" x14ac:dyDescent="0.35">
      <c r="A1632" s="9" t="s">
        <v>2826</v>
      </c>
      <c r="B1632" s="3">
        <v>1</v>
      </c>
      <c r="C1632" s="4" t="str">
        <f t="shared" si="100"/>
        <v>Bad</v>
      </c>
      <c r="D1632" s="3" t="s">
        <v>3179</v>
      </c>
      <c r="E1632" s="3" t="s">
        <v>3180</v>
      </c>
      <c r="F1632" s="5" t="s">
        <v>3181</v>
      </c>
      <c r="G1632" s="4" t="str">
        <f t="shared" si="101"/>
        <v>6th</v>
      </c>
      <c r="H1632" s="4" t="str">
        <f t="shared" si="102"/>
        <v>December</v>
      </c>
      <c r="I1632" s="4" t="str">
        <f t="shared" si="103"/>
        <v>2021</v>
      </c>
      <c r="J1632" s="10" t="s">
        <v>12</v>
      </c>
    </row>
    <row r="1633" spans="1:10" x14ac:dyDescent="0.35">
      <c r="A1633" s="9" t="s">
        <v>2826</v>
      </c>
      <c r="B1633" s="3">
        <v>1</v>
      </c>
      <c r="C1633" s="4" t="str">
        <f t="shared" si="100"/>
        <v>Bad</v>
      </c>
      <c r="D1633" s="3" t="s">
        <v>3182</v>
      </c>
      <c r="E1633" s="3" t="s">
        <v>3183</v>
      </c>
      <c r="F1633" s="5" t="s">
        <v>3181</v>
      </c>
      <c r="G1633" s="4" t="str">
        <f t="shared" si="101"/>
        <v>6th</v>
      </c>
      <c r="H1633" s="4" t="str">
        <f t="shared" si="102"/>
        <v>December</v>
      </c>
      <c r="I1633" s="4" t="str">
        <f t="shared" si="103"/>
        <v>2021</v>
      </c>
      <c r="J1633" s="10" t="s">
        <v>12</v>
      </c>
    </row>
    <row r="1634" spans="1:10" x14ac:dyDescent="0.35">
      <c r="A1634" s="9" t="s">
        <v>2826</v>
      </c>
      <c r="B1634" s="3">
        <v>1</v>
      </c>
      <c r="C1634" s="4" t="str">
        <f t="shared" si="100"/>
        <v>Bad</v>
      </c>
      <c r="D1634" s="3" t="s">
        <v>3184</v>
      </c>
      <c r="E1634" s="3" t="s">
        <v>3185</v>
      </c>
      <c r="F1634" s="5" t="s">
        <v>3181</v>
      </c>
      <c r="G1634" s="4" t="str">
        <f t="shared" si="101"/>
        <v>6th</v>
      </c>
      <c r="H1634" s="4" t="str">
        <f t="shared" si="102"/>
        <v>December</v>
      </c>
      <c r="I1634" s="4" t="str">
        <f t="shared" si="103"/>
        <v>2021</v>
      </c>
      <c r="J1634" s="10" t="s">
        <v>12</v>
      </c>
    </row>
    <row r="1635" spans="1:10" x14ac:dyDescent="0.35">
      <c r="A1635" s="9" t="s">
        <v>2826</v>
      </c>
      <c r="B1635" s="3">
        <v>1</v>
      </c>
      <c r="C1635" s="4" t="str">
        <f t="shared" si="100"/>
        <v>Bad</v>
      </c>
      <c r="D1635" s="3" t="s">
        <v>3186</v>
      </c>
      <c r="E1635" s="3" t="s">
        <v>3187</v>
      </c>
      <c r="F1635" s="5" t="s">
        <v>3181</v>
      </c>
      <c r="G1635" s="4" t="str">
        <f t="shared" si="101"/>
        <v>6th</v>
      </c>
      <c r="H1635" s="4" t="str">
        <f t="shared" si="102"/>
        <v>December</v>
      </c>
      <c r="I1635" s="4" t="str">
        <f t="shared" si="103"/>
        <v>2021</v>
      </c>
      <c r="J1635" s="10" t="s">
        <v>12</v>
      </c>
    </row>
    <row r="1636" spans="1:10" x14ac:dyDescent="0.35">
      <c r="A1636" s="9" t="s">
        <v>2826</v>
      </c>
      <c r="B1636" s="3">
        <v>1</v>
      </c>
      <c r="C1636" s="4" t="str">
        <f t="shared" si="100"/>
        <v>Bad</v>
      </c>
      <c r="D1636" s="3" t="s">
        <v>3188</v>
      </c>
      <c r="E1636" s="3" t="s">
        <v>3189</v>
      </c>
      <c r="F1636" s="5" t="s">
        <v>3181</v>
      </c>
      <c r="G1636" s="4" t="str">
        <f t="shared" si="101"/>
        <v>6th</v>
      </c>
      <c r="H1636" s="4" t="str">
        <f t="shared" si="102"/>
        <v>December</v>
      </c>
      <c r="I1636" s="4" t="str">
        <f t="shared" si="103"/>
        <v>2021</v>
      </c>
      <c r="J1636" s="10" t="s">
        <v>12</v>
      </c>
    </row>
    <row r="1637" spans="1:10" x14ac:dyDescent="0.35">
      <c r="A1637" s="9" t="s">
        <v>2826</v>
      </c>
      <c r="B1637" s="3">
        <v>10</v>
      </c>
      <c r="C1637" s="4" t="str">
        <f t="shared" si="100"/>
        <v>Good</v>
      </c>
      <c r="D1637" s="3" t="s">
        <v>3190</v>
      </c>
      <c r="E1637" s="3" t="s">
        <v>3191</v>
      </c>
      <c r="F1637" s="5" t="s">
        <v>3181</v>
      </c>
      <c r="G1637" s="4" t="str">
        <f t="shared" si="101"/>
        <v>6th</v>
      </c>
      <c r="H1637" s="4" t="str">
        <f t="shared" si="102"/>
        <v>December</v>
      </c>
      <c r="I1637" s="4" t="str">
        <f t="shared" si="103"/>
        <v>2021</v>
      </c>
      <c r="J1637" s="10" t="s">
        <v>9</v>
      </c>
    </row>
    <row r="1638" spans="1:10" x14ac:dyDescent="0.35">
      <c r="A1638" s="9" t="s">
        <v>2826</v>
      </c>
      <c r="B1638" s="3">
        <v>10</v>
      </c>
      <c r="C1638" s="4" t="str">
        <f t="shared" si="100"/>
        <v>Good</v>
      </c>
      <c r="D1638" s="3" t="s">
        <v>3192</v>
      </c>
      <c r="E1638" s="3" t="s">
        <v>3193</v>
      </c>
      <c r="F1638" s="5" t="s">
        <v>3181</v>
      </c>
      <c r="G1638" s="4" t="str">
        <f t="shared" si="101"/>
        <v>6th</v>
      </c>
      <c r="H1638" s="4" t="str">
        <f t="shared" si="102"/>
        <v>December</v>
      </c>
      <c r="I1638" s="4" t="str">
        <f t="shared" si="103"/>
        <v>2021</v>
      </c>
      <c r="J1638" s="10" t="s">
        <v>9</v>
      </c>
    </row>
    <row r="1639" spans="1:10" x14ac:dyDescent="0.35">
      <c r="A1639" s="9" t="s">
        <v>2826</v>
      </c>
      <c r="B1639" s="3">
        <v>7</v>
      </c>
      <c r="C1639" s="4" t="str">
        <f t="shared" si="100"/>
        <v>Neutral</v>
      </c>
      <c r="D1639" s="3" t="s">
        <v>3194</v>
      </c>
      <c r="E1639" s="3" t="s">
        <v>3195</v>
      </c>
      <c r="F1639" s="5" t="s">
        <v>3181</v>
      </c>
      <c r="G1639" s="4" t="str">
        <f t="shared" si="101"/>
        <v>6th</v>
      </c>
      <c r="H1639" s="4" t="str">
        <f t="shared" si="102"/>
        <v>December</v>
      </c>
      <c r="I1639" s="4" t="str">
        <f t="shared" si="103"/>
        <v>2021</v>
      </c>
      <c r="J1639" s="10" t="s">
        <v>9</v>
      </c>
    </row>
    <row r="1640" spans="1:10" x14ac:dyDescent="0.35">
      <c r="A1640" s="9" t="s">
        <v>2826</v>
      </c>
      <c r="B1640" s="3">
        <v>3</v>
      </c>
      <c r="C1640" s="4" t="str">
        <f t="shared" si="100"/>
        <v>Bad</v>
      </c>
      <c r="D1640" s="3" t="s">
        <v>3196</v>
      </c>
      <c r="E1640" s="3" t="s">
        <v>3197</v>
      </c>
      <c r="F1640" s="5" t="s">
        <v>3181</v>
      </c>
      <c r="G1640" s="4" t="str">
        <f t="shared" si="101"/>
        <v>6th</v>
      </c>
      <c r="H1640" s="4" t="str">
        <f t="shared" si="102"/>
        <v>December</v>
      </c>
      <c r="I1640" s="4" t="str">
        <f t="shared" si="103"/>
        <v>2021</v>
      </c>
      <c r="J1640" s="10" t="s">
        <v>12</v>
      </c>
    </row>
    <row r="1641" spans="1:10" x14ac:dyDescent="0.35">
      <c r="A1641" s="9" t="s">
        <v>2826</v>
      </c>
      <c r="B1641" s="3">
        <v>10</v>
      </c>
      <c r="C1641" s="4" t="str">
        <f t="shared" si="100"/>
        <v>Good</v>
      </c>
      <c r="D1641" s="3" t="s">
        <v>3198</v>
      </c>
      <c r="E1641" s="3" t="s">
        <v>3199</v>
      </c>
      <c r="F1641" s="5" t="s">
        <v>3181</v>
      </c>
      <c r="G1641" s="4" t="str">
        <f t="shared" si="101"/>
        <v>6th</v>
      </c>
      <c r="H1641" s="4" t="str">
        <f t="shared" si="102"/>
        <v>December</v>
      </c>
      <c r="I1641" s="4" t="str">
        <f t="shared" si="103"/>
        <v>2021</v>
      </c>
      <c r="J1641" s="10" t="s">
        <v>9</v>
      </c>
    </row>
    <row r="1642" spans="1:10" x14ac:dyDescent="0.35">
      <c r="A1642" s="9" t="s">
        <v>2826</v>
      </c>
      <c r="B1642" s="3">
        <v>10</v>
      </c>
      <c r="C1642" s="4" t="str">
        <f t="shared" si="100"/>
        <v>Good</v>
      </c>
      <c r="D1642" s="3" t="s">
        <v>3200</v>
      </c>
      <c r="E1642" s="3" t="s">
        <v>3201</v>
      </c>
      <c r="F1642" s="5" t="s">
        <v>3202</v>
      </c>
      <c r="G1642" s="4" t="str">
        <f t="shared" si="101"/>
        <v>21st</v>
      </c>
      <c r="H1642" s="4" t="str">
        <f t="shared" si="102"/>
        <v>September</v>
      </c>
      <c r="I1642" s="4" t="str">
        <f t="shared" si="103"/>
        <v>2021</v>
      </c>
      <c r="J1642" s="10" t="s">
        <v>9</v>
      </c>
    </row>
    <row r="1643" spans="1:10" x14ac:dyDescent="0.35">
      <c r="A1643" s="9" t="s">
        <v>2826</v>
      </c>
      <c r="B1643" s="3">
        <v>1</v>
      </c>
      <c r="C1643" s="4" t="str">
        <f t="shared" si="100"/>
        <v>Bad</v>
      </c>
      <c r="D1643" s="3" t="s">
        <v>3203</v>
      </c>
      <c r="E1643" s="3" t="s">
        <v>3204</v>
      </c>
      <c r="F1643" s="5" t="s">
        <v>3202</v>
      </c>
      <c r="G1643" s="4" t="str">
        <f t="shared" si="101"/>
        <v>21st</v>
      </c>
      <c r="H1643" s="4" t="str">
        <f t="shared" si="102"/>
        <v>September</v>
      </c>
      <c r="I1643" s="4" t="str">
        <f t="shared" si="103"/>
        <v>2021</v>
      </c>
      <c r="J1643" s="10" t="s">
        <v>12</v>
      </c>
    </row>
    <row r="1644" spans="1:10" x14ac:dyDescent="0.35">
      <c r="A1644" s="9" t="s">
        <v>2826</v>
      </c>
      <c r="B1644" s="3">
        <v>1</v>
      </c>
      <c r="C1644" s="4" t="str">
        <f t="shared" si="100"/>
        <v>Bad</v>
      </c>
      <c r="D1644" s="3" t="s">
        <v>3205</v>
      </c>
      <c r="E1644" s="3" t="s">
        <v>3206</v>
      </c>
      <c r="F1644" s="5" t="s">
        <v>3202</v>
      </c>
      <c r="G1644" s="4" t="str">
        <f t="shared" si="101"/>
        <v>21st</v>
      </c>
      <c r="H1644" s="4" t="str">
        <f t="shared" si="102"/>
        <v>September</v>
      </c>
      <c r="I1644" s="4" t="str">
        <f t="shared" si="103"/>
        <v>2021</v>
      </c>
      <c r="J1644" s="10" t="s">
        <v>12</v>
      </c>
    </row>
    <row r="1645" spans="1:10" x14ac:dyDescent="0.35">
      <c r="A1645" s="9" t="s">
        <v>2826</v>
      </c>
      <c r="B1645" s="3">
        <v>9</v>
      </c>
      <c r="C1645" s="4" t="str">
        <f t="shared" si="100"/>
        <v>Good</v>
      </c>
      <c r="D1645" s="3" t="s">
        <v>3207</v>
      </c>
      <c r="E1645" s="3" t="s">
        <v>3208</v>
      </c>
      <c r="F1645" s="5" t="s">
        <v>3202</v>
      </c>
      <c r="G1645" s="4" t="str">
        <f t="shared" si="101"/>
        <v>21st</v>
      </c>
      <c r="H1645" s="4" t="str">
        <f t="shared" si="102"/>
        <v>September</v>
      </c>
      <c r="I1645" s="4" t="str">
        <f t="shared" si="103"/>
        <v>2021</v>
      </c>
      <c r="J1645" s="10" t="s">
        <v>9</v>
      </c>
    </row>
    <row r="1646" spans="1:10" x14ac:dyDescent="0.35">
      <c r="A1646" s="9" t="s">
        <v>2826</v>
      </c>
      <c r="B1646" s="3">
        <v>1</v>
      </c>
      <c r="C1646" s="4" t="str">
        <f t="shared" si="100"/>
        <v>Bad</v>
      </c>
      <c r="D1646" s="3" t="s">
        <v>3209</v>
      </c>
      <c r="E1646" s="3" t="s">
        <v>3210</v>
      </c>
      <c r="F1646" s="5" t="s">
        <v>3202</v>
      </c>
      <c r="G1646" s="4" t="str">
        <f t="shared" si="101"/>
        <v>21st</v>
      </c>
      <c r="H1646" s="4" t="str">
        <f t="shared" si="102"/>
        <v>September</v>
      </c>
      <c r="I1646" s="4" t="str">
        <f t="shared" si="103"/>
        <v>2021</v>
      </c>
      <c r="J1646" s="10" t="s">
        <v>12</v>
      </c>
    </row>
    <row r="1647" spans="1:10" x14ac:dyDescent="0.35">
      <c r="A1647" s="9" t="s">
        <v>2826</v>
      </c>
      <c r="B1647" s="3">
        <v>10</v>
      </c>
      <c r="C1647" s="4" t="str">
        <f t="shared" si="100"/>
        <v>Good</v>
      </c>
      <c r="D1647" s="3" t="s">
        <v>3211</v>
      </c>
      <c r="E1647" s="3" t="s">
        <v>3212</v>
      </c>
      <c r="F1647" s="5" t="s">
        <v>3202</v>
      </c>
      <c r="G1647" s="4" t="str">
        <f t="shared" si="101"/>
        <v>21st</v>
      </c>
      <c r="H1647" s="4" t="str">
        <f t="shared" si="102"/>
        <v>September</v>
      </c>
      <c r="I1647" s="4" t="str">
        <f t="shared" si="103"/>
        <v>2021</v>
      </c>
      <c r="J1647" s="10" t="s">
        <v>9</v>
      </c>
    </row>
    <row r="1648" spans="1:10" x14ac:dyDescent="0.35">
      <c r="A1648" s="9" t="s">
        <v>2826</v>
      </c>
      <c r="B1648" s="3">
        <v>3</v>
      </c>
      <c r="C1648" s="4" t="str">
        <f t="shared" si="100"/>
        <v>Bad</v>
      </c>
      <c r="D1648" s="3" t="s">
        <v>3213</v>
      </c>
      <c r="E1648" s="3" t="s">
        <v>3214</v>
      </c>
      <c r="F1648" s="5" t="s">
        <v>3202</v>
      </c>
      <c r="G1648" s="4" t="str">
        <f t="shared" si="101"/>
        <v>21st</v>
      </c>
      <c r="H1648" s="4" t="str">
        <f t="shared" si="102"/>
        <v>September</v>
      </c>
      <c r="I1648" s="4" t="str">
        <f t="shared" si="103"/>
        <v>2021</v>
      </c>
      <c r="J1648" s="10" t="s">
        <v>12</v>
      </c>
    </row>
    <row r="1649" spans="1:10" x14ac:dyDescent="0.35">
      <c r="A1649" s="9" t="s">
        <v>2826</v>
      </c>
      <c r="B1649" s="3">
        <v>3</v>
      </c>
      <c r="C1649" s="4" t="str">
        <f t="shared" si="100"/>
        <v>Bad</v>
      </c>
      <c r="D1649" s="3" t="s">
        <v>3215</v>
      </c>
      <c r="E1649" s="3" t="s">
        <v>3216</v>
      </c>
      <c r="F1649" s="5" t="s">
        <v>3202</v>
      </c>
      <c r="G1649" s="4" t="str">
        <f t="shared" si="101"/>
        <v>21st</v>
      </c>
      <c r="H1649" s="4" t="str">
        <f t="shared" si="102"/>
        <v>September</v>
      </c>
      <c r="I1649" s="4" t="str">
        <f t="shared" si="103"/>
        <v>2021</v>
      </c>
      <c r="J1649" s="10" t="s">
        <v>12</v>
      </c>
    </row>
    <row r="1650" spans="1:10" x14ac:dyDescent="0.35">
      <c r="A1650" s="9" t="s">
        <v>2826</v>
      </c>
      <c r="B1650" s="3">
        <v>10</v>
      </c>
      <c r="C1650" s="4" t="str">
        <f t="shared" si="100"/>
        <v>Good</v>
      </c>
      <c r="D1650" s="3" t="s">
        <v>3217</v>
      </c>
      <c r="E1650" s="3" t="s">
        <v>3218</v>
      </c>
      <c r="F1650" s="5" t="s">
        <v>3202</v>
      </c>
      <c r="G1650" s="4" t="str">
        <f t="shared" si="101"/>
        <v>21st</v>
      </c>
      <c r="H1650" s="4" t="str">
        <f t="shared" si="102"/>
        <v>September</v>
      </c>
      <c r="I1650" s="4" t="str">
        <f t="shared" si="103"/>
        <v>2021</v>
      </c>
      <c r="J1650" s="10" t="s">
        <v>9</v>
      </c>
    </row>
    <row r="1651" spans="1:10" x14ac:dyDescent="0.35">
      <c r="A1651" s="9" t="s">
        <v>2826</v>
      </c>
      <c r="B1651" s="3">
        <v>1</v>
      </c>
      <c r="C1651" s="4" t="str">
        <f t="shared" si="100"/>
        <v>Bad</v>
      </c>
      <c r="D1651" s="3" t="s">
        <v>3219</v>
      </c>
      <c r="E1651" s="3" t="s">
        <v>3220</v>
      </c>
      <c r="F1651" s="5" t="s">
        <v>3202</v>
      </c>
      <c r="G1651" s="4" t="str">
        <f t="shared" si="101"/>
        <v>21st</v>
      </c>
      <c r="H1651" s="4" t="str">
        <f t="shared" si="102"/>
        <v>September</v>
      </c>
      <c r="I1651" s="4" t="str">
        <f t="shared" si="103"/>
        <v>2021</v>
      </c>
      <c r="J1651" s="10" t="s">
        <v>12</v>
      </c>
    </row>
    <row r="1652" spans="1:10" x14ac:dyDescent="0.35">
      <c r="A1652" s="9" t="s">
        <v>2826</v>
      </c>
      <c r="B1652" s="3">
        <v>9</v>
      </c>
      <c r="C1652" s="4" t="str">
        <f t="shared" si="100"/>
        <v>Good</v>
      </c>
      <c r="D1652" s="3" t="s">
        <v>3221</v>
      </c>
      <c r="E1652" s="3" t="s">
        <v>3222</v>
      </c>
      <c r="F1652" s="5" t="s">
        <v>3223</v>
      </c>
      <c r="G1652" s="4" t="str">
        <f t="shared" si="101"/>
        <v>15th</v>
      </c>
      <c r="H1652" s="4" t="str">
        <f t="shared" si="102"/>
        <v>September</v>
      </c>
      <c r="I1652" s="4" t="str">
        <f t="shared" si="103"/>
        <v>2021</v>
      </c>
      <c r="J1652" s="10" t="s">
        <v>9</v>
      </c>
    </row>
    <row r="1653" spans="1:10" x14ac:dyDescent="0.35">
      <c r="A1653" s="9" t="s">
        <v>2826</v>
      </c>
      <c r="B1653" s="3">
        <v>10</v>
      </c>
      <c r="C1653" s="4" t="str">
        <f t="shared" si="100"/>
        <v>Good</v>
      </c>
      <c r="D1653" s="3" t="s">
        <v>3224</v>
      </c>
      <c r="E1653" s="3" t="s">
        <v>3225</v>
      </c>
      <c r="F1653" s="5" t="s">
        <v>3223</v>
      </c>
      <c r="G1653" s="4" t="str">
        <f t="shared" si="101"/>
        <v>15th</v>
      </c>
      <c r="H1653" s="4" t="str">
        <f t="shared" si="102"/>
        <v>September</v>
      </c>
      <c r="I1653" s="4" t="str">
        <f t="shared" si="103"/>
        <v>2021</v>
      </c>
      <c r="J1653" s="10" t="s">
        <v>9</v>
      </c>
    </row>
    <row r="1654" spans="1:10" x14ac:dyDescent="0.35">
      <c r="A1654" s="9" t="s">
        <v>2826</v>
      </c>
      <c r="B1654" s="3">
        <v>6</v>
      </c>
      <c r="C1654" s="4" t="str">
        <f t="shared" si="100"/>
        <v>Neutral</v>
      </c>
      <c r="D1654" s="3" t="s">
        <v>3226</v>
      </c>
      <c r="E1654" s="3" t="s">
        <v>3227</v>
      </c>
      <c r="F1654" s="5" t="s">
        <v>3223</v>
      </c>
      <c r="G1654" s="4" t="str">
        <f t="shared" si="101"/>
        <v>15th</v>
      </c>
      <c r="H1654" s="4" t="str">
        <f t="shared" si="102"/>
        <v>September</v>
      </c>
      <c r="I1654" s="4" t="str">
        <f t="shared" si="103"/>
        <v>2021</v>
      </c>
      <c r="J1654" s="10" t="s">
        <v>9</v>
      </c>
    </row>
    <row r="1655" spans="1:10" x14ac:dyDescent="0.35">
      <c r="A1655" s="9" t="s">
        <v>2826</v>
      </c>
      <c r="B1655" s="3">
        <v>3</v>
      </c>
      <c r="C1655" s="4" t="str">
        <f t="shared" si="100"/>
        <v>Bad</v>
      </c>
      <c r="D1655" s="3" t="s">
        <v>3228</v>
      </c>
      <c r="E1655" s="3" t="s">
        <v>3229</v>
      </c>
      <c r="F1655" s="5" t="s">
        <v>3223</v>
      </c>
      <c r="G1655" s="4" t="str">
        <f t="shared" si="101"/>
        <v>15th</v>
      </c>
      <c r="H1655" s="4" t="str">
        <f t="shared" si="102"/>
        <v>September</v>
      </c>
      <c r="I1655" s="4" t="str">
        <f t="shared" si="103"/>
        <v>2021</v>
      </c>
      <c r="J1655" s="10" t="s">
        <v>12</v>
      </c>
    </row>
    <row r="1656" spans="1:10" x14ac:dyDescent="0.35">
      <c r="A1656" s="9" t="s">
        <v>2826</v>
      </c>
      <c r="B1656" s="3">
        <v>3</v>
      </c>
      <c r="C1656" s="4" t="str">
        <f t="shared" si="100"/>
        <v>Bad</v>
      </c>
      <c r="D1656" s="3" t="s">
        <v>3230</v>
      </c>
      <c r="E1656" s="3" t="s">
        <v>3231</v>
      </c>
      <c r="F1656" s="5" t="s">
        <v>3223</v>
      </c>
      <c r="G1656" s="4" t="str">
        <f t="shared" si="101"/>
        <v>15th</v>
      </c>
      <c r="H1656" s="4" t="str">
        <f t="shared" si="102"/>
        <v>September</v>
      </c>
      <c r="I1656" s="4" t="str">
        <f t="shared" si="103"/>
        <v>2021</v>
      </c>
      <c r="J1656" s="10" t="s">
        <v>12</v>
      </c>
    </row>
    <row r="1657" spans="1:10" x14ac:dyDescent="0.35">
      <c r="A1657" s="9" t="s">
        <v>2826</v>
      </c>
      <c r="B1657" s="3">
        <v>8</v>
      </c>
      <c r="C1657" s="4" t="str">
        <f t="shared" si="100"/>
        <v>Good</v>
      </c>
      <c r="D1657" s="3" t="s">
        <v>3232</v>
      </c>
      <c r="E1657" s="3" t="s">
        <v>3233</v>
      </c>
      <c r="F1657" s="5" t="s">
        <v>3223</v>
      </c>
      <c r="G1657" s="4" t="str">
        <f t="shared" si="101"/>
        <v>15th</v>
      </c>
      <c r="H1657" s="4" t="str">
        <f t="shared" si="102"/>
        <v>September</v>
      </c>
      <c r="I1657" s="4" t="str">
        <f t="shared" si="103"/>
        <v>2021</v>
      </c>
      <c r="J1657" s="10" t="s">
        <v>9</v>
      </c>
    </row>
    <row r="1658" spans="1:10" x14ac:dyDescent="0.35">
      <c r="A1658" s="9" t="s">
        <v>2826</v>
      </c>
      <c r="B1658" s="3">
        <v>1</v>
      </c>
      <c r="C1658" s="4" t="str">
        <f t="shared" si="100"/>
        <v>Bad</v>
      </c>
      <c r="D1658" s="3" t="s">
        <v>3234</v>
      </c>
      <c r="E1658" s="3" t="s">
        <v>3235</v>
      </c>
      <c r="F1658" s="5" t="s">
        <v>3223</v>
      </c>
      <c r="G1658" s="4" t="str">
        <f t="shared" si="101"/>
        <v>15th</v>
      </c>
      <c r="H1658" s="4" t="str">
        <f t="shared" si="102"/>
        <v>September</v>
      </c>
      <c r="I1658" s="4" t="str">
        <f t="shared" si="103"/>
        <v>2021</v>
      </c>
      <c r="J1658" s="10" t="s">
        <v>12</v>
      </c>
    </row>
    <row r="1659" spans="1:10" x14ac:dyDescent="0.35">
      <c r="A1659" s="9" t="s">
        <v>2826</v>
      </c>
      <c r="B1659" s="3">
        <v>1</v>
      </c>
      <c r="C1659" s="4" t="str">
        <f t="shared" si="100"/>
        <v>Bad</v>
      </c>
      <c r="D1659" s="3" t="s">
        <v>3236</v>
      </c>
      <c r="E1659" s="3" t="s">
        <v>3237</v>
      </c>
      <c r="F1659" s="5" t="s">
        <v>3223</v>
      </c>
      <c r="G1659" s="4" t="str">
        <f t="shared" si="101"/>
        <v>15th</v>
      </c>
      <c r="H1659" s="4" t="str">
        <f t="shared" si="102"/>
        <v>September</v>
      </c>
      <c r="I1659" s="4" t="str">
        <f t="shared" si="103"/>
        <v>2021</v>
      </c>
      <c r="J1659" s="10" t="s">
        <v>12</v>
      </c>
    </row>
    <row r="1660" spans="1:10" x14ac:dyDescent="0.35">
      <c r="A1660" s="9" t="s">
        <v>2826</v>
      </c>
      <c r="B1660" s="3">
        <v>7</v>
      </c>
      <c r="C1660" s="4" t="str">
        <f t="shared" si="100"/>
        <v>Neutral</v>
      </c>
      <c r="D1660" s="3" t="s">
        <v>3238</v>
      </c>
      <c r="E1660" s="3" t="s">
        <v>3239</v>
      </c>
      <c r="F1660" s="5" t="s">
        <v>3223</v>
      </c>
      <c r="G1660" s="4" t="str">
        <f t="shared" si="101"/>
        <v>15th</v>
      </c>
      <c r="H1660" s="4" t="str">
        <f t="shared" si="102"/>
        <v>September</v>
      </c>
      <c r="I1660" s="4" t="str">
        <f t="shared" si="103"/>
        <v>2021</v>
      </c>
      <c r="J1660" s="10" t="s">
        <v>9</v>
      </c>
    </row>
    <row r="1661" spans="1:10" x14ac:dyDescent="0.35">
      <c r="A1661" s="9" t="s">
        <v>2826</v>
      </c>
      <c r="B1661" s="3">
        <v>10</v>
      </c>
      <c r="C1661" s="4" t="str">
        <f t="shared" si="100"/>
        <v>Good</v>
      </c>
      <c r="D1661" s="3" t="s">
        <v>3240</v>
      </c>
      <c r="E1661" s="3" t="s">
        <v>3241</v>
      </c>
      <c r="F1661" s="5" t="s">
        <v>3223</v>
      </c>
      <c r="G1661" s="4" t="str">
        <f t="shared" si="101"/>
        <v>15th</v>
      </c>
      <c r="H1661" s="4" t="str">
        <f t="shared" si="102"/>
        <v>September</v>
      </c>
      <c r="I1661" s="4" t="str">
        <f t="shared" si="103"/>
        <v>2021</v>
      </c>
      <c r="J1661" s="10" t="s">
        <v>9</v>
      </c>
    </row>
    <row r="1662" spans="1:10" x14ac:dyDescent="0.35">
      <c r="A1662" s="9" t="s">
        <v>2826</v>
      </c>
      <c r="B1662" s="3">
        <v>10</v>
      </c>
      <c r="C1662" s="4" t="str">
        <f t="shared" si="100"/>
        <v>Good</v>
      </c>
      <c r="D1662" s="3" t="s">
        <v>3242</v>
      </c>
      <c r="E1662" s="3" t="s">
        <v>3243</v>
      </c>
      <c r="F1662" s="5" t="s">
        <v>3244</v>
      </c>
      <c r="G1662" s="4" t="str">
        <f t="shared" si="101"/>
        <v>23rd</v>
      </c>
      <c r="H1662" s="4" t="str">
        <f t="shared" si="102"/>
        <v>August</v>
      </c>
      <c r="I1662" s="4" t="str">
        <f t="shared" si="103"/>
        <v>2021</v>
      </c>
      <c r="J1662" s="10" t="s">
        <v>9</v>
      </c>
    </row>
    <row r="1663" spans="1:10" x14ac:dyDescent="0.35">
      <c r="A1663" s="9" t="s">
        <v>2826</v>
      </c>
      <c r="B1663" s="3">
        <v>2</v>
      </c>
      <c r="C1663" s="4" t="str">
        <f t="shared" si="100"/>
        <v>Bad</v>
      </c>
      <c r="D1663" s="3" t="s">
        <v>3245</v>
      </c>
      <c r="E1663" s="3" t="s">
        <v>3246</v>
      </c>
      <c r="F1663" s="5" t="s">
        <v>3244</v>
      </c>
      <c r="G1663" s="4" t="str">
        <f t="shared" si="101"/>
        <v>23rd</v>
      </c>
      <c r="H1663" s="4" t="str">
        <f t="shared" si="102"/>
        <v>August</v>
      </c>
      <c r="I1663" s="4" t="str">
        <f t="shared" si="103"/>
        <v>2021</v>
      </c>
      <c r="J1663" s="10" t="s">
        <v>12</v>
      </c>
    </row>
    <row r="1664" spans="1:10" x14ac:dyDescent="0.35">
      <c r="A1664" s="9" t="s">
        <v>2826</v>
      </c>
      <c r="B1664" s="3">
        <v>1</v>
      </c>
      <c r="C1664" s="4" t="str">
        <f t="shared" si="100"/>
        <v>Bad</v>
      </c>
      <c r="D1664" s="3" t="s">
        <v>3247</v>
      </c>
      <c r="E1664" s="3" t="s">
        <v>3248</v>
      </c>
      <c r="F1664" s="5" t="s">
        <v>3244</v>
      </c>
      <c r="G1664" s="4" t="str">
        <f t="shared" si="101"/>
        <v>23rd</v>
      </c>
      <c r="H1664" s="4" t="str">
        <f t="shared" si="102"/>
        <v>August</v>
      </c>
      <c r="I1664" s="4" t="str">
        <f t="shared" si="103"/>
        <v>2021</v>
      </c>
      <c r="J1664" s="10" t="s">
        <v>12</v>
      </c>
    </row>
    <row r="1665" spans="1:10" x14ac:dyDescent="0.35">
      <c r="A1665" s="9" t="s">
        <v>2826</v>
      </c>
      <c r="B1665" s="3">
        <v>1</v>
      </c>
      <c r="C1665" s="4" t="str">
        <f t="shared" si="100"/>
        <v>Bad</v>
      </c>
      <c r="D1665" s="3" t="s">
        <v>3249</v>
      </c>
      <c r="E1665" s="3" t="s">
        <v>3250</v>
      </c>
      <c r="F1665" s="5" t="s">
        <v>3244</v>
      </c>
      <c r="G1665" s="4" t="str">
        <f t="shared" si="101"/>
        <v>23rd</v>
      </c>
      <c r="H1665" s="4" t="str">
        <f t="shared" si="102"/>
        <v>August</v>
      </c>
      <c r="I1665" s="4" t="str">
        <f t="shared" si="103"/>
        <v>2021</v>
      </c>
      <c r="J1665" s="10" t="s">
        <v>12</v>
      </c>
    </row>
    <row r="1666" spans="1:10" x14ac:dyDescent="0.35">
      <c r="A1666" s="9" t="s">
        <v>2826</v>
      </c>
      <c r="B1666" s="3">
        <v>10</v>
      </c>
      <c r="C1666" s="4" t="str">
        <f t="shared" si="100"/>
        <v>Good</v>
      </c>
      <c r="D1666" s="3" t="s">
        <v>3251</v>
      </c>
      <c r="E1666" s="3" t="s">
        <v>3252</v>
      </c>
      <c r="F1666" s="5" t="s">
        <v>3244</v>
      </c>
      <c r="G1666" s="4" t="str">
        <f t="shared" si="101"/>
        <v>23rd</v>
      </c>
      <c r="H1666" s="4" t="str">
        <f t="shared" si="102"/>
        <v>August</v>
      </c>
      <c r="I1666" s="4" t="str">
        <f t="shared" si="103"/>
        <v>2021</v>
      </c>
      <c r="J1666" s="10" t="s">
        <v>9</v>
      </c>
    </row>
    <row r="1667" spans="1:10" x14ac:dyDescent="0.35">
      <c r="A1667" s="9" t="s">
        <v>2826</v>
      </c>
      <c r="B1667" s="3">
        <v>1</v>
      </c>
      <c r="C1667" s="4" t="str">
        <f t="shared" ref="C1667:C1730" si="104">IF(B1667&gt;=8,"Good",IF(B1667&gt;=5,"Neutral","Bad"))</f>
        <v>Bad</v>
      </c>
      <c r="D1667" s="3" t="s">
        <v>3253</v>
      </c>
      <c r="E1667" s="3" t="s">
        <v>3254</v>
      </c>
      <c r="F1667" s="5" t="s">
        <v>3244</v>
      </c>
      <c r="G1667" s="4" t="str">
        <f t="shared" ref="G1667:G1730" si="105">LEFT(F1667, FIND(" ", F1667)-1)</f>
        <v>23rd</v>
      </c>
      <c r="H1667" s="4" t="str">
        <f t="shared" ref="H1667:H1730" si="106">TRIM(MID(F1667, FIND(" ", F1667)+1, FIND(" ", F1667, FIND(" ", F1667)+1) - FIND(" ", F1667)-1))</f>
        <v>August</v>
      </c>
      <c r="I1667" s="4" t="str">
        <f t="shared" ref="I1667:I1730" si="107">RIGHT(F1667, 4)</f>
        <v>2021</v>
      </c>
      <c r="J1667" s="10" t="s">
        <v>12</v>
      </c>
    </row>
    <row r="1668" spans="1:10" x14ac:dyDescent="0.35">
      <c r="A1668" s="9" t="s">
        <v>2826</v>
      </c>
      <c r="B1668" s="3">
        <v>1</v>
      </c>
      <c r="C1668" s="4" t="str">
        <f t="shared" si="104"/>
        <v>Bad</v>
      </c>
      <c r="D1668" s="3" t="s">
        <v>3255</v>
      </c>
      <c r="E1668" s="3" t="s">
        <v>3256</v>
      </c>
      <c r="F1668" s="5" t="s">
        <v>3244</v>
      </c>
      <c r="G1668" s="4" t="str">
        <f t="shared" si="105"/>
        <v>23rd</v>
      </c>
      <c r="H1668" s="4" t="str">
        <f t="shared" si="106"/>
        <v>August</v>
      </c>
      <c r="I1668" s="4" t="str">
        <f t="shared" si="107"/>
        <v>2021</v>
      </c>
      <c r="J1668" s="10" t="s">
        <v>12</v>
      </c>
    </row>
    <row r="1669" spans="1:10" x14ac:dyDescent="0.35">
      <c r="A1669" s="9" t="s">
        <v>2826</v>
      </c>
      <c r="B1669" s="3">
        <v>1</v>
      </c>
      <c r="C1669" s="4" t="str">
        <f t="shared" si="104"/>
        <v>Bad</v>
      </c>
      <c r="D1669" s="3" t="s">
        <v>3257</v>
      </c>
      <c r="E1669" s="3" t="s">
        <v>3258</v>
      </c>
      <c r="F1669" s="5" t="s">
        <v>3244</v>
      </c>
      <c r="G1669" s="4" t="str">
        <f t="shared" si="105"/>
        <v>23rd</v>
      </c>
      <c r="H1669" s="4" t="str">
        <f t="shared" si="106"/>
        <v>August</v>
      </c>
      <c r="I1669" s="4" t="str">
        <f t="shared" si="107"/>
        <v>2021</v>
      </c>
      <c r="J1669" s="10" t="s">
        <v>12</v>
      </c>
    </row>
    <row r="1670" spans="1:10" x14ac:dyDescent="0.35">
      <c r="A1670" s="9" t="s">
        <v>2826</v>
      </c>
      <c r="B1670" s="3">
        <v>1</v>
      </c>
      <c r="C1670" s="4" t="str">
        <f t="shared" si="104"/>
        <v>Bad</v>
      </c>
      <c r="D1670" s="3" t="s">
        <v>3259</v>
      </c>
      <c r="E1670" s="3" t="s">
        <v>3260</v>
      </c>
      <c r="F1670" s="5" t="s">
        <v>3244</v>
      </c>
      <c r="G1670" s="4" t="str">
        <f t="shared" si="105"/>
        <v>23rd</v>
      </c>
      <c r="H1670" s="4" t="str">
        <f t="shared" si="106"/>
        <v>August</v>
      </c>
      <c r="I1670" s="4" t="str">
        <f t="shared" si="107"/>
        <v>2021</v>
      </c>
      <c r="J1670" s="10" t="s">
        <v>12</v>
      </c>
    </row>
    <row r="1671" spans="1:10" x14ac:dyDescent="0.35">
      <c r="A1671" s="9" t="s">
        <v>2826</v>
      </c>
      <c r="B1671" s="3">
        <v>1</v>
      </c>
      <c r="C1671" s="4" t="str">
        <f t="shared" si="104"/>
        <v>Bad</v>
      </c>
      <c r="D1671" s="3" t="s">
        <v>3261</v>
      </c>
      <c r="E1671" s="3" t="s">
        <v>3262</v>
      </c>
      <c r="F1671" s="5" t="s">
        <v>3244</v>
      </c>
      <c r="G1671" s="4" t="str">
        <f t="shared" si="105"/>
        <v>23rd</v>
      </c>
      <c r="H1671" s="4" t="str">
        <f t="shared" si="106"/>
        <v>August</v>
      </c>
      <c r="I1671" s="4" t="str">
        <f t="shared" si="107"/>
        <v>2021</v>
      </c>
      <c r="J1671" s="10" t="s">
        <v>12</v>
      </c>
    </row>
    <row r="1672" spans="1:10" x14ac:dyDescent="0.35">
      <c r="A1672" s="9" t="s">
        <v>2826</v>
      </c>
      <c r="B1672" s="3">
        <v>8</v>
      </c>
      <c r="C1672" s="4" t="str">
        <f t="shared" si="104"/>
        <v>Good</v>
      </c>
      <c r="D1672" s="3" t="s">
        <v>3263</v>
      </c>
      <c r="E1672" s="3" t="s">
        <v>3264</v>
      </c>
      <c r="F1672" s="5" t="s">
        <v>3265</v>
      </c>
      <c r="G1672" s="4" t="str">
        <f t="shared" si="105"/>
        <v>6th</v>
      </c>
      <c r="H1672" s="4" t="str">
        <f t="shared" si="106"/>
        <v>May</v>
      </c>
      <c r="I1672" s="4" t="str">
        <f t="shared" si="107"/>
        <v>2021</v>
      </c>
      <c r="J1672" s="10" t="s">
        <v>9</v>
      </c>
    </row>
    <row r="1673" spans="1:10" x14ac:dyDescent="0.35">
      <c r="A1673" s="9" t="s">
        <v>2826</v>
      </c>
      <c r="B1673" s="3">
        <v>2</v>
      </c>
      <c r="C1673" s="4" t="str">
        <f t="shared" si="104"/>
        <v>Bad</v>
      </c>
      <c r="D1673" s="3" t="s">
        <v>3266</v>
      </c>
      <c r="E1673" s="3" t="s">
        <v>3267</v>
      </c>
      <c r="F1673" s="5" t="s">
        <v>3265</v>
      </c>
      <c r="G1673" s="4" t="str">
        <f t="shared" si="105"/>
        <v>6th</v>
      </c>
      <c r="H1673" s="4" t="str">
        <f t="shared" si="106"/>
        <v>May</v>
      </c>
      <c r="I1673" s="4" t="str">
        <f t="shared" si="107"/>
        <v>2021</v>
      </c>
      <c r="J1673" s="10" t="s">
        <v>12</v>
      </c>
    </row>
    <row r="1674" spans="1:10" x14ac:dyDescent="0.35">
      <c r="A1674" s="9" t="s">
        <v>2826</v>
      </c>
      <c r="B1674" s="3">
        <v>10</v>
      </c>
      <c r="C1674" s="4" t="str">
        <f t="shared" si="104"/>
        <v>Good</v>
      </c>
      <c r="D1674" s="3" t="s">
        <v>3268</v>
      </c>
      <c r="E1674" s="3" t="s">
        <v>3269</v>
      </c>
      <c r="F1674" s="5" t="s">
        <v>3265</v>
      </c>
      <c r="G1674" s="4" t="str">
        <f t="shared" si="105"/>
        <v>6th</v>
      </c>
      <c r="H1674" s="4" t="str">
        <f t="shared" si="106"/>
        <v>May</v>
      </c>
      <c r="I1674" s="4" t="str">
        <f t="shared" si="107"/>
        <v>2021</v>
      </c>
      <c r="J1674" s="10" t="s">
        <v>9</v>
      </c>
    </row>
    <row r="1675" spans="1:10" x14ac:dyDescent="0.35">
      <c r="A1675" s="9" t="s">
        <v>2826</v>
      </c>
      <c r="B1675" s="3">
        <v>1</v>
      </c>
      <c r="C1675" s="4" t="str">
        <f t="shared" si="104"/>
        <v>Bad</v>
      </c>
      <c r="D1675" s="3" t="s">
        <v>3270</v>
      </c>
      <c r="E1675" s="3" t="s">
        <v>3271</v>
      </c>
      <c r="F1675" s="5" t="s">
        <v>3265</v>
      </c>
      <c r="G1675" s="4" t="str">
        <f t="shared" si="105"/>
        <v>6th</v>
      </c>
      <c r="H1675" s="4" t="str">
        <f t="shared" si="106"/>
        <v>May</v>
      </c>
      <c r="I1675" s="4" t="str">
        <f t="shared" si="107"/>
        <v>2021</v>
      </c>
      <c r="J1675" s="10" t="s">
        <v>12</v>
      </c>
    </row>
    <row r="1676" spans="1:10" x14ac:dyDescent="0.35">
      <c r="A1676" s="9" t="s">
        <v>2826</v>
      </c>
      <c r="B1676" s="3">
        <v>1</v>
      </c>
      <c r="C1676" s="4" t="str">
        <f t="shared" si="104"/>
        <v>Bad</v>
      </c>
      <c r="D1676" s="3" t="s">
        <v>3272</v>
      </c>
      <c r="E1676" s="3" t="s">
        <v>3273</v>
      </c>
      <c r="F1676" s="5" t="s">
        <v>3265</v>
      </c>
      <c r="G1676" s="4" t="str">
        <f t="shared" si="105"/>
        <v>6th</v>
      </c>
      <c r="H1676" s="4" t="str">
        <f t="shared" si="106"/>
        <v>May</v>
      </c>
      <c r="I1676" s="4" t="str">
        <f t="shared" si="107"/>
        <v>2021</v>
      </c>
      <c r="J1676" s="10" t="s">
        <v>12</v>
      </c>
    </row>
    <row r="1677" spans="1:10" x14ac:dyDescent="0.35">
      <c r="A1677" s="9" t="s">
        <v>2826</v>
      </c>
      <c r="B1677" s="3">
        <v>8</v>
      </c>
      <c r="C1677" s="4" t="str">
        <f t="shared" si="104"/>
        <v>Good</v>
      </c>
      <c r="D1677" s="3" t="s">
        <v>3274</v>
      </c>
      <c r="E1677" s="3" t="s">
        <v>3275</v>
      </c>
      <c r="F1677" s="5" t="s">
        <v>3265</v>
      </c>
      <c r="G1677" s="4" t="str">
        <f t="shared" si="105"/>
        <v>6th</v>
      </c>
      <c r="H1677" s="4" t="str">
        <f t="shared" si="106"/>
        <v>May</v>
      </c>
      <c r="I1677" s="4" t="str">
        <f t="shared" si="107"/>
        <v>2021</v>
      </c>
      <c r="J1677" s="10" t="s">
        <v>9</v>
      </c>
    </row>
    <row r="1678" spans="1:10" x14ac:dyDescent="0.35">
      <c r="A1678" s="9" t="s">
        <v>2826</v>
      </c>
      <c r="B1678" s="3">
        <v>1</v>
      </c>
      <c r="C1678" s="4" t="str">
        <f t="shared" si="104"/>
        <v>Bad</v>
      </c>
      <c r="D1678" s="3" t="s">
        <v>3276</v>
      </c>
      <c r="E1678" s="3" t="s">
        <v>3277</v>
      </c>
      <c r="F1678" s="5" t="s">
        <v>3265</v>
      </c>
      <c r="G1678" s="4" t="str">
        <f t="shared" si="105"/>
        <v>6th</v>
      </c>
      <c r="H1678" s="4" t="str">
        <f t="shared" si="106"/>
        <v>May</v>
      </c>
      <c r="I1678" s="4" t="str">
        <f t="shared" si="107"/>
        <v>2021</v>
      </c>
      <c r="J1678" s="10" t="s">
        <v>12</v>
      </c>
    </row>
    <row r="1679" spans="1:10" x14ac:dyDescent="0.35">
      <c r="A1679" s="9" t="s">
        <v>2826</v>
      </c>
      <c r="B1679" s="3">
        <v>3</v>
      </c>
      <c r="C1679" s="4" t="str">
        <f t="shared" si="104"/>
        <v>Bad</v>
      </c>
      <c r="D1679" s="3" t="s">
        <v>3278</v>
      </c>
      <c r="E1679" s="3" t="s">
        <v>3279</v>
      </c>
      <c r="F1679" s="5" t="s">
        <v>3265</v>
      </c>
      <c r="G1679" s="4" t="str">
        <f t="shared" si="105"/>
        <v>6th</v>
      </c>
      <c r="H1679" s="4" t="str">
        <f t="shared" si="106"/>
        <v>May</v>
      </c>
      <c r="I1679" s="4" t="str">
        <f t="shared" si="107"/>
        <v>2021</v>
      </c>
      <c r="J1679" s="10" t="s">
        <v>12</v>
      </c>
    </row>
    <row r="1680" spans="1:10" x14ac:dyDescent="0.35">
      <c r="A1680" s="9" t="s">
        <v>2826</v>
      </c>
      <c r="B1680" s="3">
        <v>10</v>
      </c>
      <c r="C1680" s="4" t="str">
        <f t="shared" si="104"/>
        <v>Good</v>
      </c>
      <c r="D1680" s="3" t="s">
        <v>3280</v>
      </c>
      <c r="E1680" s="3" t="s">
        <v>3281</v>
      </c>
      <c r="F1680" s="5" t="s">
        <v>3265</v>
      </c>
      <c r="G1680" s="4" t="str">
        <f t="shared" si="105"/>
        <v>6th</v>
      </c>
      <c r="H1680" s="4" t="str">
        <f t="shared" si="106"/>
        <v>May</v>
      </c>
      <c r="I1680" s="4" t="str">
        <f t="shared" si="107"/>
        <v>2021</v>
      </c>
      <c r="J1680" s="10" t="s">
        <v>9</v>
      </c>
    </row>
    <row r="1681" spans="1:10" x14ac:dyDescent="0.35">
      <c r="A1681" s="9" t="s">
        <v>2826</v>
      </c>
      <c r="B1681" s="3">
        <v>9</v>
      </c>
      <c r="C1681" s="4" t="str">
        <f t="shared" si="104"/>
        <v>Good</v>
      </c>
      <c r="D1681" s="3" t="s">
        <v>3282</v>
      </c>
      <c r="E1681" s="3" t="s">
        <v>3283</v>
      </c>
      <c r="F1681" s="5" t="s">
        <v>3265</v>
      </c>
      <c r="G1681" s="4" t="str">
        <f t="shared" si="105"/>
        <v>6th</v>
      </c>
      <c r="H1681" s="4" t="str">
        <f t="shared" si="106"/>
        <v>May</v>
      </c>
      <c r="I1681" s="4" t="str">
        <f t="shared" si="107"/>
        <v>2021</v>
      </c>
      <c r="J1681" s="10" t="s">
        <v>12</v>
      </c>
    </row>
    <row r="1682" spans="1:10" x14ac:dyDescent="0.35">
      <c r="A1682" s="9" t="s">
        <v>2826</v>
      </c>
      <c r="B1682" s="3">
        <v>10</v>
      </c>
      <c r="C1682" s="4" t="str">
        <f t="shared" si="104"/>
        <v>Good</v>
      </c>
      <c r="D1682" s="3" t="s">
        <v>3284</v>
      </c>
      <c r="E1682" s="3" t="s">
        <v>3285</v>
      </c>
      <c r="F1682" s="5" t="s">
        <v>3286</v>
      </c>
      <c r="G1682" s="4" t="str">
        <f t="shared" si="105"/>
        <v>8th</v>
      </c>
      <c r="H1682" s="4" t="str">
        <f t="shared" si="106"/>
        <v>March</v>
      </c>
      <c r="I1682" s="4" t="str">
        <f t="shared" si="107"/>
        <v>2021</v>
      </c>
      <c r="J1682" s="10" t="s">
        <v>9</v>
      </c>
    </row>
    <row r="1683" spans="1:10" x14ac:dyDescent="0.35">
      <c r="A1683" s="9" t="s">
        <v>2826</v>
      </c>
      <c r="B1683" s="3">
        <v>8</v>
      </c>
      <c r="C1683" s="4" t="str">
        <f t="shared" si="104"/>
        <v>Good</v>
      </c>
      <c r="D1683" s="3" t="s">
        <v>3287</v>
      </c>
      <c r="E1683" s="3" t="s">
        <v>3288</v>
      </c>
      <c r="F1683" s="5" t="s">
        <v>3286</v>
      </c>
      <c r="G1683" s="4" t="str">
        <f t="shared" si="105"/>
        <v>8th</v>
      </c>
      <c r="H1683" s="4" t="str">
        <f t="shared" si="106"/>
        <v>March</v>
      </c>
      <c r="I1683" s="4" t="str">
        <f t="shared" si="107"/>
        <v>2021</v>
      </c>
      <c r="J1683" s="10" t="s">
        <v>9</v>
      </c>
    </row>
    <row r="1684" spans="1:10" x14ac:dyDescent="0.35">
      <c r="A1684" s="9" t="s">
        <v>2826</v>
      </c>
      <c r="B1684" s="3">
        <v>9</v>
      </c>
      <c r="C1684" s="4" t="str">
        <f t="shared" si="104"/>
        <v>Good</v>
      </c>
      <c r="D1684" s="3" t="s">
        <v>3289</v>
      </c>
      <c r="E1684" s="3" t="s">
        <v>3290</v>
      </c>
      <c r="F1684" s="5" t="s">
        <v>3286</v>
      </c>
      <c r="G1684" s="4" t="str">
        <f t="shared" si="105"/>
        <v>8th</v>
      </c>
      <c r="H1684" s="4" t="str">
        <f t="shared" si="106"/>
        <v>March</v>
      </c>
      <c r="I1684" s="4" t="str">
        <f t="shared" si="107"/>
        <v>2021</v>
      </c>
      <c r="J1684" s="10" t="s">
        <v>9</v>
      </c>
    </row>
    <row r="1685" spans="1:10" x14ac:dyDescent="0.35">
      <c r="A1685" s="9" t="s">
        <v>2826</v>
      </c>
      <c r="B1685" s="3">
        <v>1</v>
      </c>
      <c r="C1685" s="4" t="str">
        <f t="shared" si="104"/>
        <v>Bad</v>
      </c>
      <c r="D1685" s="3" t="s">
        <v>3291</v>
      </c>
      <c r="E1685" s="3" t="s">
        <v>3292</v>
      </c>
      <c r="F1685" s="5" t="s">
        <v>3286</v>
      </c>
      <c r="G1685" s="4" t="str">
        <f t="shared" si="105"/>
        <v>8th</v>
      </c>
      <c r="H1685" s="4" t="str">
        <f t="shared" si="106"/>
        <v>March</v>
      </c>
      <c r="I1685" s="4" t="str">
        <f t="shared" si="107"/>
        <v>2021</v>
      </c>
      <c r="J1685" s="10" t="s">
        <v>12</v>
      </c>
    </row>
    <row r="1686" spans="1:10" x14ac:dyDescent="0.35">
      <c r="A1686" s="9" t="s">
        <v>2826</v>
      </c>
      <c r="B1686" s="3">
        <v>9</v>
      </c>
      <c r="C1686" s="4" t="str">
        <f t="shared" si="104"/>
        <v>Good</v>
      </c>
      <c r="D1686" s="3" t="s">
        <v>3293</v>
      </c>
      <c r="E1686" s="3" t="s">
        <v>3294</v>
      </c>
      <c r="F1686" s="5" t="s">
        <v>3286</v>
      </c>
      <c r="G1686" s="4" t="str">
        <f t="shared" si="105"/>
        <v>8th</v>
      </c>
      <c r="H1686" s="4" t="str">
        <f t="shared" si="106"/>
        <v>March</v>
      </c>
      <c r="I1686" s="4" t="str">
        <f t="shared" si="107"/>
        <v>2021</v>
      </c>
      <c r="J1686" s="10" t="s">
        <v>9</v>
      </c>
    </row>
    <row r="1687" spans="1:10" x14ac:dyDescent="0.35">
      <c r="A1687" s="9" t="s">
        <v>2826</v>
      </c>
      <c r="B1687" s="3">
        <v>7</v>
      </c>
      <c r="C1687" s="4" t="str">
        <f t="shared" si="104"/>
        <v>Neutral</v>
      </c>
      <c r="D1687" s="3" t="s">
        <v>3295</v>
      </c>
      <c r="E1687" s="3" t="s">
        <v>3296</v>
      </c>
      <c r="F1687" s="5" t="s">
        <v>3286</v>
      </c>
      <c r="G1687" s="4" t="str">
        <f t="shared" si="105"/>
        <v>8th</v>
      </c>
      <c r="H1687" s="4" t="str">
        <f t="shared" si="106"/>
        <v>March</v>
      </c>
      <c r="I1687" s="4" t="str">
        <f t="shared" si="107"/>
        <v>2021</v>
      </c>
      <c r="J1687" s="10" t="s">
        <v>9</v>
      </c>
    </row>
    <row r="1688" spans="1:10" x14ac:dyDescent="0.35">
      <c r="A1688" s="9" t="s">
        <v>2826</v>
      </c>
      <c r="B1688" s="3">
        <v>10</v>
      </c>
      <c r="C1688" s="4" t="str">
        <f t="shared" si="104"/>
        <v>Good</v>
      </c>
      <c r="D1688" s="3" t="s">
        <v>3297</v>
      </c>
      <c r="E1688" s="3" t="s">
        <v>3298</v>
      </c>
      <c r="F1688" s="5" t="s">
        <v>3286</v>
      </c>
      <c r="G1688" s="4" t="str">
        <f t="shared" si="105"/>
        <v>8th</v>
      </c>
      <c r="H1688" s="4" t="str">
        <f t="shared" si="106"/>
        <v>March</v>
      </c>
      <c r="I1688" s="4" t="str">
        <f t="shared" si="107"/>
        <v>2021</v>
      </c>
      <c r="J1688" s="10" t="s">
        <v>9</v>
      </c>
    </row>
    <row r="1689" spans="1:10" x14ac:dyDescent="0.35">
      <c r="A1689" s="9" t="s">
        <v>2826</v>
      </c>
      <c r="B1689" s="3">
        <v>9</v>
      </c>
      <c r="C1689" s="4" t="str">
        <f t="shared" si="104"/>
        <v>Good</v>
      </c>
      <c r="D1689" s="3" t="s">
        <v>3299</v>
      </c>
      <c r="E1689" s="3" t="s">
        <v>672</v>
      </c>
      <c r="F1689" s="5" t="s">
        <v>3286</v>
      </c>
      <c r="G1689" s="4" t="str">
        <f t="shared" si="105"/>
        <v>8th</v>
      </c>
      <c r="H1689" s="4" t="str">
        <f t="shared" si="106"/>
        <v>March</v>
      </c>
      <c r="I1689" s="4" t="str">
        <f t="shared" si="107"/>
        <v>2021</v>
      </c>
      <c r="J1689" s="10" t="s">
        <v>9</v>
      </c>
    </row>
    <row r="1690" spans="1:10" x14ac:dyDescent="0.35">
      <c r="A1690" s="9" t="s">
        <v>2826</v>
      </c>
      <c r="B1690" s="3">
        <v>10</v>
      </c>
      <c r="C1690" s="4" t="str">
        <f t="shared" si="104"/>
        <v>Good</v>
      </c>
      <c r="D1690" s="3" t="s">
        <v>3300</v>
      </c>
      <c r="E1690" s="3" t="s">
        <v>183</v>
      </c>
      <c r="F1690" s="5" t="s">
        <v>3286</v>
      </c>
      <c r="G1690" s="4" t="str">
        <f t="shared" si="105"/>
        <v>8th</v>
      </c>
      <c r="H1690" s="4" t="str">
        <f t="shared" si="106"/>
        <v>March</v>
      </c>
      <c r="I1690" s="4" t="str">
        <f t="shared" si="107"/>
        <v>2021</v>
      </c>
      <c r="J1690" s="10" t="s">
        <v>9</v>
      </c>
    </row>
    <row r="1691" spans="1:10" x14ac:dyDescent="0.35">
      <c r="A1691" s="9" t="s">
        <v>2826</v>
      </c>
      <c r="B1691" s="3">
        <v>1</v>
      </c>
      <c r="C1691" s="4" t="str">
        <f t="shared" si="104"/>
        <v>Bad</v>
      </c>
      <c r="D1691" s="3" t="s">
        <v>3301</v>
      </c>
      <c r="E1691" s="3" t="s">
        <v>3302</v>
      </c>
      <c r="F1691" s="5" t="s">
        <v>3286</v>
      </c>
      <c r="G1691" s="4" t="str">
        <f t="shared" si="105"/>
        <v>8th</v>
      </c>
      <c r="H1691" s="4" t="str">
        <f t="shared" si="106"/>
        <v>March</v>
      </c>
      <c r="I1691" s="4" t="str">
        <f t="shared" si="107"/>
        <v>2021</v>
      </c>
      <c r="J1691" s="10" t="s">
        <v>12</v>
      </c>
    </row>
    <row r="1692" spans="1:10" x14ac:dyDescent="0.35">
      <c r="A1692" s="9" t="s">
        <v>2826</v>
      </c>
      <c r="B1692" s="3">
        <v>8</v>
      </c>
      <c r="C1692" s="4" t="str">
        <f t="shared" si="104"/>
        <v>Good</v>
      </c>
      <c r="D1692" s="3" t="s">
        <v>3303</v>
      </c>
      <c r="E1692" s="3" t="s">
        <v>3304</v>
      </c>
      <c r="F1692" s="5" t="s">
        <v>3305</v>
      </c>
      <c r="G1692" s="4" t="str">
        <f t="shared" si="105"/>
        <v>29th</v>
      </c>
      <c r="H1692" s="4" t="str">
        <f t="shared" si="106"/>
        <v>January</v>
      </c>
      <c r="I1692" s="4" t="str">
        <f t="shared" si="107"/>
        <v>2021</v>
      </c>
      <c r="J1692" s="10" t="s">
        <v>9</v>
      </c>
    </row>
    <row r="1693" spans="1:10" x14ac:dyDescent="0.35">
      <c r="A1693" s="9" t="s">
        <v>2826</v>
      </c>
      <c r="B1693" s="3">
        <v>10</v>
      </c>
      <c r="C1693" s="4" t="str">
        <f t="shared" si="104"/>
        <v>Good</v>
      </c>
      <c r="D1693" s="3" t="s">
        <v>3306</v>
      </c>
      <c r="E1693" s="3" t="s">
        <v>3307</v>
      </c>
      <c r="F1693" s="5" t="s">
        <v>3305</v>
      </c>
      <c r="G1693" s="4" t="str">
        <f t="shared" si="105"/>
        <v>29th</v>
      </c>
      <c r="H1693" s="4" t="str">
        <f t="shared" si="106"/>
        <v>January</v>
      </c>
      <c r="I1693" s="4" t="str">
        <f t="shared" si="107"/>
        <v>2021</v>
      </c>
      <c r="J1693" s="10" t="s">
        <v>9</v>
      </c>
    </row>
    <row r="1694" spans="1:10" x14ac:dyDescent="0.35">
      <c r="A1694" s="9" t="s">
        <v>2826</v>
      </c>
      <c r="B1694" s="3">
        <v>10</v>
      </c>
      <c r="C1694" s="4" t="str">
        <f t="shared" si="104"/>
        <v>Good</v>
      </c>
      <c r="D1694" s="3" t="s">
        <v>3308</v>
      </c>
      <c r="E1694" s="3" t="s">
        <v>3309</v>
      </c>
      <c r="F1694" s="5" t="s">
        <v>3305</v>
      </c>
      <c r="G1694" s="4" t="str">
        <f t="shared" si="105"/>
        <v>29th</v>
      </c>
      <c r="H1694" s="4" t="str">
        <f t="shared" si="106"/>
        <v>January</v>
      </c>
      <c r="I1694" s="4" t="str">
        <f t="shared" si="107"/>
        <v>2021</v>
      </c>
      <c r="J1694" s="10" t="s">
        <v>9</v>
      </c>
    </row>
    <row r="1695" spans="1:10" x14ac:dyDescent="0.35">
      <c r="A1695" s="9" t="s">
        <v>2826</v>
      </c>
      <c r="B1695" s="3">
        <v>9</v>
      </c>
      <c r="C1695" s="4" t="str">
        <f t="shared" si="104"/>
        <v>Good</v>
      </c>
      <c r="D1695" s="3" t="s">
        <v>3310</v>
      </c>
      <c r="E1695" s="3" t="s">
        <v>3311</v>
      </c>
      <c r="F1695" s="5" t="s">
        <v>3305</v>
      </c>
      <c r="G1695" s="4" t="str">
        <f t="shared" si="105"/>
        <v>29th</v>
      </c>
      <c r="H1695" s="4" t="str">
        <f t="shared" si="106"/>
        <v>January</v>
      </c>
      <c r="I1695" s="4" t="str">
        <f t="shared" si="107"/>
        <v>2021</v>
      </c>
      <c r="J1695" s="10" t="s">
        <v>9</v>
      </c>
    </row>
    <row r="1696" spans="1:10" x14ac:dyDescent="0.35">
      <c r="A1696" s="9" t="s">
        <v>2826</v>
      </c>
      <c r="B1696" s="3">
        <v>1</v>
      </c>
      <c r="C1696" s="4" t="str">
        <f t="shared" si="104"/>
        <v>Bad</v>
      </c>
      <c r="D1696" s="3" t="s">
        <v>3312</v>
      </c>
      <c r="E1696" s="3" t="s">
        <v>3313</v>
      </c>
      <c r="F1696" s="5" t="s">
        <v>3305</v>
      </c>
      <c r="G1696" s="4" t="str">
        <f t="shared" si="105"/>
        <v>29th</v>
      </c>
      <c r="H1696" s="4" t="str">
        <f t="shared" si="106"/>
        <v>January</v>
      </c>
      <c r="I1696" s="4" t="str">
        <f t="shared" si="107"/>
        <v>2021</v>
      </c>
      <c r="J1696" s="10" t="s">
        <v>12</v>
      </c>
    </row>
    <row r="1697" spans="1:10" x14ac:dyDescent="0.35">
      <c r="A1697" s="9" t="s">
        <v>2826</v>
      </c>
      <c r="B1697" s="3">
        <v>1</v>
      </c>
      <c r="C1697" s="4" t="str">
        <f t="shared" si="104"/>
        <v>Bad</v>
      </c>
      <c r="D1697" s="3" t="s">
        <v>3314</v>
      </c>
      <c r="E1697" s="3" t="s">
        <v>3315</v>
      </c>
      <c r="F1697" s="5" t="s">
        <v>3305</v>
      </c>
      <c r="G1697" s="4" t="str">
        <f t="shared" si="105"/>
        <v>29th</v>
      </c>
      <c r="H1697" s="4" t="str">
        <f t="shared" si="106"/>
        <v>January</v>
      </c>
      <c r="I1697" s="4" t="str">
        <f t="shared" si="107"/>
        <v>2021</v>
      </c>
      <c r="J1697" s="10" t="s">
        <v>12</v>
      </c>
    </row>
    <row r="1698" spans="1:10" x14ac:dyDescent="0.35">
      <c r="A1698" s="9" t="s">
        <v>2826</v>
      </c>
      <c r="B1698" s="3">
        <v>10</v>
      </c>
      <c r="C1698" s="4" t="str">
        <f t="shared" si="104"/>
        <v>Good</v>
      </c>
      <c r="D1698" s="3" t="s">
        <v>3316</v>
      </c>
      <c r="E1698" s="3" t="s">
        <v>1603</v>
      </c>
      <c r="F1698" s="5" t="s">
        <v>3305</v>
      </c>
      <c r="G1698" s="4" t="str">
        <f t="shared" si="105"/>
        <v>29th</v>
      </c>
      <c r="H1698" s="4" t="str">
        <f t="shared" si="106"/>
        <v>January</v>
      </c>
      <c r="I1698" s="4" t="str">
        <f t="shared" si="107"/>
        <v>2021</v>
      </c>
      <c r="J1698" s="10" t="s">
        <v>9</v>
      </c>
    </row>
    <row r="1699" spans="1:10" x14ac:dyDescent="0.35">
      <c r="A1699" s="9" t="s">
        <v>2826</v>
      </c>
      <c r="B1699" s="3">
        <v>4</v>
      </c>
      <c r="C1699" s="4" t="str">
        <f t="shared" si="104"/>
        <v>Bad</v>
      </c>
      <c r="D1699" s="3" t="s">
        <v>3317</v>
      </c>
      <c r="E1699" s="3" t="s">
        <v>3318</v>
      </c>
      <c r="F1699" s="5" t="s">
        <v>3305</v>
      </c>
      <c r="G1699" s="4" t="str">
        <f t="shared" si="105"/>
        <v>29th</v>
      </c>
      <c r="H1699" s="4" t="str">
        <f t="shared" si="106"/>
        <v>January</v>
      </c>
      <c r="I1699" s="4" t="str">
        <f t="shared" si="107"/>
        <v>2021</v>
      </c>
      <c r="J1699" s="10" t="s">
        <v>9</v>
      </c>
    </row>
    <row r="1700" spans="1:10" x14ac:dyDescent="0.35">
      <c r="A1700" s="9" t="s">
        <v>2826</v>
      </c>
      <c r="B1700" s="3">
        <v>1</v>
      </c>
      <c r="C1700" s="4" t="str">
        <f t="shared" si="104"/>
        <v>Bad</v>
      </c>
      <c r="D1700" s="3" t="s">
        <v>708</v>
      </c>
      <c r="E1700" s="3" t="s">
        <v>3319</v>
      </c>
      <c r="F1700" s="5" t="s">
        <v>3305</v>
      </c>
      <c r="G1700" s="4" t="str">
        <f t="shared" si="105"/>
        <v>29th</v>
      </c>
      <c r="H1700" s="4" t="str">
        <f t="shared" si="106"/>
        <v>January</v>
      </c>
      <c r="I1700" s="4" t="str">
        <f t="shared" si="107"/>
        <v>2021</v>
      </c>
      <c r="J1700" s="10" t="s">
        <v>12</v>
      </c>
    </row>
    <row r="1701" spans="1:10" x14ac:dyDescent="0.35">
      <c r="A1701" s="9" t="s">
        <v>2826</v>
      </c>
      <c r="B1701" s="3">
        <v>2</v>
      </c>
      <c r="C1701" s="4" t="str">
        <f t="shared" si="104"/>
        <v>Bad</v>
      </c>
      <c r="D1701" s="3" t="s">
        <v>3320</v>
      </c>
      <c r="E1701" s="3" t="s">
        <v>1525</v>
      </c>
      <c r="F1701" s="5" t="s">
        <v>3305</v>
      </c>
      <c r="G1701" s="4" t="str">
        <f t="shared" si="105"/>
        <v>29th</v>
      </c>
      <c r="H1701" s="4" t="str">
        <f t="shared" si="106"/>
        <v>January</v>
      </c>
      <c r="I1701" s="4" t="str">
        <f t="shared" si="107"/>
        <v>2021</v>
      </c>
      <c r="J1701" s="10" t="s">
        <v>12</v>
      </c>
    </row>
    <row r="1702" spans="1:10" x14ac:dyDescent="0.35">
      <c r="A1702" s="9" t="s">
        <v>2826</v>
      </c>
      <c r="B1702" s="3">
        <v>1</v>
      </c>
      <c r="C1702" s="4" t="str">
        <f t="shared" si="104"/>
        <v>Bad</v>
      </c>
      <c r="D1702" s="3" t="s">
        <v>3321</v>
      </c>
      <c r="E1702" s="3" t="s">
        <v>3322</v>
      </c>
      <c r="F1702" s="5" t="s">
        <v>3323</v>
      </c>
      <c r="G1702" s="4" t="str">
        <f t="shared" si="105"/>
        <v>8th</v>
      </c>
      <c r="H1702" s="4" t="str">
        <f t="shared" si="106"/>
        <v>December</v>
      </c>
      <c r="I1702" s="4" t="str">
        <f t="shared" si="107"/>
        <v>2020</v>
      </c>
      <c r="J1702" s="10" t="s">
        <v>12</v>
      </c>
    </row>
    <row r="1703" spans="1:10" x14ac:dyDescent="0.35">
      <c r="A1703" s="9" t="s">
        <v>2826</v>
      </c>
      <c r="B1703" s="3">
        <v>1</v>
      </c>
      <c r="C1703" s="4" t="str">
        <f t="shared" si="104"/>
        <v>Bad</v>
      </c>
      <c r="D1703" s="3" t="s">
        <v>3324</v>
      </c>
      <c r="E1703" s="3" t="s">
        <v>3325</v>
      </c>
      <c r="F1703" s="5" t="s">
        <v>3323</v>
      </c>
      <c r="G1703" s="4" t="str">
        <f t="shared" si="105"/>
        <v>8th</v>
      </c>
      <c r="H1703" s="4" t="str">
        <f t="shared" si="106"/>
        <v>December</v>
      </c>
      <c r="I1703" s="4" t="str">
        <f t="shared" si="107"/>
        <v>2020</v>
      </c>
      <c r="J1703" s="10" t="s">
        <v>12</v>
      </c>
    </row>
    <row r="1704" spans="1:10" x14ac:dyDescent="0.35">
      <c r="A1704" s="9" t="s">
        <v>2826</v>
      </c>
      <c r="B1704" s="3">
        <v>1</v>
      </c>
      <c r="C1704" s="4" t="str">
        <f t="shared" si="104"/>
        <v>Bad</v>
      </c>
      <c r="D1704" s="3" t="s">
        <v>3326</v>
      </c>
      <c r="E1704" s="3" t="s">
        <v>3327</v>
      </c>
      <c r="F1704" s="5" t="s">
        <v>3323</v>
      </c>
      <c r="G1704" s="4" t="str">
        <f t="shared" si="105"/>
        <v>8th</v>
      </c>
      <c r="H1704" s="4" t="str">
        <f t="shared" si="106"/>
        <v>December</v>
      </c>
      <c r="I1704" s="4" t="str">
        <f t="shared" si="107"/>
        <v>2020</v>
      </c>
      <c r="J1704" s="10" t="s">
        <v>12</v>
      </c>
    </row>
    <row r="1705" spans="1:10" x14ac:dyDescent="0.35">
      <c r="A1705" s="9" t="s">
        <v>2826</v>
      </c>
      <c r="B1705" s="3">
        <v>10</v>
      </c>
      <c r="C1705" s="4" t="str">
        <f t="shared" si="104"/>
        <v>Good</v>
      </c>
      <c r="D1705" s="3" t="s">
        <v>3328</v>
      </c>
      <c r="E1705" s="3" t="s">
        <v>3329</v>
      </c>
      <c r="F1705" s="5" t="s">
        <v>3323</v>
      </c>
      <c r="G1705" s="4" t="str">
        <f t="shared" si="105"/>
        <v>8th</v>
      </c>
      <c r="H1705" s="4" t="str">
        <f t="shared" si="106"/>
        <v>December</v>
      </c>
      <c r="I1705" s="4" t="str">
        <f t="shared" si="107"/>
        <v>2020</v>
      </c>
      <c r="J1705" s="10" t="s">
        <v>9</v>
      </c>
    </row>
    <row r="1706" spans="1:10" x14ac:dyDescent="0.35">
      <c r="A1706" s="9" t="s">
        <v>2826</v>
      </c>
      <c r="B1706" s="3">
        <v>10</v>
      </c>
      <c r="C1706" s="4" t="str">
        <f t="shared" si="104"/>
        <v>Good</v>
      </c>
      <c r="D1706" s="3" t="s">
        <v>3330</v>
      </c>
      <c r="E1706" s="3" t="s">
        <v>3331</v>
      </c>
      <c r="F1706" s="5" t="s">
        <v>3323</v>
      </c>
      <c r="G1706" s="4" t="str">
        <f t="shared" si="105"/>
        <v>8th</v>
      </c>
      <c r="H1706" s="4" t="str">
        <f t="shared" si="106"/>
        <v>December</v>
      </c>
      <c r="I1706" s="4" t="str">
        <f t="shared" si="107"/>
        <v>2020</v>
      </c>
      <c r="J1706" s="10" t="s">
        <v>9</v>
      </c>
    </row>
    <row r="1707" spans="1:10" x14ac:dyDescent="0.35">
      <c r="A1707" s="9" t="s">
        <v>2826</v>
      </c>
      <c r="B1707" s="3">
        <v>9</v>
      </c>
      <c r="C1707" s="4" t="str">
        <f t="shared" si="104"/>
        <v>Good</v>
      </c>
      <c r="D1707" s="3" t="s">
        <v>3332</v>
      </c>
      <c r="E1707" s="3" t="s">
        <v>3333</v>
      </c>
      <c r="F1707" s="5" t="s">
        <v>3323</v>
      </c>
      <c r="G1707" s="4" t="str">
        <f t="shared" si="105"/>
        <v>8th</v>
      </c>
      <c r="H1707" s="4" t="str">
        <f t="shared" si="106"/>
        <v>December</v>
      </c>
      <c r="I1707" s="4" t="str">
        <f t="shared" si="107"/>
        <v>2020</v>
      </c>
      <c r="J1707" s="10" t="s">
        <v>9</v>
      </c>
    </row>
    <row r="1708" spans="1:10" x14ac:dyDescent="0.35">
      <c r="A1708" s="9" t="s">
        <v>2826</v>
      </c>
      <c r="B1708" s="3">
        <v>3</v>
      </c>
      <c r="C1708" s="4" t="str">
        <f t="shared" si="104"/>
        <v>Bad</v>
      </c>
      <c r="D1708" s="3" t="s">
        <v>3334</v>
      </c>
      <c r="E1708" s="3" t="s">
        <v>3335</v>
      </c>
      <c r="F1708" s="5" t="s">
        <v>3323</v>
      </c>
      <c r="G1708" s="4" t="str">
        <f t="shared" si="105"/>
        <v>8th</v>
      </c>
      <c r="H1708" s="4" t="str">
        <f t="shared" si="106"/>
        <v>December</v>
      </c>
      <c r="I1708" s="4" t="str">
        <f t="shared" si="107"/>
        <v>2020</v>
      </c>
      <c r="J1708" s="10" t="s">
        <v>12</v>
      </c>
    </row>
    <row r="1709" spans="1:10" x14ac:dyDescent="0.35">
      <c r="A1709" s="9" t="s">
        <v>2826</v>
      </c>
      <c r="B1709" s="3">
        <v>10</v>
      </c>
      <c r="C1709" s="4" t="str">
        <f t="shared" si="104"/>
        <v>Good</v>
      </c>
      <c r="D1709" s="3" t="s">
        <v>3336</v>
      </c>
      <c r="E1709" s="3" t="s">
        <v>3337</v>
      </c>
      <c r="F1709" s="5" t="s">
        <v>3323</v>
      </c>
      <c r="G1709" s="4" t="str">
        <f t="shared" si="105"/>
        <v>8th</v>
      </c>
      <c r="H1709" s="4" t="str">
        <f t="shared" si="106"/>
        <v>December</v>
      </c>
      <c r="I1709" s="4" t="str">
        <f t="shared" si="107"/>
        <v>2020</v>
      </c>
      <c r="J1709" s="10" t="s">
        <v>9</v>
      </c>
    </row>
    <row r="1710" spans="1:10" x14ac:dyDescent="0.35">
      <c r="A1710" s="9" t="s">
        <v>2826</v>
      </c>
      <c r="B1710" s="3">
        <v>1</v>
      </c>
      <c r="C1710" s="4" t="str">
        <f t="shared" si="104"/>
        <v>Bad</v>
      </c>
      <c r="D1710" s="3" t="s">
        <v>3338</v>
      </c>
      <c r="E1710" s="3" t="s">
        <v>582</v>
      </c>
      <c r="F1710" s="5" t="s">
        <v>3323</v>
      </c>
      <c r="G1710" s="4" t="str">
        <f t="shared" si="105"/>
        <v>8th</v>
      </c>
      <c r="H1710" s="4" t="str">
        <f t="shared" si="106"/>
        <v>December</v>
      </c>
      <c r="I1710" s="4" t="str">
        <f t="shared" si="107"/>
        <v>2020</v>
      </c>
      <c r="J1710" s="10" t="s">
        <v>12</v>
      </c>
    </row>
    <row r="1711" spans="1:10" x14ac:dyDescent="0.35">
      <c r="A1711" s="9" t="s">
        <v>2826</v>
      </c>
      <c r="B1711" s="3">
        <v>9</v>
      </c>
      <c r="C1711" s="4" t="str">
        <f t="shared" si="104"/>
        <v>Good</v>
      </c>
      <c r="D1711" s="3" t="s">
        <v>3339</v>
      </c>
      <c r="E1711" s="3" t="s">
        <v>3340</v>
      </c>
      <c r="F1711" s="5" t="s">
        <v>3323</v>
      </c>
      <c r="G1711" s="4" t="str">
        <f t="shared" si="105"/>
        <v>8th</v>
      </c>
      <c r="H1711" s="4" t="str">
        <f t="shared" si="106"/>
        <v>December</v>
      </c>
      <c r="I1711" s="4" t="str">
        <f t="shared" si="107"/>
        <v>2020</v>
      </c>
      <c r="J1711" s="10" t="s">
        <v>9</v>
      </c>
    </row>
    <row r="1712" spans="1:10" x14ac:dyDescent="0.35">
      <c r="A1712" s="9" t="s">
        <v>2826</v>
      </c>
      <c r="B1712" s="3">
        <v>10</v>
      </c>
      <c r="C1712" s="4" t="str">
        <f t="shared" si="104"/>
        <v>Good</v>
      </c>
      <c r="D1712" s="3" t="s">
        <v>3341</v>
      </c>
      <c r="E1712" s="3" t="s">
        <v>3342</v>
      </c>
      <c r="F1712" s="5" t="s">
        <v>3343</v>
      </c>
      <c r="G1712" s="4" t="str">
        <f t="shared" si="105"/>
        <v>6th</v>
      </c>
      <c r="H1712" s="4" t="str">
        <f t="shared" si="106"/>
        <v>November</v>
      </c>
      <c r="I1712" s="4" t="str">
        <f t="shared" si="107"/>
        <v>2020</v>
      </c>
      <c r="J1712" s="10" t="s">
        <v>9</v>
      </c>
    </row>
    <row r="1713" spans="1:10" x14ac:dyDescent="0.35">
      <c r="A1713" s="9" t="s">
        <v>2826</v>
      </c>
      <c r="B1713" s="3">
        <v>10</v>
      </c>
      <c r="C1713" s="4" t="str">
        <f t="shared" si="104"/>
        <v>Good</v>
      </c>
      <c r="D1713" s="3" t="s">
        <v>3344</v>
      </c>
      <c r="E1713" s="3" t="s">
        <v>3345</v>
      </c>
      <c r="F1713" s="5" t="s">
        <v>3343</v>
      </c>
      <c r="G1713" s="4" t="str">
        <f t="shared" si="105"/>
        <v>6th</v>
      </c>
      <c r="H1713" s="4" t="str">
        <f t="shared" si="106"/>
        <v>November</v>
      </c>
      <c r="I1713" s="4" t="str">
        <f t="shared" si="107"/>
        <v>2020</v>
      </c>
      <c r="J1713" s="10" t="s">
        <v>9</v>
      </c>
    </row>
    <row r="1714" spans="1:10" x14ac:dyDescent="0.35">
      <c r="A1714" s="9" t="s">
        <v>2826</v>
      </c>
      <c r="B1714" s="3">
        <v>9</v>
      </c>
      <c r="C1714" s="4" t="str">
        <f t="shared" si="104"/>
        <v>Good</v>
      </c>
      <c r="D1714" s="3" t="s">
        <v>3346</v>
      </c>
      <c r="E1714" s="3" t="s">
        <v>3347</v>
      </c>
      <c r="F1714" s="5" t="s">
        <v>3343</v>
      </c>
      <c r="G1714" s="4" t="str">
        <f t="shared" si="105"/>
        <v>6th</v>
      </c>
      <c r="H1714" s="4" t="str">
        <f t="shared" si="106"/>
        <v>November</v>
      </c>
      <c r="I1714" s="4" t="str">
        <f t="shared" si="107"/>
        <v>2020</v>
      </c>
      <c r="J1714" s="10" t="s">
        <v>9</v>
      </c>
    </row>
    <row r="1715" spans="1:10" x14ac:dyDescent="0.35">
      <c r="A1715" s="9" t="s">
        <v>2826</v>
      </c>
      <c r="B1715" s="3">
        <v>10</v>
      </c>
      <c r="C1715" s="4" t="str">
        <f t="shared" si="104"/>
        <v>Good</v>
      </c>
      <c r="D1715" s="3" t="s">
        <v>3348</v>
      </c>
      <c r="E1715" s="3" t="s">
        <v>3349</v>
      </c>
      <c r="F1715" s="5" t="s">
        <v>3343</v>
      </c>
      <c r="G1715" s="4" t="str">
        <f t="shared" si="105"/>
        <v>6th</v>
      </c>
      <c r="H1715" s="4" t="str">
        <f t="shared" si="106"/>
        <v>November</v>
      </c>
      <c r="I1715" s="4" t="str">
        <f t="shared" si="107"/>
        <v>2020</v>
      </c>
      <c r="J1715" s="10" t="s">
        <v>9</v>
      </c>
    </row>
    <row r="1716" spans="1:10" x14ac:dyDescent="0.35">
      <c r="A1716" s="9" t="s">
        <v>2826</v>
      </c>
      <c r="B1716" s="3">
        <v>10</v>
      </c>
      <c r="C1716" s="4" t="str">
        <f t="shared" si="104"/>
        <v>Good</v>
      </c>
      <c r="D1716" s="3" t="s">
        <v>3350</v>
      </c>
      <c r="E1716" s="3" t="s">
        <v>3351</v>
      </c>
      <c r="F1716" s="5" t="s">
        <v>3343</v>
      </c>
      <c r="G1716" s="4" t="str">
        <f t="shared" si="105"/>
        <v>6th</v>
      </c>
      <c r="H1716" s="4" t="str">
        <f t="shared" si="106"/>
        <v>November</v>
      </c>
      <c r="I1716" s="4" t="str">
        <f t="shared" si="107"/>
        <v>2020</v>
      </c>
      <c r="J1716" s="10" t="s">
        <v>9</v>
      </c>
    </row>
    <row r="1717" spans="1:10" x14ac:dyDescent="0.35">
      <c r="A1717" s="9" t="s">
        <v>2826</v>
      </c>
      <c r="B1717" s="3">
        <v>10</v>
      </c>
      <c r="C1717" s="4" t="str">
        <f t="shared" si="104"/>
        <v>Good</v>
      </c>
      <c r="D1717" s="3" t="s">
        <v>3352</v>
      </c>
      <c r="E1717" s="3" t="s">
        <v>3353</v>
      </c>
      <c r="F1717" s="5" t="s">
        <v>3343</v>
      </c>
      <c r="G1717" s="4" t="str">
        <f t="shared" si="105"/>
        <v>6th</v>
      </c>
      <c r="H1717" s="4" t="str">
        <f t="shared" si="106"/>
        <v>November</v>
      </c>
      <c r="I1717" s="4" t="str">
        <f t="shared" si="107"/>
        <v>2020</v>
      </c>
      <c r="J1717" s="10" t="s">
        <v>9</v>
      </c>
    </row>
    <row r="1718" spans="1:10" x14ac:dyDescent="0.35">
      <c r="A1718" s="9" t="s">
        <v>2826</v>
      </c>
      <c r="B1718" s="3">
        <v>10</v>
      </c>
      <c r="C1718" s="4" t="str">
        <f t="shared" si="104"/>
        <v>Good</v>
      </c>
      <c r="D1718" s="3" t="s">
        <v>3354</v>
      </c>
      <c r="E1718" s="3" t="s">
        <v>3355</v>
      </c>
      <c r="F1718" s="5" t="s">
        <v>3343</v>
      </c>
      <c r="G1718" s="4" t="str">
        <f t="shared" si="105"/>
        <v>6th</v>
      </c>
      <c r="H1718" s="4" t="str">
        <f t="shared" si="106"/>
        <v>November</v>
      </c>
      <c r="I1718" s="4" t="str">
        <f t="shared" si="107"/>
        <v>2020</v>
      </c>
      <c r="J1718" s="10" t="s">
        <v>9</v>
      </c>
    </row>
    <row r="1719" spans="1:10" x14ac:dyDescent="0.35">
      <c r="A1719" s="9" t="s">
        <v>2826</v>
      </c>
      <c r="B1719" s="3">
        <v>10</v>
      </c>
      <c r="C1719" s="4" t="str">
        <f t="shared" si="104"/>
        <v>Good</v>
      </c>
      <c r="D1719" s="3" t="s">
        <v>1529</v>
      </c>
      <c r="E1719" s="3" t="s">
        <v>2492</v>
      </c>
      <c r="F1719" s="5" t="s">
        <v>3343</v>
      </c>
      <c r="G1719" s="4" t="str">
        <f t="shared" si="105"/>
        <v>6th</v>
      </c>
      <c r="H1719" s="4" t="str">
        <f t="shared" si="106"/>
        <v>November</v>
      </c>
      <c r="I1719" s="4" t="str">
        <f t="shared" si="107"/>
        <v>2020</v>
      </c>
      <c r="J1719" s="10" t="s">
        <v>9</v>
      </c>
    </row>
    <row r="1720" spans="1:10" x14ac:dyDescent="0.35">
      <c r="A1720" s="9" t="s">
        <v>2826</v>
      </c>
      <c r="B1720" s="3">
        <v>9</v>
      </c>
      <c r="C1720" s="4" t="str">
        <f t="shared" si="104"/>
        <v>Good</v>
      </c>
      <c r="D1720" s="3" t="s">
        <v>3356</v>
      </c>
      <c r="E1720" s="3" t="s">
        <v>3357</v>
      </c>
      <c r="F1720" s="5" t="s">
        <v>3343</v>
      </c>
      <c r="G1720" s="4" t="str">
        <f t="shared" si="105"/>
        <v>6th</v>
      </c>
      <c r="H1720" s="4" t="str">
        <f t="shared" si="106"/>
        <v>November</v>
      </c>
      <c r="I1720" s="4" t="str">
        <f t="shared" si="107"/>
        <v>2020</v>
      </c>
      <c r="J1720" s="10" t="s">
        <v>9</v>
      </c>
    </row>
    <row r="1721" spans="1:10" x14ac:dyDescent="0.35">
      <c r="A1721" s="9" t="s">
        <v>2826</v>
      </c>
      <c r="B1721" s="3">
        <v>10</v>
      </c>
      <c r="C1721" s="4" t="str">
        <f t="shared" si="104"/>
        <v>Good</v>
      </c>
      <c r="D1721" s="3" t="s">
        <v>3358</v>
      </c>
      <c r="E1721" s="3" t="s">
        <v>3359</v>
      </c>
      <c r="F1721" s="5" t="s">
        <v>3343</v>
      </c>
      <c r="G1721" s="4" t="str">
        <f t="shared" si="105"/>
        <v>6th</v>
      </c>
      <c r="H1721" s="4" t="str">
        <f t="shared" si="106"/>
        <v>November</v>
      </c>
      <c r="I1721" s="4" t="str">
        <f t="shared" si="107"/>
        <v>2020</v>
      </c>
      <c r="J1721" s="10" t="s">
        <v>9</v>
      </c>
    </row>
    <row r="1722" spans="1:10" x14ac:dyDescent="0.35">
      <c r="A1722" s="9" t="s">
        <v>2826</v>
      </c>
      <c r="B1722" s="3">
        <v>10</v>
      </c>
      <c r="C1722" s="4" t="str">
        <f t="shared" si="104"/>
        <v>Good</v>
      </c>
      <c r="D1722" s="3" t="s">
        <v>3360</v>
      </c>
      <c r="E1722" s="3" t="s">
        <v>3359</v>
      </c>
      <c r="F1722" s="5" t="s">
        <v>3361</v>
      </c>
      <c r="G1722" s="4" t="str">
        <f t="shared" si="105"/>
        <v>4th</v>
      </c>
      <c r="H1722" s="4" t="str">
        <f t="shared" si="106"/>
        <v>October</v>
      </c>
      <c r="I1722" s="4" t="str">
        <f t="shared" si="107"/>
        <v>2020</v>
      </c>
      <c r="J1722" s="10" t="s">
        <v>9</v>
      </c>
    </row>
    <row r="1723" spans="1:10" x14ac:dyDescent="0.35">
      <c r="A1723" s="9" t="s">
        <v>2826</v>
      </c>
      <c r="B1723" s="3">
        <v>1</v>
      </c>
      <c r="C1723" s="4" t="str">
        <f t="shared" si="104"/>
        <v>Bad</v>
      </c>
      <c r="D1723" s="3" t="s">
        <v>3362</v>
      </c>
      <c r="E1723" s="3" t="s">
        <v>3363</v>
      </c>
      <c r="F1723" s="5" t="s">
        <v>3361</v>
      </c>
      <c r="G1723" s="4" t="str">
        <f t="shared" si="105"/>
        <v>4th</v>
      </c>
      <c r="H1723" s="4" t="str">
        <f t="shared" si="106"/>
        <v>October</v>
      </c>
      <c r="I1723" s="4" t="str">
        <f t="shared" si="107"/>
        <v>2020</v>
      </c>
      <c r="J1723" s="10" t="s">
        <v>12</v>
      </c>
    </row>
    <row r="1724" spans="1:10" x14ac:dyDescent="0.35">
      <c r="A1724" s="9" t="s">
        <v>2826</v>
      </c>
      <c r="B1724" s="3">
        <v>10</v>
      </c>
      <c r="C1724" s="4" t="str">
        <f t="shared" si="104"/>
        <v>Good</v>
      </c>
      <c r="D1724" s="3" t="s">
        <v>3364</v>
      </c>
      <c r="E1724" s="3" t="s">
        <v>259</v>
      </c>
      <c r="F1724" s="5" t="s">
        <v>3361</v>
      </c>
      <c r="G1724" s="4" t="str">
        <f t="shared" si="105"/>
        <v>4th</v>
      </c>
      <c r="H1724" s="4" t="str">
        <f t="shared" si="106"/>
        <v>October</v>
      </c>
      <c r="I1724" s="4" t="str">
        <f t="shared" si="107"/>
        <v>2020</v>
      </c>
      <c r="J1724" s="10" t="s">
        <v>9</v>
      </c>
    </row>
    <row r="1725" spans="1:10" x14ac:dyDescent="0.35">
      <c r="A1725" s="9" t="s">
        <v>2826</v>
      </c>
      <c r="B1725" s="3">
        <v>10</v>
      </c>
      <c r="C1725" s="4" t="str">
        <f t="shared" si="104"/>
        <v>Good</v>
      </c>
      <c r="D1725" s="3" t="s">
        <v>3365</v>
      </c>
      <c r="E1725" s="3" t="s">
        <v>3366</v>
      </c>
      <c r="F1725" s="5" t="s">
        <v>3361</v>
      </c>
      <c r="G1725" s="4" t="str">
        <f t="shared" si="105"/>
        <v>4th</v>
      </c>
      <c r="H1725" s="4" t="str">
        <f t="shared" si="106"/>
        <v>October</v>
      </c>
      <c r="I1725" s="4" t="str">
        <f t="shared" si="107"/>
        <v>2020</v>
      </c>
      <c r="J1725" s="10" t="s">
        <v>9</v>
      </c>
    </row>
    <row r="1726" spans="1:10" x14ac:dyDescent="0.35">
      <c r="A1726" s="9" t="s">
        <v>2826</v>
      </c>
      <c r="B1726" s="3">
        <v>2</v>
      </c>
      <c r="C1726" s="4" t="str">
        <f t="shared" si="104"/>
        <v>Bad</v>
      </c>
      <c r="D1726" s="3" t="s">
        <v>3367</v>
      </c>
      <c r="E1726" s="3" t="s">
        <v>3368</v>
      </c>
      <c r="F1726" s="5" t="s">
        <v>3361</v>
      </c>
      <c r="G1726" s="4" t="str">
        <f t="shared" si="105"/>
        <v>4th</v>
      </c>
      <c r="H1726" s="4" t="str">
        <f t="shared" si="106"/>
        <v>October</v>
      </c>
      <c r="I1726" s="4" t="str">
        <f t="shared" si="107"/>
        <v>2020</v>
      </c>
      <c r="J1726" s="10" t="s">
        <v>12</v>
      </c>
    </row>
    <row r="1727" spans="1:10" x14ac:dyDescent="0.35">
      <c r="A1727" s="9" t="s">
        <v>2826</v>
      </c>
      <c r="B1727" s="3">
        <v>1</v>
      </c>
      <c r="C1727" s="4" t="str">
        <f t="shared" si="104"/>
        <v>Bad</v>
      </c>
      <c r="D1727" s="3" t="s">
        <v>3369</v>
      </c>
      <c r="E1727" s="3" t="s">
        <v>3370</v>
      </c>
      <c r="F1727" s="5" t="s">
        <v>3361</v>
      </c>
      <c r="G1727" s="4" t="str">
        <f t="shared" si="105"/>
        <v>4th</v>
      </c>
      <c r="H1727" s="4" t="str">
        <f t="shared" si="106"/>
        <v>October</v>
      </c>
      <c r="I1727" s="4" t="str">
        <f t="shared" si="107"/>
        <v>2020</v>
      </c>
      <c r="J1727" s="10" t="s">
        <v>12</v>
      </c>
    </row>
    <row r="1728" spans="1:10" x14ac:dyDescent="0.35">
      <c r="A1728" s="9" t="s">
        <v>2826</v>
      </c>
      <c r="B1728" s="3">
        <v>1</v>
      </c>
      <c r="C1728" s="4" t="str">
        <f t="shared" si="104"/>
        <v>Bad</v>
      </c>
      <c r="D1728" s="3" t="s">
        <v>3371</v>
      </c>
      <c r="E1728" s="3" t="s">
        <v>3372</v>
      </c>
      <c r="F1728" s="5" t="s">
        <v>3361</v>
      </c>
      <c r="G1728" s="4" t="str">
        <f t="shared" si="105"/>
        <v>4th</v>
      </c>
      <c r="H1728" s="4" t="str">
        <f t="shared" si="106"/>
        <v>October</v>
      </c>
      <c r="I1728" s="4" t="str">
        <f t="shared" si="107"/>
        <v>2020</v>
      </c>
      <c r="J1728" s="10" t="s">
        <v>12</v>
      </c>
    </row>
    <row r="1729" spans="1:10" x14ac:dyDescent="0.35">
      <c r="A1729" s="9" t="s">
        <v>2826</v>
      </c>
      <c r="B1729" s="3">
        <v>1</v>
      </c>
      <c r="C1729" s="4" t="str">
        <f t="shared" si="104"/>
        <v>Bad</v>
      </c>
      <c r="D1729" s="3" t="s">
        <v>3373</v>
      </c>
      <c r="E1729" s="3" t="s">
        <v>3374</v>
      </c>
      <c r="F1729" s="5" t="s">
        <v>3361</v>
      </c>
      <c r="G1729" s="4" t="str">
        <f t="shared" si="105"/>
        <v>4th</v>
      </c>
      <c r="H1729" s="4" t="str">
        <f t="shared" si="106"/>
        <v>October</v>
      </c>
      <c r="I1729" s="4" t="str">
        <f t="shared" si="107"/>
        <v>2020</v>
      </c>
      <c r="J1729" s="10" t="s">
        <v>12</v>
      </c>
    </row>
    <row r="1730" spans="1:10" x14ac:dyDescent="0.35">
      <c r="A1730" s="9" t="s">
        <v>2826</v>
      </c>
      <c r="B1730" s="3">
        <v>1</v>
      </c>
      <c r="C1730" s="4" t="str">
        <f t="shared" si="104"/>
        <v>Bad</v>
      </c>
      <c r="D1730" s="3" t="s">
        <v>3375</v>
      </c>
      <c r="E1730" s="3" t="s">
        <v>3376</v>
      </c>
      <c r="F1730" s="5" t="s">
        <v>3361</v>
      </c>
      <c r="G1730" s="4" t="str">
        <f t="shared" si="105"/>
        <v>4th</v>
      </c>
      <c r="H1730" s="4" t="str">
        <f t="shared" si="106"/>
        <v>October</v>
      </c>
      <c r="I1730" s="4" t="str">
        <f t="shared" si="107"/>
        <v>2020</v>
      </c>
      <c r="J1730" s="10" t="s">
        <v>12</v>
      </c>
    </row>
    <row r="1731" spans="1:10" x14ac:dyDescent="0.35">
      <c r="A1731" s="9" t="s">
        <v>2826</v>
      </c>
      <c r="B1731" s="3">
        <v>2</v>
      </c>
      <c r="C1731" s="4" t="str">
        <f t="shared" ref="C1731:C1794" si="108">IF(B1731&gt;=8,"Good",IF(B1731&gt;=5,"Neutral","Bad"))</f>
        <v>Bad</v>
      </c>
      <c r="D1731" s="3" t="s">
        <v>3377</v>
      </c>
      <c r="E1731" s="3" t="s">
        <v>3378</v>
      </c>
      <c r="F1731" s="5" t="s">
        <v>3361</v>
      </c>
      <c r="G1731" s="4" t="str">
        <f t="shared" ref="G1731:G1794" si="109">LEFT(F1731, FIND(" ", F1731)-1)</f>
        <v>4th</v>
      </c>
      <c r="H1731" s="4" t="str">
        <f t="shared" ref="H1731:H1794" si="110">TRIM(MID(F1731, FIND(" ", F1731)+1, FIND(" ", F1731, FIND(" ", F1731)+1) - FIND(" ", F1731)-1))</f>
        <v>October</v>
      </c>
      <c r="I1731" s="4" t="str">
        <f t="shared" ref="I1731:I1794" si="111">RIGHT(F1731, 4)</f>
        <v>2020</v>
      </c>
      <c r="J1731" s="10" t="s">
        <v>12</v>
      </c>
    </row>
    <row r="1732" spans="1:10" x14ac:dyDescent="0.35">
      <c r="A1732" s="9" t="s">
        <v>2826</v>
      </c>
      <c r="B1732" s="3">
        <v>9</v>
      </c>
      <c r="C1732" s="4" t="str">
        <f t="shared" si="108"/>
        <v>Good</v>
      </c>
      <c r="D1732" s="3" t="s">
        <v>3379</v>
      </c>
      <c r="E1732" s="3" t="s">
        <v>1504</v>
      </c>
      <c r="F1732" s="5" t="s">
        <v>3380</v>
      </c>
      <c r="G1732" s="4" t="str">
        <f t="shared" si="109"/>
        <v>30th</v>
      </c>
      <c r="H1732" s="4" t="str">
        <f t="shared" si="110"/>
        <v>March</v>
      </c>
      <c r="I1732" s="4" t="str">
        <f t="shared" si="111"/>
        <v>2020</v>
      </c>
      <c r="J1732" s="10" t="s">
        <v>9</v>
      </c>
    </row>
    <row r="1733" spans="1:10" x14ac:dyDescent="0.35">
      <c r="A1733" s="9" t="s">
        <v>2826</v>
      </c>
      <c r="B1733" s="3">
        <v>1</v>
      </c>
      <c r="C1733" s="4" t="str">
        <f t="shared" si="108"/>
        <v>Bad</v>
      </c>
      <c r="D1733" s="3" t="s">
        <v>2149</v>
      </c>
      <c r="E1733" s="3" t="s">
        <v>3381</v>
      </c>
      <c r="F1733" s="5" t="s">
        <v>3380</v>
      </c>
      <c r="G1733" s="4" t="str">
        <f t="shared" si="109"/>
        <v>30th</v>
      </c>
      <c r="H1733" s="4" t="str">
        <f t="shared" si="110"/>
        <v>March</v>
      </c>
      <c r="I1733" s="4" t="str">
        <f t="shared" si="111"/>
        <v>2020</v>
      </c>
      <c r="J1733" s="10" t="s">
        <v>12</v>
      </c>
    </row>
    <row r="1734" spans="1:10" x14ac:dyDescent="0.35">
      <c r="A1734" s="9" t="s">
        <v>2826</v>
      </c>
      <c r="B1734" s="3">
        <v>8</v>
      </c>
      <c r="C1734" s="4" t="str">
        <f t="shared" si="108"/>
        <v>Good</v>
      </c>
      <c r="D1734" s="3" t="s">
        <v>3382</v>
      </c>
      <c r="E1734" s="3" t="s">
        <v>3383</v>
      </c>
      <c r="F1734" s="5" t="s">
        <v>3380</v>
      </c>
      <c r="G1734" s="4" t="str">
        <f t="shared" si="109"/>
        <v>30th</v>
      </c>
      <c r="H1734" s="4" t="str">
        <f t="shared" si="110"/>
        <v>March</v>
      </c>
      <c r="I1734" s="4" t="str">
        <f t="shared" si="111"/>
        <v>2020</v>
      </c>
      <c r="J1734" s="10" t="s">
        <v>9</v>
      </c>
    </row>
    <row r="1735" spans="1:10" x14ac:dyDescent="0.35">
      <c r="A1735" s="9" t="s">
        <v>2826</v>
      </c>
      <c r="B1735" s="3">
        <v>8</v>
      </c>
      <c r="C1735" s="4" t="str">
        <f t="shared" si="108"/>
        <v>Good</v>
      </c>
      <c r="D1735" s="3" t="s">
        <v>3384</v>
      </c>
      <c r="E1735" s="3" t="s">
        <v>3385</v>
      </c>
      <c r="F1735" s="5" t="s">
        <v>3380</v>
      </c>
      <c r="G1735" s="4" t="str">
        <f t="shared" si="109"/>
        <v>30th</v>
      </c>
      <c r="H1735" s="4" t="str">
        <f t="shared" si="110"/>
        <v>March</v>
      </c>
      <c r="I1735" s="4" t="str">
        <f t="shared" si="111"/>
        <v>2020</v>
      </c>
      <c r="J1735" s="10" t="s">
        <v>9</v>
      </c>
    </row>
    <row r="1736" spans="1:10" x14ac:dyDescent="0.35">
      <c r="A1736" s="9" t="s">
        <v>2826</v>
      </c>
      <c r="B1736" s="3">
        <v>1</v>
      </c>
      <c r="C1736" s="4" t="str">
        <f t="shared" si="108"/>
        <v>Bad</v>
      </c>
      <c r="D1736" s="3" t="s">
        <v>3386</v>
      </c>
      <c r="E1736" s="3" t="s">
        <v>3387</v>
      </c>
      <c r="F1736" s="5" t="s">
        <v>3380</v>
      </c>
      <c r="G1736" s="4" t="str">
        <f t="shared" si="109"/>
        <v>30th</v>
      </c>
      <c r="H1736" s="4" t="str">
        <f t="shared" si="110"/>
        <v>March</v>
      </c>
      <c r="I1736" s="4" t="str">
        <f t="shared" si="111"/>
        <v>2020</v>
      </c>
      <c r="J1736" s="10" t="s">
        <v>12</v>
      </c>
    </row>
    <row r="1737" spans="1:10" x14ac:dyDescent="0.35">
      <c r="A1737" s="9" t="s">
        <v>2826</v>
      </c>
      <c r="B1737" s="3">
        <v>1</v>
      </c>
      <c r="C1737" s="4" t="str">
        <f t="shared" si="108"/>
        <v>Bad</v>
      </c>
      <c r="D1737" s="3" t="s">
        <v>3388</v>
      </c>
      <c r="E1737" s="3" t="s">
        <v>3389</v>
      </c>
      <c r="F1737" s="5" t="s">
        <v>3380</v>
      </c>
      <c r="G1737" s="4" t="str">
        <f t="shared" si="109"/>
        <v>30th</v>
      </c>
      <c r="H1737" s="4" t="str">
        <f t="shared" si="110"/>
        <v>March</v>
      </c>
      <c r="I1737" s="4" t="str">
        <f t="shared" si="111"/>
        <v>2020</v>
      </c>
      <c r="J1737" s="10" t="s">
        <v>12</v>
      </c>
    </row>
    <row r="1738" spans="1:10" x14ac:dyDescent="0.35">
      <c r="A1738" s="9" t="s">
        <v>2826</v>
      </c>
      <c r="B1738" s="3">
        <v>7</v>
      </c>
      <c r="C1738" s="4" t="str">
        <f t="shared" si="108"/>
        <v>Neutral</v>
      </c>
      <c r="D1738" s="3" t="s">
        <v>3390</v>
      </c>
      <c r="E1738" s="3" t="s">
        <v>3391</v>
      </c>
      <c r="F1738" s="5" t="s">
        <v>3380</v>
      </c>
      <c r="G1738" s="4" t="str">
        <f t="shared" si="109"/>
        <v>30th</v>
      </c>
      <c r="H1738" s="4" t="str">
        <f t="shared" si="110"/>
        <v>March</v>
      </c>
      <c r="I1738" s="4" t="str">
        <f t="shared" si="111"/>
        <v>2020</v>
      </c>
      <c r="J1738" s="10" t="s">
        <v>9</v>
      </c>
    </row>
    <row r="1739" spans="1:10" x14ac:dyDescent="0.35">
      <c r="A1739" s="9" t="s">
        <v>2826</v>
      </c>
      <c r="B1739" s="3">
        <v>1</v>
      </c>
      <c r="C1739" s="4" t="str">
        <f t="shared" si="108"/>
        <v>Bad</v>
      </c>
      <c r="D1739" s="3" t="s">
        <v>1168</v>
      </c>
      <c r="E1739" s="3" t="s">
        <v>3392</v>
      </c>
      <c r="F1739" s="5" t="s">
        <v>3380</v>
      </c>
      <c r="G1739" s="4" t="str">
        <f t="shared" si="109"/>
        <v>30th</v>
      </c>
      <c r="H1739" s="4" t="str">
        <f t="shared" si="110"/>
        <v>March</v>
      </c>
      <c r="I1739" s="4" t="str">
        <f t="shared" si="111"/>
        <v>2020</v>
      </c>
      <c r="J1739" s="10" t="s">
        <v>12</v>
      </c>
    </row>
    <row r="1740" spans="1:10" x14ac:dyDescent="0.35">
      <c r="A1740" s="9" t="s">
        <v>2826</v>
      </c>
      <c r="B1740" s="3">
        <v>10</v>
      </c>
      <c r="C1740" s="4" t="str">
        <f t="shared" si="108"/>
        <v>Good</v>
      </c>
      <c r="D1740" s="3" t="s">
        <v>3393</v>
      </c>
      <c r="E1740" s="3" t="s">
        <v>3394</v>
      </c>
      <c r="F1740" s="5" t="s">
        <v>3380</v>
      </c>
      <c r="G1740" s="4" t="str">
        <f t="shared" si="109"/>
        <v>30th</v>
      </c>
      <c r="H1740" s="4" t="str">
        <f t="shared" si="110"/>
        <v>March</v>
      </c>
      <c r="I1740" s="4" t="str">
        <f t="shared" si="111"/>
        <v>2020</v>
      </c>
      <c r="J1740" s="10" t="s">
        <v>9</v>
      </c>
    </row>
    <row r="1741" spans="1:10" x14ac:dyDescent="0.35">
      <c r="A1741" s="9" t="s">
        <v>2826</v>
      </c>
      <c r="B1741" s="3">
        <v>1</v>
      </c>
      <c r="C1741" s="4" t="str">
        <f t="shared" si="108"/>
        <v>Bad</v>
      </c>
      <c r="D1741" s="3" t="s">
        <v>3395</v>
      </c>
      <c r="E1741" s="3" t="s">
        <v>3396</v>
      </c>
      <c r="F1741" s="5" t="s">
        <v>3380</v>
      </c>
      <c r="G1741" s="4" t="str">
        <f t="shared" si="109"/>
        <v>30th</v>
      </c>
      <c r="H1741" s="4" t="str">
        <f t="shared" si="110"/>
        <v>March</v>
      </c>
      <c r="I1741" s="4" t="str">
        <f t="shared" si="111"/>
        <v>2020</v>
      </c>
      <c r="J1741" s="10" t="s">
        <v>12</v>
      </c>
    </row>
    <row r="1742" spans="1:10" x14ac:dyDescent="0.35">
      <c r="A1742" s="9" t="s">
        <v>2826</v>
      </c>
      <c r="B1742" s="3">
        <v>1</v>
      </c>
      <c r="C1742" s="4" t="str">
        <f t="shared" si="108"/>
        <v>Bad</v>
      </c>
      <c r="D1742" s="3" t="s">
        <v>3397</v>
      </c>
      <c r="E1742" s="3" t="s">
        <v>3398</v>
      </c>
      <c r="F1742" s="5" t="s">
        <v>3399</v>
      </c>
      <c r="G1742" s="4" t="str">
        <f t="shared" si="109"/>
        <v>17th</v>
      </c>
      <c r="H1742" s="4" t="str">
        <f t="shared" si="110"/>
        <v>March</v>
      </c>
      <c r="I1742" s="4" t="str">
        <f t="shared" si="111"/>
        <v>2020</v>
      </c>
      <c r="J1742" s="10" t="s">
        <v>12</v>
      </c>
    </row>
    <row r="1743" spans="1:10" x14ac:dyDescent="0.35">
      <c r="A1743" s="9" t="s">
        <v>2826</v>
      </c>
      <c r="B1743" s="3">
        <v>3</v>
      </c>
      <c r="C1743" s="4" t="str">
        <f t="shared" si="108"/>
        <v>Bad</v>
      </c>
      <c r="D1743" s="3" t="s">
        <v>3400</v>
      </c>
      <c r="E1743" s="3" t="s">
        <v>3401</v>
      </c>
      <c r="F1743" s="5" t="s">
        <v>3399</v>
      </c>
      <c r="G1743" s="4" t="str">
        <f t="shared" si="109"/>
        <v>17th</v>
      </c>
      <c r="H1743" s="4" t="str">
        <f t="shared" si="110"/>
        <v>March</v>
      </c>
      <c r="I1743" s="4" t="str">
        <f t="shared" si="111"/>
        <v>2020</v>
      </c>
      <c r="J1743" s="10" t="s">
        <v>12</v>
      </c>
    </row>
    <row r="1744" spans="1:10" x14ac:dyDescent="0.35">
      <c r="A1744" s="9" t="s">
        <v>2826</v>
      </c>
      <c r="B1744" s="3">
        <v>1</v>
      </c>
      <c r="C1744" s="4" t="str">
        <f t="shared" si="108"/>
        <v>Bad</v>
      </c>
      <c r="D1744" s="3" t="s">
        <v>3402</v>
      </c>
      <c r="E1744" s="3" t="s">
        <v>3403</v>
      </c>
      <c r="F1744" s="5" t="s">
        <v>3399</v>
      </c>
      <c r="G1744" s="4" t="str">
        <f t="shared" si="109"/>
        <v>17th</v>
      </c>
      <c r="H1744" s="4" t="str">
        <f t="shared" si="110"/>
        <v>March</v>
      </c>
      <c r="I1744" s="4" t="str">
        <f t="shared" si="111"/>
        <v>2020</v>
      </c>
      <c r="J1744" s="10" t="s">
        <v>12</v>
      </c>
    </row>
    <row r="1745" spans="1:10" x14ac:dyDescent="0.35">
      <c r="A1745" s="9" t="s">
        <v>2826</v>
      </c>
      <c r="B1745" s="3">
        <v>1</v>
      </c>
      <c r="C1745" s="4" t="str">
        <f t="shared" si="108"/>
        <v>Bad</v>
      </c>
      <c r="D1745" s="3" t="s">
        <v>3404</v>
      </c>
      <c r="E1745" s="3" t="s">
        <v>3405</v>
      </c>
      <c r="F1745" s="5" t="s">
        <v>3399</v>
      </c>
      <c r="G1745" s="4" t="str">
        <f t="shared" si="109"/>
        <v>17th</v>
      </c>
      <c r="H1745" s="4" t="str">
        <f t="shared" si="110"/>
        <v>March</v>
      </c>
      <c r="I1745" s="4" t="str">
        <f t="shared" si="111"/>
        <v>2020</v>
      </c>
      <c r="J1745" s="10" t="s">
        <v>12</v>
      </c>
    </row>
    <row r="1746" spans="1:10" x14ac:dyDescent="0.35">
      <c r="A1746" s="9" t="s">
        <v>2826</v>
      </c>
      <c r="B1746" s="3">
        <v>1</v>
      </c>
      <c r="C1746" s="4" t="str">
        <f t="shared" si="108"/>
        <v>Bad</v>
      </c>
      <c r="D1746" s="3" t="s">
        <v>1321</v>
      </c>
      <c r="E1746" s="3" t="s">
        <v>3406</v>
      </c>
      <c r="F1746" s="5" t="s">
        <v>3399</v>
      </c>
      <c r="G1746" s="4" t="str">
        <f t="shared" si="109"/>
        <v>17th</v>
      </c>
      <c r="H1746" s="4" t="str">
        <f t="shared" si="110"/>
        <v>March</v>
      </c>
      <c r="I1746" s="4" t="str">
        <f t="shared" si="111"/>
        <v>2020</v>
      </c>
      <c r="J1746" s="10" t="s">
        <v>12</v>
      </c>
    </row>
    <row r="1747" spans="1:10" x14ac:dyDescent="0.35">
      <c r="A1747" s="9" t="s">
        <v>2826</v>
      </c>
      <c r="B1747" s="3">
        <v>5</v>
      </c>
      <c r="C1747" s="4" t="str">
        <f t="shared" si="108"/>
        <v>Neutral</v>
      </c>
      <c r="D1747" s="3" t="s">
        <v>3407</v>
      </c>
      <c r="E1747" s="3" t="s">
        <v>3408</v>
      </c>
      <c r="F1747" s="5" t="s">
        <v>3399</v>
      </c>
      <c r="G1747" s="4" t="str">
        <f t="shared" si="109"/>
        <v>17th</v>
      </c>
      <c r="H1747" s="4" t="str">
        <f t="shared" si="110"/>
        <v>March</v>
      </c>
      <c r="I1747" s="4" t="str">
        <f t="shared" si="111"/>
        <v>2020</v>
      </c>
      <c r="J1747" s="10" t="s">
        <v>12</v>
      </c>
    </row>
    <row r="1748" spans="1:10" x14ac:dyDescent="0.35">
      <c r="A1748" s="9" t="s">
        <v>2826</v>
      </c>
      <c r="B1748" s="3">
        <v>10</v>
      </c>
      <c r="C1748" s="4" t="str">
        <f t="shared" si="108"/>
        <v>Good</v>
      </c>
      <c r="D1748" s="3" t="s">
        <v>2430</v>
      </c>
      <c r="E1748" s="3" t="s">
        <v>3409</v>
      </c>
      <c r="F1748" s="5" t="s">
        <v>3399</v>
      </c>
      <c r="G1748" s="4" t="str">
        <f t="shared" si="109"/>
        <v>17th</v>
      </c>
      <c r="H1748" s="4" t="str">
        <f t="shared" si="110"/>
        <v>March</v>
      </c>
      <c r="I1748" s="4" t="str">
        <f t="shared" si="111"/>
        <v>2020</v>
      </c>
      <c r="J1748" s="10" t="s">
        <v>9</v>
      </c>
    </row>
    <row r="1749" spans="1:10" x14ac:dyDescent="0.35">
      <c r="A1749" s="9" t="s">
        <v>2826</v>
      </c>
      <c r="B1749" s="3">
        <v>9</v>
      </c>
      <c r="C1749" s="4" t="str">
        <f t="shared" si="108"/>
        <v>Good</v>
      </c>
      <c r="D1749" s="3" t="s">
        <v>3410</v>
      </c>
      <c r="E1749" s="3" t="s">
        <v>3411</v>
      </c>
      <c r="F1749" s="5" t="s">
        <v>3399</v>
      </c>
      <c r="G1749" s="4" t="str">
        <f t="shared" si="109"/>
        <v>17th</v>
      </c>
      <c r="H1749" s="4" t="str">
        <f t="shared" si="110"/>
        <v>March</v>
      </c>
      <c r="I1749" s="4" t="str">
        <f t="shared" si="111"/>
        <v>2020</v>
      </c>
      <c r="J1749" s="10" t="s">
        <v>9</v>
      </c>
    </row>
    <row r="1750" spans="1:10" x14ac:dyDescent="0.35">
      <c r="A1750" s="9" t="s">
        <v>2826</v>
      </c>
      <c r="B1750" s="3">
        <v>10</v>
      </c>
      <c r="C1750" s="4" t="str">
        <f t="shared" si="108"/>
        <v>Good</v>
      </c>
      <c r="D1750" s="3" t="s">
        <v>3412</v>
      </c>
      <c r="E1750" s="3" t="s">
        <v>3413</v>
      </c>
      <c r="F1750" s="5" t="s">
        <v>3399</v>
      </c>
      <c r="G1750" s="4" t="str">
        <f t="shared" si="109"/>
        <v>17th</v>
      </c>
      <c r="H1750" s="4" t="str">
        <f t="shared" si="110"/>
        <v>March</v>
      </c>
      <c r="I1750" s="4" t="str">
        <f t="shared" si="111"/>
        <v>2020</v>
      </c>
      <c r="J1750" s="10" t="s">
        <v>9</v>
      </c>
    </row>
    <row r="1751" spans="1:10" x14ac:dyDescent="0.35">
      <c r="A1751" s="9" t="s">
        <v>2826</v>
      </c>
      <c r="B1751" s="3">
        <v>1</v>
      </c>
      <c r="C1751" s="4" t="str">
        <f t="shared" si="108"/>
        <v>Bad</v>
      </c>
      <c r="D1751" s="3" t="s">
        <v>3414</v>
      </c>
      <c r="E1751" s="3" t="s">
        <v>3415</v>
      </c>
      <c r="F1751" s="5" t="s">
        <v>3399</v>
      </c>
      <c r="G1751" s="4" t="str">
        <f t="shared" si="109"/>
        <v>17th</v>
      </c>
      <c r="H1751" s="4" t="str">
        <f t="shared" si="110"/>
        <v>March</v>
      </c>
      <c r="I1751" s="4" t="str">
        <f t="shared" si="111"/>
        <v>2020</v>
      </c>
      <c r="J1751" s="10" t="s">
        <v>12</v>
      </c>
    </row>
    <row r="1752" spans="1:10" x14ac:dyDescent="0.35">
      <c r="A1752" s="9" t="s">
        <v>2826</v>
      </c>
      <c r="B1752" s="3">
        <v>1</v>
      </c>
      <c r="C1752" s="4" t="str">
        <f t="shared" si="108"/>
        <v>Bad</v>
      </c>
      <c r="D1752" s="3" t="s">
        <v>3416</v>
      </c>
      <c r="E1752" s="3" t="s">
        <v>3417</v>
      </c>
      <c r="F1752" s="5" t="s">
        <v>3418</v>
      </c>
      <c r="G1752" s="4" t="str">
        <f t="shared" si="109"/>
        <v>15th</v>
      </c>
      <c r="H1752" s="4" t="str">
        <f t="shared" si="110"/>
        <v>February</v>
      </c>
      <c r="I1752" s="4" t="str">
        <f t="shared" si="111"/>
        <v>2020</v>
      </c>
      <c r="J1752" s="10" t="s">
        <v>12</v>
      </c>
    </row>
    <row r="1753" spans="1:10" x14ac:dyDescent="0.35">
      <c r="A1753" s="9" t="s">
        <v>2826</v>
      </c>
      <c r="B1753" s="3">
        <v>7</v>
      </c>
      <c r="C1753" s="4" t="str">
        <f t="shared" si="108"/>
        <v>Neutral</v>
      </c>
      <c r="D1753" s="3" t="s">
        <v>3419</v>
      </c>
      <c r="E1753" s="3" t="s">
        <v>3420</v>
      </c>
      <c r="F1753" s="5" t="s">
        <v>3418</v>
      </c>
      <c r="G1753" s="4" t="str">
        <f t="shared" si="109"/>
        <v>15th</v>
      </c>
      <c r="H1753" s="4" t="str">
        <f t="shared" si="110"/>
        <v>February</v>
      </c>
      <c r="I1753" s="4" t="str">
        <f t="shared" si="111"/>
        <v>2020</v>
      </c>
      <c r="J1753" s="10" t="s">
        <v>9</v>
      </c>
    </row>
    <row r="1754" spans="1:10" x14ac:dyDescent="0.35">
      <c r="A1754" s="9" t="s">
        <v>2826</v>
      </c>
      <c r="B1754" s="3">
        <v>1</v>
      </c>
      <c r="C1754" s="4" t="str">
        <f t="shared" si="108"/>
        <v>Bad</v>
      </c>
      <c r="D1754" s="3" t="s">
        <v>3421</v>
      </c>
      <c r="E1754" s="3" t="s">
        <v>3422</v>
      </c>
      <c r="F1754" s="5" t="s">
        <v>3418</v>
      </c>
      <c r="G1754" s="4" t="str">
        <f t="shared" si="109"/>
        <v>15th</v>
      </c>
      <c r="H1754" s="4" t="str">
        <f t="shared" si="110"/>
        <v>February</v>
      </c>
      <c r="I1754" s="4" t="str">
        <f t="shared" si="111"/>
        <v>2020</v>
      </c>
      <c r="J1754" s="10" t="s">
        <v>12</v>
      </c>
    </row>
    <row r="1755" spans="1:10" x14ac:dyDescent="0.35">
      <c r="A1755" s="9" t="s">
        <v>2826</v>
      </c>
      <c r="B1755" s="3">
        <v>1</v>
      </c>
      <c r="C1755" s="4" t="str">
        <f t="shared" si="108"/>
        <v>Bad</v>
      </c>
      <c r="D1755" s="3" t="s">
        <v>3423</v>
      </c>
      <c r="E1755" s="3" t="s">
        <v>3424</v>
      </c>
      <c r="F1755" s="5" t="s">
        <v>3418</v>
      </c>
      <c r="G1755" s="4" t="str">
        <f t="shared" si="109"/>
        <v>15th</v>
      </c>
      <c r="H1755" s="4" t="str">
        <f t="shared" si="110"/>
        <v>February</v>
      </c>
      <c r="I1755" s="4" t="str">
        <f t="shared" si="111"/>
        <v>2020</v>
      </c>
      <c r="J1755" s="10" t="s">
        <v>12</v>
      </c>
    </row>
    <row r="1756" spans="1:10" x14ac:dyDescent="0.35">
      <c r="A1756" s="9" t="s">
        <v>2826</v>
      </c>
      <c r="B1756" s="3">
        <v>1</v>
      </c>
      <c r="C1756" s="4" t="str">
        <f t="shared" si="108"/>
        <v>Bad</v>
      </c>
      <c r="D1756" s="3" t="s">
        <v>3425</v>
      </c>
      <c r="E1756" s="3" t="s">
        <v>3426</v>
      </c>
      <c r="F1756" s="5" t="s">
        <v>3418</v>
      </c>
      <c r="G1756" s="4" t="str">
        <f t="shared" si="109"/>
        <v>15th</v>
      </c>
      <c r="H1756" s="4" t="str">
        <f t="shared" si="110"/>
        <v>February</v>
      </c>
      <c r="I1756" s="4" t="str">
        <f t="shared" si="111"/>
        <v>2020</v>
      </c>
      <c r="J1756" s="10" t="s">
        <v>12</v>
      </c>
    </row>
    <row r="1757" spans="1:10" x14ac:dyDescent="0.35">
      <c r="A1757" s="9" t="s">
        <v>2826</v>
      </c>
      <c r="B1757" s="3">
        <v>7</v>
      </c>
      <c r="C1757" s="4" t="str">
        <f t="shared" si="108"/>
        <v>Neutral</v>
      </c>
      <c r="D1757" s="3" t="s">
        <v>3427</v>
      </c>
      <c r="E1757" s="3" t="s">
        <v>772</v>
      </c>
      <c r="F1757" s="5" t="s">
        <v>3418</v>
      </c>
      <c r="G1757" s="4" t="str">
        <f t="shared" si="109"/>
        <v>15th</v>
      </c>
      <c r="H1757" s="4" t="str">
        <f t="shared" si="110"/>
        <v>February</v>
      </c>
      <c r="I1757" s="4" t="str">
        <f t="shared" si="111"/>
        <v>2020</v>
      </c>
      <c r="J1757" s="10" t="s">
        <v>9</v>
      </c>
    </row>
    <row r="1758" spans="1:10" x14ac:dyDescent="0.35">
      <c r="A1758" s="9" t="s">
        <v>2826</v>
      </c>
      <c r="B1758" s="3">
        <v>7</v>
      </c>
      <c r="C1758" s="4" t="str">
        <f t="shared" si="108"/>
        <v>Neutral</v>
      </c>
      <c r="D1758" s="3" t="s">
        <v>3428</v>
      </c>
      <c r="E1758" s="3" t="s">
        <v>3429</v>
      </c>
      <c r="F1758" s="5" t="s">
        <v>3418</v>
      </c>
      <c r="G1758" s="4" t="str">
        <f t="shared" si="109"/>
        <v>15th</v>
      </c>
      <c r="H1758" s="4" t="str">
        <f t="shared" si="110"/>
        <v>February</v>
      </c>
      <c r="I1758" s="4" t="str">
        <f t="shared" si="111"/>
        <v>2020</v>
      </c>
      <c r="J1758" s="10" t="s">
        <v>9</v>
      </c>
    </row>
    <row r="1759" spans="1:10" x14ac:dyDescent="0.35">
      <c r="A1759" s="9" t="s">
        <v>2826</v>
      </c>
      <c r="B1759" s="3">
        <v>9</v>
      </c>
      <c r="C1759" s="4" t="str">
        <f t="shared" si="108"/>
        <v>Good</v>
      </c>
      <c r="D1759" s="3" t="s">
        <v>3430</v>
      </c>
      <c r="E1759" s="3" t="s">
        <v>3431</v>
      </c>
      <c r="F1759" s="5" t="s">
        <v>3418</v>
      </c>
      <c r="G1759" s="4" t="str">
        <f t="shared" si="109"/>
        <v>15th</v>
      </c>
      <c r="H1759" s="4" t="str">
        <f t="shared" si="110"/>
        <v>February</v>
      </c>
      <c r="I1759" s="4" t="str">
        <f t="shared" si="111"/>
        <v>2020</v>
      </c>
      <c r="J1759" s="10" t="s">
        <v>9</v>
      </c>
    </row>
    <row r="1760" spans="1:10" x14ac:dyDescent="0.35">
      <c r="A1760" s="9" t="s">
        <v>2826</v>
      </c>
      <c r="B1760" s="3">
        <v>9</v>
      </c>
      <c r="C1760" s="4" t="str">
        <f t="shared" si="108"/>
        <v>Good</v>
      </c>
      <c r="D1760" s="3" t="s">
        <v>2430</v>
      </c>
      <c r="E1760" s="3" t="s">
        <v>3432</v>
      </c>
      <c r="F1760" s="5" t="s">
        <v>3418</v>
      </c>
      <c r="G1760" s="4" t="str">
        <f t="shared" si="109"/>
        <v>15th</v>
      </c>
      <c r="H1760" s="4" t="str">
        <f t="shared" si="110"/>
        <v>February</v>
      </c>
      <c r="I1760" s="4" t="str">
        <f t="shared" si="111"/>
        <v>2020</v>
      </c>
      <c r="J1760" s="10" t="s">
        <v>9</v>
      </c>
    </row>
    <row r="1761" spans="1:10" x14ac:dyDescent="0.35">
      <c r="A1761" s="9" t="s">
        <v>2826</v>
      </c>
      <c r="B1761" s="3">
        <v>2</v>
      </c>
      <c r="C1761" s="4" t="str">
        <f t="shared" si="108"/>
        <v>Bad</v>
      </c>
      <c r="D1761" s="3" t="s">
        <v>3423</v>
      </c>
      <c r="E1761" s="3" t="s">
        <v>3433</v>
      </c>
      <c r="F1761" s="5" t="s">
        <v>3418</v>
      </c>
      <c r="G1761" s="4" t="str">
        <f t="shared" si="109"/>
        <v>15th</v>
      </c>
      <c r="H1761" s="4" t="str">
        <f t="shared" si="110"/>
        <v>February</v>
      </c>
      <c r="I1761" s="4" t="str">
        <f t="shared" si="111"/>
        <v>2020</v>
      </c>
      <c r="J1761" s="10" t="s">
        <v>12</v>
      </c>
    </row>
    <row r="1762" spans="1:10" x14ac:dyDescent="0.35">
      <c r="A1762" s="9" t="s">
        <v>2826</v>
      </c>
      <c r="B1762" s="3">
        <v>1</v>
      </c>
      <c r="C1762" s="4" t="str">
        <f t="shared" si="108"/>
        <v>Bad</v>
      </c>
      <c r="D1762" s="3" t="s">
        <v>3434</v>
      </c>
      <c r="E1762" s="3" t="s">
        <v>3435</v>
      </c>
      <c r="F1762" s="5" t="s">
        <v>3436</v>
      </c>
      <c r="G1762" s="4" t="str">
        <f t="shared" si="109"/>
        <v>30th</v>
      </c>
      <c r="H1762" s="4" t="str">
        <f t="shared" si="110"/>
        <v>January</v>
      </c>
      <c r="I1762" s="4" t="str">
        <f t="shared" si="111"/>
        <v>2020</v>
      </c>
      <c r="J1762" s="10" t="s">
        <v>12</v>
      </c>
    </row>
    <row r="1763" spans="1:10" x14ac:dyDescent="0.35">
      <c r="A1763" s="9" t="s">
        <v>2826</v>
      </c>
      <c r="B1763" s="3">
        <v>9</v>
      </c>
      <c r="C1763" s="4" t="str">
        <f t="shared" si="108"/>
        <v>Good</v>
      </c>
      <c r="D1763" s="3" t="s">
        <v>3437</v>
      </c>
      <c r="E1763" s="3" t="s">
        <v>3438</v>
      </c>
      <c r="F1763" s="5" t="s">
        <v>3436</v>
      </c>
      <c r="G1763" s="4" t="str">
        <f t="shared" si="109"/>
        <v>30th</v>
      </c>
      <c r="H1763" s="4" t="str">
        <f t="shared" si="110"/>
        <v>January</v>
      </c>
      <c r="I1763" s="4" t="str">
        <f t="shared" si="111"/>
        <v>2020</v>
      </c>
      <c r="J1763" s="10" t="s">
        <v>9</v>
      </c>
    </row>
    <row r="1764" spans="1:10" x14ac:dyDescent="0.35">
      <c r="A1764" s="9" t="s">
        <v>2826</v>
      </c>
      <c r="B1764" s="3">
        <v>10</v>
      </c>
      <c r="C1764" s="4" t="str">
        <f t="shared" si="108"/>
        <v>Good</v>
      </c>
      <c r="D1764" s="3" t="s">
        <v>3439</v>
      </c>
      <c r="E1764" s="3" t="s">
        <v>3440</v>
      </c>
      <c r="F1764" s="5" t="s">
        <v>3436</v>
      </c>
      <c r="G1764" s="4" t="str">
        <f t="shared" si="109"/>
        <v>30th</v>
      </c>
      <c r="H1764" s="4" t="str">
        <f t="shared" si="110"/>
        <v>January</v>
      </c>
      <c r="I1764" s="4" t="str">
        <f t="shared" si="111"/>
        <v>2020</v>
      </c>
      <c r="J1764" s="10" t="s">
        <v>9</v>
      </c>
    </row>
    <row r="1765" spans="1:10" x14ac:dyDescent="0.35">
      <c r="A1765" s="9" t="s">
        <v>2826</v>
      </c>
      <c r="B1765" s="3">
        <v>1</v>
      </c>
      <c r="C1765" s="4" t="str">
        <f t="shared" si="108"/>
        <v>Bad</v>
      </c>
      <c r="D1765" s="3" t="s">
        <v>3441</v>
      </c>
      <c r="E1765" s="3" t="s">
        <v>3442</v>
      </c>
      <c r="F1765" s="5" t="s">
        <v>3436</v>
      </c>
      <c r="G1765" s="4" t="str">
        <f t="shared" si="109"/>
        <v>30th</v>
      </c>
      <c r="H1765" s="4" t="str">
        <f t="shared" si="110"/>
        <v>January</v>
      </c>
      <c r="I1765" s="4" t="str">
        <f t="shared" si="111"/>
        <v>2020</v>
      </c>
      <c r="J1765" s="10" t="s">
        <v>12</v>
      </c>
    </row>
    <row r="1766" spans="1:10" x14ac:dyDescent="0.35">
      <c r="A1766" s="9" t="s">
        <v>2826</v>
      </c>
      <c r="B1766" s="3">
        <v>3</v>
      </c>
      <c r="C1766" s="4" t="str">
        <f t="shared" si="108"/>
        <v>Bad</v>
      </c>
      <c r="D1766" s="3" t="s">
        <v>3443</v>
      </c>
      <c r="E1766" s="3" t="s">
        <v>3444</v>
      </c>
      <c r="F1766" s="5" t="s">
        <v>3436</v>
      </c>
      <c r="G1766" s="4" t="str">
        <f t="shared" si="109"/>
        <v>30th</v>
      </c>
      <c r="H1766" s="4" t="str">
        <f t="shared" si="110"/>
        <v>January</v>
      </c>
      <c r="I1766" s="4" t="str">
        <f t="shared" si="111"/>
        <v>2020</v>
      </c>
      <c r="J1766" s="10" t="s">
        <v>12</v>
      </c>
    </row>
    <row r="1767" spans="1:10" x14ac:dyDescent="0.35">
      <c r="A1767" s="9" t="s">
        <v>2826</v>
      </c>
      <c r="B1767" s="3">
        <v>1</v>
      </c>
      <c r="C1767" s="4" t="str">
        <f t="shared" si="108"/>
        <v>Bad</v>
      </c>
      <c r="D1767" s="3" t="s">
        <v>3445</v>
      </c>
      <c r="E1767" s="3" t="s">
        <v>3446</v>
      </c>
      <c r="F1767" s="5" t="s">
        <v>3436</v>
      </c>
      <c r="G1767" s="4" t="str">
        <f t="shared" si="109"/>
        <v>30th</v>
      </c>
      <c r="H1767" s="4" t="str">
        <f t="shared" si="110"/>
        <v>January</v>
      </c>
      <c r="I1767" s="4" t="str">
        <f t="shared" si="111"/>
        <v>2020</v>
      </c>
      <c r="J1767" s="10" t="s">
        <v>12</v>
      </c>
    </row>
    <row r="1768" spans="1:10" x14ac:dyDescent="0.35">
      <c r="A1768" s="9" t="s">
        <v>2826</v>
      </c>
      <c r="B1768" s="3">
        <v>1</v>
      </c>
      <c r="C1768" s="4" t="str">
        <f t="shared" si="108"/>
        <v>Bad</v>
      </c>
      <c r="D1768" s="3" t="s">
        <v>3447</v>
      </c>
      <c r="E1768" s="3" t="s">
        <v>3448</v>
      </c>
      <c r="F1768" s="5" t="s">
        <v>3436</v>
      </c>
      <c r="G1768" s="4" t="str">
        <f t="shared" si="109"/>
        <v>30th</v>
      </c>
      <c r="H1768" s="4" t="str">
        <f t="shared" si="110"/>
        <v>January</v>
      </c>
      <c r="I1768" s="4" t="str">
        <f t="shared" si="111"/>
        <v>2020</v>
      </c>
      <c r="J1768" s="10" t="s">
        <v>12</v>
      </c>
    </row>
    <row r="1769" spans="1:10" x14ac:dyDescent="0.35">
      <c r="A1769" s="9" t="s">
        <v>2826</v>
      </c>
      <c r="B1769" s="3">
        <v>1</v>
      </c>
      <c r="C1769" s="4" t="str">
        <f t="shared" si="108"/>
        <v>Bad</v>
      </c>
      <c r="D1769" s="3" t="s">
        <v>1024</v>
      </c>
      <c r="E1769" s="3" t="s">
        <v>3449</v>
      </c>
      <c r="F1769" s="5" t="s">
        <v>3436</v>
      </c>
      <c r="G1769" s="4" t="str">
        <f t="shared" si="109"/>
        <v>30th</v>
      </c>
      <c r="H1769" s="4" t="str">
        <f t="shared" si="110"/>
        <v>January</v>
      </c>
      <c r="I1769" s="4" t="str">
        <f t="shared" si="111"/>
        <v>2020</v>
      </c>
      <c r="J1769" s="10" t="s">
        <v>12</v>
      </c>
    </row>
    <row r="1770" spans="1:10" x14ac:dyDescent="0.35">
      <c r="A1770" s="9" t="s">
        <v>2826</v>
      </c>
      <c r="B1770" s="3">
        <v>10</v>
      </c>
      <c r="C1770" s="4" t="str">
        <f t="shared" si="108"/>
        <v>Good</v>
      </c>
      <c r="D1770" s="3" t="s">
        <v>3450</v>
      </c>
      <c r="E1770" s="3" t="s">
        <v>3451</v>
      </c>
      <c r="F1770" s="5" t="s">
        <v>3436</v>
      </c>
      <c r="G1770" s="4" t="str">
        <f t="shared" si="109"/>
        <v>30th</v>
      </c>
      <c r="H1770" s="4" t="str">
        <f t="shared" si="110"/>
        <v>January</v>
      </c>
      <c r="I1770" s="4" t="str">
        <f t="shared" si="111"/>
        <v>2020</v>
      </c>
      <c r="J1770" s="10" t="s">
        <v>9</v>
      </c>
    </row>
    <row r="1771" spans="1:10" x14ac:dyDescent="0.35">
      <c r="A1771" s="9" t="s">
        <v>2826</v>
      </c>
      <c r="B1771" s="3">
        <v>1</v>
      </c>
      <c r="C1771" s="4" t="str">
        <f t="shared" si="108"/>
        <v>Bad</v>
      </c>
      <c r="D1771" s="3" t="s">
        <v>3452</v>
      </c>
      <c r="E1771" s="3" t="s">
        <v>3453</v>
      </c>
      <c r="F1771" s="5" t="s">
        <v>3436</v>
      </c>
      <c r="G1771" s="4" t="str">
        <f t="shared" si="109"/>
        <v>30th</v>
      </c>
      <c r="H1771" s="4" t="str">
        <f t="shared" si="110"/>
        <v>January</v>
      </c>
      <c r="I1771" s="4" t="str">
        <f t="shared" si="111"/>
        <v>2020</v>
      </c>
      <c r="J1771" s="10" t="s">
        <v>12</v>
      </c>
    </row>
    <row r="1772" spans="1:10" x14ac:dyDescent="0.35">
      <c r="A1772" s="9" t="s">
        <v>2826</v>
      </c>
      <c r="B1772" s="3">
        <v>8</v>
      </c>
      <c r="C1772" s="4" t="str">
        <f t="shared" si="108"/>
        <v>Good</v>
      </c>
      <c r="D1772" s="3" t="s">
        <v>3454</v>
      </c>
      <c r="E1772" s="3" t="s">
        <v>3455</v>
      </c>
      <c r="F1772" s="5" t="s">
        <v>3456</v>
      </c>
      <c r="G1772" s="4" t="str">
        <f t="shared" si="109"/>
        <v>16th</v>
      </c>
      <c r="H1772" s="4" t="str">
        <f t="shared" si="110"/>
        <v>January</v>
      </c>
      <c r="I1772" s="4" t="str">
        <f t="shared" si="111"/>
        <v>2020</v>
      </c>
      <c r="J1772" s="10" t="s">
        <v>9</v>
      </c>
    </row>
    <row r="1773" spans="1:10" x14ac:dyDescent="0.35">
      <c r="A1773" s="9" t="s">
        <v>2826</v>
      </c>
      <c r="B1773" s="3">
        <v>9</v>
      </c>
      <c r="C1773" s="4" t="str">
        <f t="shared" si="108"/>
        <v>Good</v>
      </c>
      <c r="D1773" s="3" t="s">
        <v>3457</v>
      </c>
      <c r="E1773" s="3" t="s">
        <v>3458</v>
      </c>
      <c r="F1773" s="5" t="s">
        <v>3456</v>
      </c>
      <c r="G1773" s="4" t="str">
        <f t="shared" si="109"/>
        <v>16th</v>
      </c>
      <c r="H1773" s="4" t="str">
        <f t="shared" si="110"/>
        <v>January</v>
      </c>
      <c r="I1773" s="4" t="str">
        <f t="shared" si="111"/>
        <v>2020</v>
      </c>
      <c r="J1773" s="10" t="s">
        <v>9</v>
      </c>
    </row>
    <row r="1774" spans="1:10" x14ac:dyDescent="0.35">
      <c r="A1774" s="9" t="s">
        <v>2826</v>
      </c>
      <c r="B1774" s="3">
        <v>1</v>
      </c>
      <c r="C1774" s="4" t="str">
        <f t="shared" si="108"/>
        <v>Bad</v>
      </c>
      <c r="D1774" s="3" t="s">
        <v>3459</v>
      </c>
      <c r="E1774" s="3" t="s">
        <v>3460</v>
      </c>
      <c r="F1774" s="5" t="s">
        <v>3456</v>
      </c>
      <c r="G1774" s="4" t="str">
        <f t="shared" si="109"/>
        <v>16th</v>
      </c>
      <c r="H1774" s="4" t="str">
        <f t="shared" si="110"/>
        <v>January</v>
      </c>
      <c r="I1774" s="4" t="str">
        <f t="shared" si="111"/>
        <v>2020</v>
      </c>
      <c r="J1774" s="10" t="s">
        <v>12</v>
      </c>
    </row>
    <row r="1775" spans="1:10" x14ac:dyDescent="0.35">
      <c r="A1775" s="9" t="s">
        <v>2826</v>
      </c>
      <c r="B1775" s="3">
        <v>2</v>
      </c>
      <c r="C1775" s="4" t="str">
        <f t="shared" si="108"/>
        <v>Bad</v>
      </c>
      <c r="D1775" s="3" t="s">
        <v>3461</v>
      </c>
      <c r="E1775" s="3" t="s">
        <v>3462</v>
      </c>
      <c r="F1775" s="5" t="s">
        <v>3456</v>
      </c>
      <c r="G1775" s="4" t="str">
        <f t="shared" si="109"/>
        <v>16th</v>
      </c>
      <c r="H1775" s="4" t="str">
        <f t="shared" si="110"/>
        <v>January</v>
      </c>
      <c r="I1775" s="4" t="str">
        <f t="shared" si="111"/>
        <v>2020</v>
      </c>
      <c r="J1775" s="10" t="s">
        <v>12</v>
      </c>
    </row>
    <row r="1776" spans="1:10" x14ac:dyDescent="0.35">
      <c r="A1776" s="9" t="s">
        <v>2826</v>
      </c>
      <c r="B1776" s="3">
        <v>1</v>
      </c>
      <c r="C1776" s="4" t="str">
        <f t="shared" si="108"/>
        <v>Bad</v>
      </c>
      <c r="D1776" s="3" t="s">
        <v>3463</v>
      </c>
      <c r="E1776" s="3" t="s">
        <v>3464</v>
      </c>
      <c r="F1776" s="5" t="s">
        <v>3456</v>
      </c>
      <c r="G1776" s="4" t="str">
        <f t="shared" si="109"/>
        <v>16th</v>
      </c>
      <c r="H1776" s="4" t="str">
        <f t="shared" si="110"/>
        <v>January</v>
      </c>
      <c r="I1776" s="4" t="str">
        <f t="shared" si="111"/>
        <v>2020</v>
      </c>
      <c r="J1776" s="10" t="s">
        <v>12</v>
      </c>
    </row>
    <row r="1777" spans="1:10" x14ac:dyDescent="0.35">
      <c r="A1777" s="9" t="s">
        <v>2826</v>
      </c>
      <c r="B1777" s="3">
        <v>2</v>
      </c>
      <c r="C1777" s="4" t="str">
        <f t="shared" si="108"/>
        <v>Bad</v>
      </c>
      <c r="D1777" s="3" t="s">
        <v>3465</v>
      </c>
      <c r="E1777" s="3" t="s">
        <v>3466</v>
      </c>
      <c r="F1777" s="5" t="s">
        <v>3456</v>
      </c>
      <c r="G1777" s="4" t="str">
        <f t="shared" si="109"/>
        <v>16th</v>
      </c>
      <c r="H1777" s="4" t="str">
        <f t="shared" si="110"/>
        <v>January</v>
      </c>
      <c r="I1777" s="4" t="str">
        <f t="shared" si="111"/>
        <v>2020</v>
      </c>
      <c r="J1777" s="10" t="s">
        <v>12</v>
      </c>
    </row>
    <row r="1778" spans="1:10" x14ac:dyDescent="0.35">
      <c r="A1778" s="9" t="s">
        <v>2826</v>
      </c>
      <c r="B1778" s="3">
        <v>8</v>
      </c>
      <c r="C1778" s="4" t="str">
        <f t="shared" si="108"/>
        <v>Good</v>
      </c>
      <c r="D1778" s="3" t="s">
        <v>3467</v>
      </c>
      <c r="E1778" s="3" t="s">
        <v>3468</v>
      </c>
      <c r="F1778" s="5" t="s">
        <v>3456</v>
      </c>
      <c r="G1778" s="4" t="str">
        <f t="shared" si="109"/>
        <v>16th</v>
      </c>
      <c r="H1778" s="4" t="str">
        <f t="shared" si="110"/>
        <v>January</v>
      </c>
      <c r="I1778" s="4" t="str">
        <f t="shared" si="111"/>
        <v>2020</v>
      </c>
      <c r="J1778" s="10" t="s">
        <v>9</v>
      </c>
    </row>
    <row r="1779" spans="1:10" x14ac:dyDescent="0.35">
      <c r="A1779" s="9" t="s">
        <v>2826</v>
      </c>
      <c r="B1779" s="3">
        <v>8</v>
      </c>
      <c r="C1779" s="4" t="str">
        <f t="shared" si="108"/>
        <v>Good</v>
      </c>
      <c r="D1779" s="3" t="s">
        <v>3469</v>
      </c>
      <c r="E1779" s="3" t="s">
        <v>3470</v>
      </c>
      <c r="F1779" s="5" t="s">
        <v>3456</v>
      </c>
      <c r="G1779" s="4" t="str">
        <f t="shared" si="109"/>
        <v>16th</v>
      </c>
      <c r="H1779" s="4" t="str">
        <f t="shared" si="110"/>
        <v>January</v>
      </c>
      <c r="I1779" s="4" t="str">
        <f t="shared" si="111"/>
        <v>2020</v>
      </c>
      <c r="J1779" s="10" t="s">
        <v>9</v>
      </c>
    </row>
    <row r="1780" spans="1:10" x14ac:dyDescent="0.35">
      <c r="A1780" s="9" t="s">
        <v>2826</v>
      </c>
      <c r="B1780" s="3">
        <v>10</v>
      </c>
      <c r="C1780" s="4" t="str">
        <f t="shared" si="108"/>
        <v>Good</v>
      </c>
      <c r="D1780" s="3" t="s">
        <v>3471</v>
      </c>
      <c r="E1780" s="3" t="s">
        <v>3472</v>
      </c>
      <c r="F1780" s="5" t="s">
        <v>3456</v>
      </c>
      <c r="G1780" s="4" t="str">
        <f t="shared" si="109"/>
        <v>16th</v>
      </c>
      <c r="H1780" s="4" t="str">
        <f t="shared" si="110"/>
        <v>January</v>
      </c>
      <c r="I1780" s="4" t="str">
        <f t="shared" si="111"/>
        <v>2020</v>
      </c>
      <c r="J1780" s="10" t="s">
        <v>9</v>
      </c>
    </row>
    <row r="1781" spans="1:10" x14ac:dyDescent="0.35">
      <c r="A1781" s="9" t="s">
        <v>2826</v>
      </c>
      <c r="B1781" s="3">
        <v>1</v>
      </c>
      <c r="C1781" s="4" t="str">
        <f t="shared" si="108"/>
        <v>Bad</v>
      </c>
      <c r="D1781" s="3" t="s">
        <v>448</v>
      </c>
      <c r="E1781" s="3" t="s">
        <v>3473</v>
      </c>
      <c r="F1781" s="5" t="s">
        <v>3456</v>
      </c>
      <c r="G1781" s="4" t="str">
        <f t="shared" si="109"/>
        <v>16th</v>
      </c>
      <c r="H1781" s="4" t="str">
        <f t="shared" si="110"/>
        <v>January</v>
      </c>
      <c r="I1781" s="4" t="str">
        <f t="shared" si="111"/>
        <v>2020</v>
      </c>
      <c r="J1781" s="10" t="s">
        <v>12</v>
      </c>
    </row>
    <row r="1782" spans="1:10" x14ac:dyDescent="0.35">
      <c r="A1782" s="9" t="s">
        <v>2826</v>
      </c>
      <c r="B1782" s="3">
        <v>1</v>
      </c>
      <c r="C1782" s="4" t="str">
        <f t="shared" si="108"/>
        <v>Bad</v>
      </c>
      <c r="D1782" s="3" t="s">
        <v>3474</v>
      </c>
      <c r="E1782" s="3" t="s">
        <v>3475</v>
      </c>
      <c r="F1782" s="5" t="s">
        <v>3476</v>
      </c>
      <c r="G1782" s="4" t="str">
        <f t="shared" si="109"/>
        <v>1st</v>
      </c>
      <c r="H1782" s="4" t="str">
        <f t="shared" si="110"/>
        <v>January</v>
      </c>
      <c r="I1782" s="4" t="str">
        <f t="shared" si="111"/>
        <v>2020</v>
      </c>
      <c r="J1782" s="10" t="s">
        <v>12</v>
      </c>
    </row>
    <row r="1783" spans="1:10" x14ac:dyDescent="0.35">
      <c r="A1783" s="9" t="s">
        <v>2826</v>
      </c>
      <c r="B1783" s="3">
        <v>1</v>
      </c>
      <c r="C1783" s="4" t="str">
        <f t="shared" si="108"/>
        <v>Bad</v>
      </c>
      <c r="D1783" s="3" t="s">
        <v>3477</v>
      </c>
      <c r="E1783" s="3" t="s">
        <v>3478</v>
      </c>
      <c r="F1783" s="5" t="s">
        <v>3476</v>
      </c>
      <c r="G1783" s="4" t="str">
        <f t="shared" si="109"/>
        <v>1st</v>
      </c>
      <c r="H1783" s="4" t="str">
        <f t="shared" si="110"/>
        <v>January</v>
      </c>
      <c r="I1783" s="4" t="str">
        <f t="shared" si="111"/>
        <v>2020</v>
      </c>
      <c r="J1783" s="10" t="s">
        <v>12</v>
      </c>
    </row>
    <row r="1784" spans="1:10" x14ac:dyDescent="0.35">
      <c r="A1784" s="9" t="s">
        <v>2826</v>
      </c>
      <c r="B1784" s="3">
        <v>9</v>
      </c>
      <c r="C1784" s="4" t="str">
        <f t="shared" si="108"/>
        <v>Good</v>
      </c>
      <c r="D1784" s="3" t="s">
        <v>3479</v>
      </c>
      <c r="E1784" s="3" t="s">
        <v>3480</v>
      </c>
      <c r="F1784" s="5" t="s">
        <v>3476</v>
      </c>
      <c r="G1784" s="4" t="str">
        <f t="shared" si="109"/>
        <v>1st</v>
      </c>
      <c r="H1784" s="4" t="str">
        <f t="shared" si="110"/>
        <v>January</v>
      </c>
      <c r="I1784" s="4" t="str">
        <f t="shared" si="111"/>
        <v>2020</v>
      </c>
      <c r="J1784" s="10" t="s">
        <v>9</v>
      </c>
    </row>
    <row r="1785" spans="1:10" x14ac:dyDescent="0.35">
      <c r="A1785" s="9" t="s">
        <v>2826</v>
      </c>
      <c r="B1785" s="3">
        <v>1</v>
      </c>
      <c r="C1785" s="4" t="str">
        <f t="shared" si="108"/>
        <v>Bad</v>
      </c>
      <c r="D1785" s="3" t="s">
        <v>3481</v>
      </c>
      <c r="E1785" s="3" t="s">
        <v>289</v>
      </c>
      <c r="F1785" s="5" t="s">
        <v>3476</v>
      </c>
      <c r="G1785" s="4" t="str">
        <f t="shared" si="109"/>
        <v>1st</v>
      </c>
      <c r="H1785" s="4" t="str">
        <f t="shared" si="110"/>
        <v>January</v>
      </c>
      <c r="I1785" s="4" t="str">
        <f t="shared" si="111"/>
        <v>2020</v>
      </c>
      <c r="J1785" s="10" t="s">
        <v>12</v>
      </c>
    </row>
    <row r="1786" spans="1:10" x14ac:dyDescent="0.35">
      <c r="A1786" s="9" t="s">
        <v>2826</v>
      </c>
      <c r="B1786" s="3">
        <v>6</v>
      </c>
      <c r="C1786" s="4" t="str">
        <f t="shared" si="108"/>
        <v>Neutral</v>
      </c>
      <c r="D1786" s="3" t="s">
        <v>3482</v>
      </c>
      <c r="E1786" s="3" t="s">
        <v>3483</v>
      </c>
      <c r="F1786" s="5" t="s">
        <v>3476</v>
      </c>
      <c r="G1786" s="4" t="str">
        <f t="shared" si="109"/>
        <v>1st</v>
      </c>
      <c r="H1786" s="4" t="str">
        <f t="shared" si="110"/>
        <v>January</v>
      </c>
      <c r="I1786" s="4" t="str">
        <f t="shared" si="111"/>
        <v>2020</v>
      </c>
      <c r="J1786" s="10" t="s">
        <v>9</v>
      </c>
    </row>
    <row r="1787" spans="1:10" x14ac:dyDescent="0.35">
      <c r="A1787" s="9" t="s">
        <v>2826</v>
      </c>
      <c r="B1787" s="3">
        <v>2</v>
      </c>
      <c r="C1787" s="4" t="str">
        <f t="shared" si="108"/>
        <v>Bad</v>
      </c>
      <c r="D1787" s="3" t="s">
        <v>3484</v>
      </c>
      <c r="E1787" s="3" t="s">
        <v>3485</v>
      </c>
      <c r="F1787" s="5" t="s">
        <v>3476</v>
      </c>
      <c r="G1787" s="4" t="str">
        <f t="shared" si="109"/>
        <v>1st</v>
      </c>
      <c r="H1787" s="4" t="str">
        <f t="shared" si="110"/>
        <v>January</v>
      </c>
      <c r="I1787" s="4" t="str">
        <f t="shared" si="111"/>
        <v>2020</v>
      </c>
      <c r="J1787" s="10" t="s">
        <v>12</v>
      </c>
    </row>
    <row r="1788" spans="1:10" x14ac:dyDescent="0.35">
      <c r="A1788" s="9" t="s">
        <v>2826</v>
      </c>
      <c r="B1788" s="3">
        <v>1</v>
      </c>
      <c r="C1788" s="4" t="str">
        <f t="shared" si="108"/>
        <v>Bad</v>
      </c>
      <c r="D1788" s="3" t="s">
        <v>3486</v>
      </c>
      <c r="E1788" s="3" t="s">
        <v>3487</v>
      </c>
      <c r="F1788" s="5" t="s">
        <v>3476</v>
      </c>
      <c r="G1788" s="4" t="str">
        <f t="shared" si="109"/>
        <v>1st</v>
      </c>
      <c r="H1788" s="4" t="str">
        <f t="shared" si="110"/>
        <v>January</v>
      </c>
      <c r="I1788" s="4" t="str">
        <f t="shared" si="111"/>
        <v>2020</v>
      </c>
      <c r="J1788" s="10" t="s">
        <v>12</v>
      </c>
    </row>
    <row r="1789" spans="1:10" x14ac:dyDescent="0.35">
      <c r="A1789" s="9" t="s">
        <v>2826</v>
      </c>
      <c r="B1789" s="3">
        <v>1</v>
      </c>
      <c r="C1789" s="4" t="str">
        <f t="shared" si="108"/>
        <v>Bad</v>
      </c>
      <c r="D1789" s="3" t="s">
        <v>3488</v>
      </c>
      <c r="E1789" s="3" t="s">
        <v>3489</v>
      </c>
      <c r="F1789" s="5" t="s">
        <v>3476</v>
      </c>
      <c r="G1789" s="4" t="str">
        <f t="shared" si="109"/>
        <v>1st</v>
      </c>
      <c r="H1789" s="4" t="str">
        <f t="shared" si="110"/>
        <v>January</v>
      </c>
      <c r="I1789" s="4" t="str">
        <f t="shared" si="111"/>
        <v>2020</v>
      </c>
      <c r="J1789" s="10" t="s">
        <v>12</v>
      </c>
    </row>
    <row r="1790" spans="1:10" x14ac:dyDescent="0.35">
      <c r="A1790" s="9" t="s">
        <v>2826</v>
      </c>
      <c r="B1790" s="3">
        <v>9</v>
      </c>
      <c r="C1790" s="4" t="str">
        <f t="shared" si="108"/>
        <v>Good</v>
      </c>
      <c r="D1790" s="3" t="s">
        <v>3490</v>
      </c>
      <c r="E1790" s="3" t="s">
        <v>3491</v>
      </c>
      <c r="F1790" s="5" t="s">
        <v>3476</v>
      </c>
      <c r="G1790" s="4" t="str">
        <f t="shared" si="109"/>
        <v>1st</v>
      </c>
      <c r="H1790" s="4" t="str">
        <f t="shared" si="110"/>
        <v>January</v>
      </c>
      <c r="I1790" s="4" t="str">
        <f t="shared" si="111"/>
        <v>2020</v>
      </c>
      <c r="J1790" s="10" t="s">
        <v>9</v>
      </c>
    </row>
    <row r="1791" spans="1:10" x14ac:dyDescent="0.35">
      <c r="A1791" s="9" t="s">
        <v>2826</v>
      </c>
      <c r="B1791" s="3">
        <v>2</v>
      </c>
      <c r="C1791" s="4" t="str">
        <f t="shared" si="108"/>
        <v>Bad</v>
      </c>
      <c r="D1791" s="3" t="s">
        <v>3492</v>
      </c>
      <c r="E1791" s="3" t="s">
        <v>3493</v>
      </c>
      <c r="F1791" s="5" t="s">
        <v>3476</v>
      </c>
      <c r="G1791" s="4" t="str">
        <f t="shared" si="109"/>
        <v>1st</v>
      </c>
      <c r="H1791" s="4" t="str">
        <f t="shared" si="110"/>
        <v>January</v>
      </c>
      <c r="I1791" s="4" t="str">
        <f t="shared" si="111"/>
        <v>2020</v>
      </c>
      <c r="J1791" s="10" t="s">
        <v>12</v>
      </c>
    </row>
    <row r="1792" spans="1:10" x14ac:dyDescent="0.35">
      <c r="A1792" s="9" t="s">
        <v>2826</v>
      </c>
      <c r="B1792" s="3">
        <v>1</v>
      </c>
      <c r="C1792" s="4" t="str">
        <f t="shared" si="108"/>
        <v>Bad</v>
      </c>
      <c r="D1792" s="3" t="s">
        <v>3494</v>
      </c>
      <c r="E1792" s="3" t="s">
        <v>3495</v>
      </c>
      <c r="F1792" s="5" t="s">
        <v>3496</v>
      </c>
      <c r="G1792" s="4" t="str">
        <f t="shared" si="109"/>
        <v>7th</v>
      </c>
      <c r="H1792" s="4" t="str">
        <f t="shared" si="110"/>
        <v>December</v>
      </c>
      <c r="I1792" s="4" t="str">
        <f t="shared" si="111"/>
        <v>2019</v>
      </c>
      <c r="J1792" s="10" t="s">
        <v>12</v>
      </c>
    </row>
    <row r="1793" spans="1:10" x14ac:dyDescent="0.35">
      <c r="A1793" s="9" t="s">
        <v>2826</v>
      </c>
      <c r="B1793" s="3">
        <v>1</v>
      </c>
      <c r="C1793" s="4" t="str">
        <f t="shared" si="108"/>
        <v>Bad</v>
      </c>
      <c r="D1793" s="3" t="s">
        <v>3497</v>
      </c>
      <c r="E1793" s="3" t="s">
        <v>3498</v>
      </c>
      <c r="F1793" s="5" t="s">
        <v>3496</v>
      </c>
      <c r="G1793" s="4" t="str">
        <f t="shared" si="109"/>
        <v>7th</v>
      </c>
      <c r="H1793" s="4" t="str">
        <f t="shared" si="110"/>
        <v>December</v>
      </c>
      <c r="I1793" s="4" t="str">
        <f t="shared" si="111"/>
        <v>2019</v>
      </c>
      <c r="J1793" s="10" t="s">
        <v>12</v>
      </c>
    </row>
    <row r="1794" spans="1:10" x14ac:dyDescent="0.35">
      <c r="A1794" s="9" t="s">
        <v>2826</v>
      </c>
      <c r="B1794" s="3">
        <v>1</v>
      </c>
      <c r="C1794" s="4" t="str">
        <f t="shared" si="108"/>
        <v>Bad</v>
      </c>
      <c r="D1794" s="3" t="s">
        <v>3499</v>
      </c>
      <c r="E1794" s="3" t="s">
        <v>3500</v>
      </c>
      <c r="F1794" s="5" t="s">
        <v>3496</v>
      </c>
      <c r="G1794" s="4" t="str">
        <f t="shared" si="109"/>
        <v>7th</v>
      </c>
      <c r="H1794" s="4" t="str">
        <f t="shared" si="110"/>
        <v>December</v>
      </c>
      <c r="I1794" s="4" t="str">
        <f t="shared" si="111"/>
        <v>2019</v>
      </c>
      <c r="J1794" s="10" t="s">
        <v>12</v>
      </c>
    </row>
    <row r="1795" spans="1:10" x14ac:dyDescent="0.35">
      <c r="A1795" s="9" t="s">
        <v>2826</v>
      </c>
      <c r="B1795" s="3">
        <v>7</v>
      </c>
      <c r="C1795" s="4" t="str">
        <f t="shared" ref="C1795:C1858" si="112">IF(B1795&gt;=8,"Good",IF(B1795&gt;=5,"Neutral","Bad"))</f>
        <v>Neutral</v>
      </c>
      <c r="D1795" s="3" t="s">
        <v>3501</v>
      </c>
      <c r="E1795" s="3" t="s">
        <v>3502</v>
      </c>
      <c r="F1795" s="5" t="s">
        <v>3496</v>
      </c>
      <c r="G1795" s="4" t="str">
        <f t="shared" ref="G1795:G1858" si="113">LEFT(F1795, FIND(" ", F1795)-1)</f>
        <v>7th</v>
      </c>
      <c r="H1795" s="4" t="str">
        <f t="shared" ref="H1795:H1858" si="114">TRIM(MID(F1795, FIND(" ", F1795)+1, FIND(" ", F1795, FIND(" ", F1795)+1) - FIND(" ", F1795)-1))</f>
        <v>December</v>
      </c>
      <c r="I1795" s="4" t="str">
        <f t="shared" ref="I1795:I1858" si="115">RIGHT(F1795, 4)</f>
        <v>2019</v>
      </c>
      <c r="J1795" s="10" t="s">
        <v>12</v>
      </c>
    </row>
    <row r="1796" spans="1:10" x14ac:dyDescent="0.35">
      <c r="A1796" s="9" t="s">
        <v>2826</v>
      </c>
      <c r="B1796" s="3">
        <v>9</v>
      </c>
      <c r="C1796" s="4" t="str">
        <f t="shared" si="112"/>
        <v>Good</v>
      </c>
      <c r="D1796" s="3" t="s">
        <v>3503</v>
      </c>
      <c r="E1796" s="3" t="s">
        <v>3504</v>
      </c>
      <c r="F1796" s="5" t="s">
        <v>3496</v>
      </c>
      <c r="G1796" s="4" t="str">
        <f t="shared" si="113"/>
        <v>7th</v>
      </c>
      <c r="H1796" s="4" t="str">
        <f t="shared" si="114"/>
        <v>December</v>
      </c>
      <c r="I1796" s="4" t="str">
        <f t="shared" si="115"/>
        <v>2019</v>
      </c>
      <c r="J1796" s="10" t="s">
        <v>9</v>
      </c>
    </row>
    <row r="1797" spans="1:10" x14ac:dyDescent="0.35">
      <c r="A1797" s="9" t="s">
        <v>2826</v>
      </c>
      <c r="B1797" s="3">
        <v>1</v>
      </c>
      <c r="C1797" s="4" t="str">
        <f t="shared" si="112"/>
        <v>Bad</v>
      </c>
      <c r="D1797" s="3" t="s">
        <v>1786</v>
      </c>
      <c r="E1797" s="3" t="s">
        <v>3505</v>
      </c>
      <c r="F1797" s="5" t="s">
        <v>3496</v>
      </c>
      <c r="G1797" s="4" t="str">
        <f t="shared" si="113"/>
        <v>7th</v>
      </c>
      <c r="H1797" s="4" t="str">
        <f t="shared" si="114"/>
        <v>December</v>
      </c>
      <c r="I1797" s="4" t="str">
        <f t="shared" si="115"/>
        <v>2019</v>
      </c>
      <c r="J1797" s="10" t="s">
        <v>12</v>
      </c>
    </row>
    <row r="1798" spans="1:10" x14ac:dyDescent="0.35">
      <c r="A1798" s="9" t="s">
        <v>2826</v>
      </c>
      <c r="B1798" s="3">
        <v>1</v>
      </c>
      <c r="C1798" s="4" t="str">
        <f t="shared" si="112"/>
        <v>Bad</v>
      </c>
      <c r="D1798" s="3" t="s">
        <v>3506</v>
      </c>
      <c r="E1798" s="3" t="s">
        <v>3507</v>
      </c>
      <c r="F1798" s="5" t="s">
        <v>3496</v>
      </c>
      <c r="G1798" s="4" t="str">
        <f t="shared" si="113"/>
        <v>7th</v>
      </c>
      <c r="H1798" s="4" t="str">
        <f t="shared" si="114"/>
        <v>December</v>
      </c>
      <c r="I1798" s="4" t="str">
        <f t="shared" si="115"/>
        <v>2019</v>
      </c>
      <c r="J1798" s="10" t="s">
        <v>12</v>
      </c>
    </row>
    <row r="1799" spans="1:10" x14ac:dyDescent="0.35">
      <c r="A1799" s="9" t="s">
        <v>2826</v>
      </c>
      <c r="B1799" s="3">
        <v>10</v>
      </c>
      <c r="C1799" s="4" t="str">
        <f t="shared" si="112"/>
        <v>Good</v>
      </c>
      <c r="D1799" s="3" t="s">
        <v>3508</v>
      </c>
      <c r="E1799" s="3" t="s">
        <v>3509</v>
      </c>
      <c r="F1799" s="5" t="s">
        <v>3496</v>
      </c>
      <c r="G1799" s="4" t="str">
        <f t="shared" si="113"/>
        <v>7th</v>
      </c>
      <c r="H1799" s="4" t="str">
        <f t="shared" si="114"/>
        <v>December</v>
      </c>
      <c r="I1799" s="4" t="str">
        <f t="shared" si="115"/>
        <v>2019</v>
      </c>
      <c r="J1799" s="10" t="s">
        <v>9</v>
      </c>
    </row>
    <row r="1800" spans="1:10" x14ac:dyDescent="0.35">
      <c r="A1800" s="9" t="s">
        <v>2826</v>
      </c>
      <c r="B1800" s="3">
        <v>1</v>
      </c>
      <c r="C1800" s="4" t="str">
        <f t="shared" si="112"/>
        <v>Bad</v>
      </c>
      <c r="D1800" s="3" t="s">
        <v>3510</v>
      </c>
      <c r="E1800" s="3" t="s">
        <v>3511</v>
      </c>
      <c r="F1800" s="5" t="s">
        <v>3496</v>
      </c>
      <c r="G1800" s="4" t="str">
        <f t="shared" si="113"/>
        <v>7th</v>
      </c>
      <c r="H1800" s="4" t="str">
        <f t="shared" si="114"/>
        <v>December</v>
      </c>
      <c r="I1800" s="4" t="str">
        <f t="shared" si="115"/>
        <v>2019</v>
      </c>
      <c r="J1800" s="10" t="s">
        <v>12</v>
      </c>
    </row>
    <row r="1801" spans="1:10" x14ac:dyDescent="0.35">
      <c r="A1801" s="9" t="s">
        <v>2826</v>
      </c>
      <c r="B1801" s="3">
        <v>2</v>
      </c>
      <c r="C1801" s="4" t="str">
        <f t="shared" si="112"/>
        <v>Bad</v>
      </c>
      <c r="D1801" s="3" t="s">
        <v>3512</v>
      </c>
      <c r="E1801" s="3" t="s">
        <v>3513</v>
      </c>
      <c r="F1801" s="5" t="s">
        <v>3496</v>
      </c>
      <c r="G1801" s="4" t="str">
        <f t="shared" si="113"/>
        <v>7th</v>
      </c>
      <c r="H1801" s="4" t="str">
        <f t="shared" si="114"/>
        <v>December</v>
      </c>
      <c r="I1801" s="4" t="str">
        <f t="shared" si="115"/>
        <v>2019</v>
      </c>
      <c r="J1801" s="10" t="s">
        <v>12</v>
      </c>
    </row>
    <row r="1802" spans="1:10" x14ac:dyDescent="0.35">
      <c r="A1802" s="9" t="s">
        <v>2826</v>
      </c>
      <c r="B1802" s="3">
        <v>1</v>
      </c>
      <c r="C1802" s="4" t="str">
        <f t="shared" si="112"/>
        <v>Bad</v>
      </c>
      <c r="D1802" s="3" t="s">
        <v>3514</v>
      </c>
      <c r="E1802" s="3" t="s">
        <v>3515</v>
      </c>
      <c r="F1802" s="5" t="s">
        <v>3516</v>
      </c>
      <c r="G1802" s="4" t="str">
        <f t="shared" si="113"/>
        <v>21st</v>
      </c>
      <c r="H1802" s="4" t="str">
        <f t="shared" si="114"/>
        <v>November</v>
      </c>
      <c r="I1802" s="4" t="str">
        <f t="shared" si="115"/>
        <v>2019</v>
      </c>
      <c r="J1802" s="10" t="s">
        <v>12</v>
      </c>
    </row>
    <row r="1803" spans="1:10" x14ac:dyDescent="0.35">
      <c r="A1803" s="9" t="s">
        <v>2826</v>
      </c>
      <c r="B1803" s="3">
        <v>9</v>
      </c>
      <c r="C1803" s="4" t="str">
        <f t="shared" si="112"/>
        <v>Good</v>
      </c>
      <c r="D1803" s="3" t="s">
        <v>3517</v>
      </c>
      <c r="E1803" s="3" t="s">
        <v>3518</v>
      </c>
      <c r="F1803" s="5" t="s">
        <v>3516</v>
      </c>
      <c r="G1803" s="4" t="str">
        <f t="shared" si="113"/>
        <v>21st</v>
      </c>
      <c r="H1803" s="4" t="str">
        <f t="shared" si="114"/>
        <v>November</v>
      </c>
      <c r="I1803" s="4" t="str">
        <f t="shared" si="115"/>
        <v>2019</v>
      </c>
      <c r="J1803" s="10" t="s">
        <v>9</v>
      </c>
    </row>
    <row r="1804" spans="1:10" x14ac:dyDescent="0.35">
      <c r="A1804" s="9" t="s">
        <v>2826</v>
      </c>
      <c r="B1804" s="3">
        <v>9</v>
      </c>
      <c r="C1804" s="4" t="str">
        <f t="shared" si="112"/>
        <v>Good</v>
      </c>
      <c r="D1804" s="3" t="s">
        <v>3519</v>
      </c>
      <c r="E1804" s="3" t="s">
        <v>3520</v>
      </c>
      <c r="F1804" s="5" t="s">
        <v>3516</v>
      </c>
      <c r="G1804" s="4" t="str">
        <f t="shared" si="113"/>
        <v>21st</v>
      </c>
      <c r="H1804" s="4" t="str">
        <f t="shared" si="114"/>
        <v>November</v>
      </c>
      <c r="I1804" s="4" t="str">
        <f t="shared" si="115"/>
        <v>2019</v>
      </c>
      <c r="J1804" s="10" t="s">
        <v>9</v>
      </c>
    </row>
    <row r="1805" spans="1:10" x14ac:dyDescent="0.35">
      <c r="A1805" s="9" t="s">
        <v>2826</v>
      </c>
      <c r="B1805" s="3">
        <v>3</v>
      </c>
      <c r="C1805" s="4" t="str">
        <f t="shared" si="112"/>
        <v>Bad</v>
      </c>
      <c r="D1805" s="3" t="s">
        <v>3521</v>
      </c>
      <c r="E1805" s="3" t="s">
        <v>3522</v>
      </c>
      <c r="F1805" s="5" t="s">
        <v>3516</v>
      </c>
      <c r="G1805" s="4" t="str">
        <f t="shared" si="113"/>
        <v>21st</v>
      </c>
      <c r="H1805" s="4" t="str">
        <f t="shared" si="114"/>
        <v>November</v>
      </c>
      <c r="I1805" s="4" t="str">
        <f t="shared" si="115"/>
        <v>2019</v>
      </c>
      <c r="J1805" s="10" t="s">
        <v>12</v>
      </c>
    </row>
    <row r="1806" spans="1:10" x14ac:dyDescent="0.35">
      <c r="A1806" s="9" t="s">
        <v>2826</v>
      </c>
      <c r="B1806" s="3">
        <v>1</v>
      </c>
      <c r="C1806" s="4" t="str">
        <f t="shared" si="112"/>
        <v>Bad</v>
      </c>
      <c r="D1806" s="3" t="s">
        <v>3523</v>
      </c>
      <c r="E1806" s="3" t="s">
        <v>3524</v>
      </c>
      <c r="F1806" s="5" t="s">
        <v>3516</v>
      </c>
      <c r="G1806" s="4" t="str">
        <f t="shared" si="113"/>
        <v>21st</v>
      </c>
      <c r="H1806" s="4" t="str">
        <f t="shared" si="114"/>
        <v>November</v>
      </c>
      <c r="I1806" s="4" t="str">
        <f t="shared" si="115"/>
        <v>2019</v>
      </c>
      <c r="J1806" s="10" t="s">
        <v>12</v>
      </c>
    </row>
    <row r="1807" spans="1:10" x14ac:dyDescent="0.35">
      <c r="A1807" s="9" t="s">
        <v>2826</v>
      </c>
      <c r="B1807" s="3">
        <v>1</v>
      </c>
      <c r="C1807" s="4" t="str">
        <f t="shared" si="112"/>
        <v>Bad</v>
      </c>
      <c r="D1807" s="3" t="s">
        <v>3525</v>
      </c>
      <c r="E1807" s="3" t="s">
        <v>3526</v>
      </c>
      <c r="F1807" s="5" t="s">
        <v>3516</v>
      </c>
      <c r="G1807" s="4" t="str">
        <f t="shared" si="113"/>
        <v>21st</v>
      </c>
      <c r="H1807" s="4" t="str">
        <f t="shared" si="114"/>
        <v>November</v>
      </c>
      <c r="I1807" s="4" t="str">
        <f t="shared" si="115"/>
        <v>2019</v>
      </c>
      <c r="J1807" s="10" t="s">
        <v>12</v>
      </c>
    </row>
    <row r="1808" spans="1:10" x14ac:dyDescent="0.35">
      <c r="A1808" s="9" t="s">
        <v>2826</v>
      </c>
      <c r="B1808" s="3">
        <v>1</v>
      </c>
      <c r="C1808" s="4" t="str">
        <f t="shared" si="112"/>
        <v>Bad</v>
      </c>
      <c r="D1808" s="3" t="s">
        <v>3527</v>
      </c>
      <c r="E1808" s="3" t="s">
        <v>3528</v>
      </c>
      <c r="F1808" s="5" t="s">
        <v>3516</v>
      </c>
      <c r="G1808" s="4" t="str">
        <f t="shared" si="113"/>
        <v>21st</v>
      </c>
      <c r="H1808" s="4" t="str">
        <f t="shared" si="114"/>
        <v>November</v>
      </c>
      <c r="I1808" s="4" t="str">
        <f t="shared" si="115"/>
        <v>2019</v>
      </c>
      <c r="J1808" s="10" t="s">
        <v>12</v>
      </c>
    </row>
    <row r="1809" spans="1:10" x14ac:dyDescent="0.35">
      <c r="A1809" s="9" t="s">
        <v>2826</v>
      </c>
      <c r="B1809" s="3">
        <v>10</v>
      </c>
      <c r="C1809" s="4" t="str">
        <f t="shared" si="112"/>
        <v>Good</v>
      </c>
      <c r="D1809" s="3" t="s">
        <v>3529</v>
      </c>
      <c r="E1809" s="3" t="s">
        <v>3530</v>
      </c>
      <c r="F1809" s="5" t="s">
        <v>3516</v>
      </c>
      <c r="G1809" s="4" t="str">
        <f t="shared" si="113"/>
        <v>21st</v>
      </c>
      <c r="H1809" s="4" t="str">
        <f t="shared" si="114"/>
        <v>November</v>
      </c>
      <c r="I1809" s="4" t="str">
        <f t="shared" si="115"/>
        <v>2019</v>
      </c>
      <c r="J1809" s="10" t="s">
        <v>9</v>
      </c>
    </row>
    <row r="1810" spans="1:10" x14ac:dyDescent="0.35">
      <c r="A1810" s="9" t="s">
        <v>2826</v>
      </c>
      <c r="B1810" s="3">
        <v>1</v>
      </c>
      <c r="C1810" s="4" t="str">
        <f t="shared" si="112"/>
        <v>Bad</v>
      </c>
      <c r="D1810" s="3" t="s">
        <v>3531</v>
      </c>
      <c r="E1810" s="3" t="s">
        <v>3532</v>
      </c>
      <c r="F1810" s="5" t="s">
        <v>3516</v>
      </c>
      <c r="G1810" s="4" t="str">
        <f t="shared" si="113"/>
        <v>21st</v>
      </c>
      <c r="H1810" s="4" t="str">
        <f t="shared" si="114"/>
        <v>November</v>
      </c>
      <c r="I1810" s="4" t="str">
        <f t="shared" si="115"/>
        <v>2019</v>
      </c>
      <c r="J1810" s="10" t="s">
        <v>12</v>
      </c>
    </row>
    <row r="1811" spans="1:10" x14ac:dyDescent="0.35">
      <c r="A1811" s="9" t="s">
        <v>2826</v>
      </c>
      <c r="B1811" s="3">
        <v>9</v>
      </c>
      <c r="C1811" s="4" t="str">
        <f t="shared" si="112"/>
        <v>Good</v>
      </c>
      <c r="D1811" s="3" t="s">
        <v>3533</v>
      </c>
      <c r="E1811" s="3" t="s">
        <v>3534</v>
      </c>
      <c r="F1811" s="5" t="s">
        <v>3516</v>
      </c>
      <c r="G1811" s="4" t="str">
        <f t="shared" si="113"/>
        <v>21st</v>
      </c>
      <c r="H1811" s="4" t="str">
        <f t="shared" si="114"/>
        <v>November</v>
      </c>
      <c r="I1811" s="4" t="str">
        <f t="shared" si="115"/>
        <v>2019</v>
      </c>
      <c r="J1811" s="10" t="s">
        <v>9</v>
      </c>
    </row>
    <row r="1812" spans="1:10" x14ac:dyDescent="0.35">
      <c r="A1812" s="9" t="s">
        <v>2826</v>
      </c>
      <c r="B1812" s="3">
        <v>1</v>
      </c>
      <c r="C1812" s="4" t="str">
        <f t="shared" si="112"/>
        <v>Bad</v>
      </c>
      <c r="D1812" s="3" t="s">
        <v>3535</v>
      </c>
      <c r="E1812" s="3" t="s">
        <v>3536</v>
      </c>
      <c r="F1812" s="5" t="s">
        <v>3537</v>
      </c>
      <c r="G1812" s="4" t="str">
        <f t="shared" si="113"/>
        <v>4th</v>
      </c>
      <c r="H1812" s="4" t="str">
        <f t="shared" si="114"/>
        <v>November</v>
      </c>
      <c r="I1812" s="4" t="str">
        <f t="shared" si="115"/>
        <v>2019</v>
      </c>
      <c r="J1812" s="10" t="s">
        <v>12</v>
      </c>
    </row>
    <row r="1813" spans="1:10" x14ac:dyDescent="0.35">
      <c r="A1813" s="9" t="s">
        <v>2826</v>
      </c>
      <c r="B1813" s="3">
        <v>1</v>
      </c>
      <c r="C1813" s="4" t="str">
        <f t="shared" si="112"/>
        <v>Bad</v>
      </c>
      <c r="D1813" s="3" t="s">
        <v>3538</v>
      </c>
      <c r="E1813" s="3" t="s">
        <v>3539</v>
      </c>
      <c r="F1813" s="5" t="s">
        <v>3537</v>
      </c>
      <c r="G1813" s="4" t="str">
        <f t="shared" si="113"/>
        <v>4th</v>
      </c>
      <c r="H1813" s="4" t="str">
        <f t="shared" si="114"/>
        <v>November</v>
      </c>
      <c r="I1813" s="4" t="str">
        <f t="shared" si="115"/>
        <v>2019</v>
      </c>
      <c r="J1813" s="10" t="s">
        <v>12</v>
      </c>
    </row>
    <row r="1814" spans="1:10" x14ac:dyDescent="0.35">
      <c r="A1814" s="9" t="s">
        <v>2826</v>
      </c>
      <c r="B1814" s="3">
        <v>1</v>
      </c>
      <c r="C1814" s="4" t="str">
        <f t="shared" si="112"/>
        <v>Bad</v>
      </c>
      <c r="D1814" s="3" t="s">
        <v>3540</v>
      </c>
      <c r="E1814" s="3" t="s">
        <v>3541</v>
      </c>
      <c r="F1814" s="5" t="s">
        <v>3537</v>
      </c>
      <c r="G1814" s="4" t="str">
        <f t="shared" si="113"/>
        <v>4th</v>
      </c>
      <c r="H1814" s="4" t="str">
        <f t="shared" si="114"/>
        <v>November</v>
      </c>
      <c r="I1814" s="4" t="str">
        <f t="shared" si="115"/>
        <v>2019</v>
      </c>
      <c r="J1814" s="10" t="s">
        <v>12</v>
      </c>
    </row>
    <row r="1815" spans="1:10" x14ac:dyDescent="0.35">
      <c r="A1815" s="9" t="s">
        <v>2826</v>
      </c>
      <c r="B1815" s="3">
        <v>1</v>
      </c>
      <c r="C1815" s="4" t="str">
        <f t="shared" si="112"/>
        <v>Bad</v>
      </c>
      <c r="D1815" s="3" t="s">
        <v>3542</v>
      </c>
      <c r="E1815" s="3" t="s">
        <v>3543</v>
      </c>
      <c r="F1815" s="5" t="s">
        <v>3537</v>
      </c>
      <c r="G1815" s="4" t="str">
        <f t="shared" si="113"/>
        <v>4th</v>
      </c>
      <c r="H1815" s="4" t="str">
        <f t="shared" si="114"/>
        <v>November</v>
      </c>
      <c r="I1815" s="4" t="str">
        <f t="shared" si="115"/>
        <v>2019</v>
      </c>
      <c r="J1815" s="10" t="s">
        <v>12</v>
      </c>
    </row>
    <row r="1816" spans="1:10" x14ac:dyDescent="0.35">
      <c r="A1816" s="9" t="s">
        <v>2826</v>
      </c>
      <c r="B1816" s="3">
        <v>1</v>
      </c>
      <c r="C1816" s="4" t="str">
        <f t="shared" si="112"/>
        <v>Bad</v>
      </c>
      <c r="D1816" s="3" t="s">
        <v>3544</v>
      </c>
      <c r="E1816" s="3" t="s">
        <v>3545</v>
      </c>
      <c r="F1816" s="5" t="s">
        <v>3537</v>
      </c>
      <c r="G1816" s="4" t="str">
        <f t="shared" si="113"/>
        <v>4th</v>
      </c>
      <c r="H1816" s="4" t="str">
        <f t="shared" si="114"/>
        <v>November</v>
      </c>
      <c r="I1816" s="4" t="str">
        <f t="shared" si="115"/>
        <v>2019</v>
      </c>
      <c r="J1816" s="10" t="s">
        <v>12</v>
      </c>
    </row>
    <row r="1817" spans="1:10" x14ac:dyDescent="0.35">
      <c r="A1817" s="9" t="s">
        <v>2826</v>
      </c>
      <c r="B1817" s="3">
        <v>4</v>
      </c>
      <c r="C1817" s="4" t="str">
        <f t="shared" si="112"/>
        <v>Bad</v>
      </c>
      <c r="D1817" s="3" t="s">
        <v>3546</v>
      </c>
      <c r="E1817" s="3" t="s">
        <v>3547</v>
      </c>
      <c r="F1817" s="5" t="s">
        <v>3537</v>
      </c>
      <c r="G1817" s="4" t="str">
        <f t="shared" si="113"/>
        <v>4th</v>
      </c>
      <c r="H1817" s="4" t="str">
        <f t="shared" si="114"/>
        <v>November</v>
      </c>
      <c r="I1817" s="4" t="str">
        <f t="shared" si="115"/>
        <v>2019</v>
      </c>
      <c r="J1817" s="10" t="s">
        <v>12</v>
      </c>
    </row>
    <row r="1818" spans="1:10" x14ac:dyDescent="0.35">
      <c r="A1818" s="9" t="s">
        <v>2826</v>
      </c>
      <c r="B1818" s="3">
        <v>7</v>
      </c>
      <c r="C1818" s="4" t="str">
        <f t="shared" si="112"/>
        <v>Neutral</v>
      </c>
      <c r="D1818" s="3" t="s">
        <v>3548</v>
      </c>
      <c r="E1818" s="3" t="s">
        <v>3549</v>
      </c>
      <c r="F1818" s="5" t="s">
        <v>3537</v>
      </c>
      <c r="G1818" s="4" t="str">
        <f t="shared" si="113"/>
        <v>4th</v>
      </c>
      <c r="H1818" s="4" t="str">
        <f t="shared" si="114"/>
        <v>November</v>
      </c>
      <c r="I1818" s="4" t="str">
        <f t="shared" si="115"/>
        <v>2019</v>
      </c>
      <c r="J1818" s="10" t="s">
        <v>9</v>
      </c>
    </row>
    <row r="1819" spans="1:10" x14ac:dyDescent="0.35">
      <c r="A1819" s="9" t="s">
        <v>2826</v>
      </c>
      <c r="B1819" s="3">
        <v>2</v>
      </c>
      <c r="C1819" s="4" t="str">
        <f t="shared" si="112"/>
        <v>Bad</v>
      </c>
      <c r="D1819" s="3" t="s">
        <v>3550</v>
      </c>
      <c r="E1819" s="3" t="s">
        <v>3551</v>
      </c>
      <c r="F1819" s="5" t="s">
        <v>3537</v>
      </c>
      <c r="G1819" s="4" t="str">
        <f t="shared" si="113"/>
        <v>4th</v>
      </c>
      <c r="H1819" s="4" t="str">
        <f t="shared" si="114"/>
        <v>November</v>
      </c>
      <c r="I1819" s="4" t="str">
        <f t="shared" si="115"/>
        <v>2019</v>
      </c>
      <c r="J1819" s="10" t="s">
        <v>12</v>
      </c>
    </row>
    <row r="1820" spans="1:10" x14ac:dyDescent="0.35">
      <c r="A1820" s="9" t="s">
        <v>2826</v>
      </c>
      <c r="B1820" s="3">
        <v>2</v>
      </c>
      <c r="C1820" s="4" t="str">
        <f t="shared" si="112"/>
        <v>Bad</v>
      </c>
      <c r="D1820" s="3" t="s">
        <v>3552</v>
      </c>
      <c r="E1820" s="3" t="s">
        <v>3553</v>
      </c>
      <c r="F1820" s="5" t="s">
        <v>3537</v>
      </c>
      <c r="G1820" s="4" t="str">
        <f t="shared" si="113"/>
        <v>4th</v>
      </c>
      <c r="H1820" s="4" t="str">
        <f t="shared" si="114"/>
        <v>November</v>
      </c>
      <c r="I1820" s="4" t="str">
        <f t="shared" si="115"/>
        <v>2019</v>
      </c>
      <c r="J1820" s="10" t="s">
        <v>12</v>
      </c>
    </row>
    <row r="1821" spans="1:10" x14ac:dyDescent="0.35">
      <c r="A1821" s="9" t="s">
        <v>2826</v>
      </c>
      <c r="B1821" s="3">
        <v>8</v>
      </c>
      <c r="C1821" s="4" t="str">
        <f t="shared" si="112"/>
        <v>Good</v>
      </c>
      <c r="D1821" s="3" t="s">
        <v>3554</v>
      </c>
      <c r="E1821" s="3" t="s">
        <v>3555</v>
      </c>
      <c r="F1821" s="5" t="s">
        <v>3537</v>
      </c>
      <c r="G1821" s="4" t="str">
        <f t="shared" si="113"/>
        <v>4th</v>
      </c>
      <c r="H1821" s="4" t="str">
        <f t="shared" si="114"/>
        <v>November</v>
      </c>
      <c r="I1821" s="4" t="str">
        <f t="shared" si="115"/>
        <v>2019</v>
      </c>
      <c r="J1821" s="10" t="s">
        <v>9</v>
      </c>
    </row>
    <row r="1822" spans="1:10" x14ac:dyDescent="0.35">
      <c r="A1822" s="9" t="s">
        <v>2826</v>
      </c>
      <c r="B1822" s="3">
        <v>9</v>
      </c>
      <c r="C1822" s="4" t="str">
        <f t="shared" si="112"/>
        <v>Good</v>
      </c>
      <c r="D1822" s="3" t="s">
        <v>3556</v>
      </c>
      <c r="E1822" s="3" t="s">
        <v>544</v>
      </c>
      <c r="F1822" s="5" t="s">
        <v>3557</v>
      </c>
      <c r="G1822" s="4" t="str">
        <f t="shared" si="113"/>
        <v>10th</v>
      </c>
      <c r="H1822" s="4" t="str">
        <f t="shared" si="114"/>
        <v>October</v>
      </c>
      <c r="I1822" s="4" t="str">
        <f t="shared" si="115"/>
        <v>2019</v>
      </c>
      <c r="J1822" s="10" t="s">
        <v>9</v>
      </c>
    </row>
    <row r="1823" spans="1:10" x14ac:dyDescent="0.35">
      <c r="A1823" s="9" t="s">
        <v>2826</v>
      </c>
      <c r="B1823" s="3">
        <v>10</v>
      </c>
      <c r="C1823" s="4" t="str">
        <f t="shared" si="112"/>
        <v>Good</v>
      </c>
      <c r="D1823" s="3" t="s">
        <v>3558</v>
      </c>
      <c r="E1823" s="3" t="s">
        <v>3559</v>
      </c>
      <c r="F1823" s="5" t="s">
        <v>3557</v>
      </c>
      <c r="G1823" s="4" t="str">
        <f t="shared" si="113"/>
        <v>10th</v>
      </c>
      <c r="H1823" s="4" t="str">
        <f t="shared" si="114"/>
        <v>October</v>
      </c>
      <c r="I1823" s="4" t="str">
        <f t="shared" si="115"/>
        <v>2019</v>
      </c>
      <c r="J1823" s="10" t="s">
        <v>9</v>
      </c>
    </row>
    <row r="1824" spans="1:10" x14ac:dyDescent="0.35">
      <c r="A1824" s="9" t="s">
        <v>2826</v>
      </c>
      <c r="B1824" s="3">
        <v>1</v>
      </c>
      <c r="C1824" s="4" t="str">
        <f t="shared" si="112"/>
        <v>Bad</v>
      </c>
      <c r="D1824" s="3" t="s">
        <v>3560</v>
      </c>
      <c r="E1824" s="3" t="s">
        <v>3561</v>
      </c>
      <c r="F1824" s="5" t="s">
        <v>3557</v>
      </c>
      <c r="G1824" s="4" t="str">
        <f t="shared" si="113"/>
        <v>10th</v>
      </c>
      <c r="H1824" s="4" t="str">
        <f t="shared" si="114"/>
        <v>October</v>
      </c>
      <c r="I1824" s="4" t="str">
        <f t="shared" si="115"/>
        <v>2019</v>
      </c>
      <c r="J1824" s="10" t="s">
        <v>12</v>
      </c>
    </row>
    <row r="1825" spans="1:10" x14ac:dyDescent="0.35">
      <c r="A1825" s="9" t="s">
        <v>2826</v>
      </c>
      <c r="B1825" s="3">
        <v>2</v>
      </c>
      <c r="C1825" s="4" t="str">
        <f t="shared" si="112"/>
        <v>Bad</v>
      </c>
      <c r="D1825" s="3" t="s">
        <v>3562</v>
      </c>
      <c r="E1825" s="3" t="s">
        <v>3563</v>
      </c>
      <c r="F1825" s="5" t="s">
        <v>3557</v>
      </c>
      <c r="G1825" s="4" t="str">
        <f t="shared" si="113"/>
        <v>10th</v>
      </c>
      <c r="H1825" s="4" t="str">
        <f t="shared" si="114"/>
        <v>October</v>
      </c>
      <c r="I1825" s="4" t="str">
        <f t="shared" si="115"/>
        <v>2019</v>
      </c>
      <c r="J1825" s="10" t="s">
        <v>12</v>
      </c>
    </row>
    <row r="1826" spans="1:10" x14ac:dyDescent="0.35">
      <c r="A1826" s="9" t="s">
        <v>2826</v>
      </c>
      <c r="B1826" s="3">
        <v>3</v>
      </c>
      <c r="C1826" s="4" t="str">
        <f t="shared" si="112"/>
        <v>Bad</v>
      </c>
      <c r="D1826" s="3" t="s">
        <v>3564</v>
      </c>
      <c r="E1826" s="3" t="s">
        <v>3565</v>
      </c>
      <c r="F1826" s="5" t="s">
        <v>3557</v>
      </c>
      <c r="G1826" s="4" t="str">
        <f t="shared" si="113"/>
        <v>10th</v>
      </c>
      <c r="H1826" s="4" t="str">
        <f t="shared" si="114"/>
        <v>October</v>
      </c>
      <c r="I1826" s="4" t="str">
        <f t="shared" si="115"/>
        <v>2019</v>
      </c>
      <c r="J1826" s="10" t="s">
        <v>12</v>
      </c>
    </row>
    <row r="1827" spans="1:10" x14ac:dyDescent="0.35">
      <c r="A1827" s="9" t="s">
        <v>2826</v>
      </c>
      <c r="B1827" s="3">
        <v>6</v>
      </c>
      <c r="C1827" s="4" t="str">
        <f t="shared" si="112"/>
        <v>Neutral</v>
      </c>
      <c r="D1827" s="3" t="s">
        <v>3566</v>
      </c>
      <c r="E1827" s="3" t="s">
        <v>2414</v>
      </c>
      <c r="F1827" s="5" t="s">
        <v>3557</v>
      </c>
      <c r="G1827" s="4" t="str">
        <f t="shared" si="113"/>
        <v>10th</v>
      </c>
      <c r="H1827" s="4" t="str">
        <f t="shared" si="114"/>
        <v>October</v>
      </c>
      <c r="I1827" s="4" t="str">
        <f t="shared" si="115"/>
        <v>2019</v>
      </c>
      <c r="J1827" s="10" t="s">
        <v>9</v>
      </c>
    </row>
    <row r="1828" spans="1:10" x14ac:dyDescent="0.35">
      <c r="A1828" s="9" t="s">
        <v>2826</v>
      </c>
      <c r="B1828" s="3">
        <v>2</v>
      </c>
      <c r="C1828" s="4" t="str">
        <f t="shared" si="112"/>
        <v>Bad</v>
      </c>
      <c r="D1828" s="3" t="s">
        <v>3567</v>
      </c>
      <c r="E1828" s="3" t="s">
        <v>3568</v>
      </c>
      <c r="F1828" s="5" t="s">
        <v>3557</v>
      </c>
      <c r="G1828" s="4" t="str">
        <f t="shared" si="113"/>
        <v>10th</v>
      </c>
      <c r="H1828" s="4" t="str">
        <f t="shared" si="114"/>
        <v>October</v>
      </c>
      <c r="I1828" s="4" t="str">
        <f t="shared" si="115"/>
        <v>2019</v>
      </c>
      <c r="J1828" s="10" t="s">
        <v>12</v>
      </c>
    </row>
    <row r="1829" spans="1:10" x14ac:dyDescent="0.35">
      <c r="A1829" s="9" t="s">
        <v>2826</v>
      </c>
      <c r="B1829" s="3">
        <v>1</v>
      </c>
      <c r="C1829" s="4" t="str">
        <f t="shared" si="112"/>
        <v>Bad</v>
      </c>
      <c r="D1829" s="3" t="s">
        <v>3569</v>
      </c>
      <c r="E1829" s="3" t="s">
        <v>3570</v>
      </c>
      <c r="F1829" s="5" t="s">
        <v>3557</v>
      </c>
      <c r="G1829" s="4" t="str">
        <f t="shared" si="113"/>
        <v>10th</v>
      </c>
      <c r="H1829" s="4" t="str">
        <f t="shared" si="114"/>
        <v>October</v>
      </c>
      <c r="I1829" s="4" t="str">
        <f t="shared" si="115"/>
        <v>2019</v>
      </c>
      <c r="J1829" s="10" t="s">
        <v>12</v>
      </c>
    </row>
    <row r="1830" spans="1:10" x14ac:dyDescent="0.35">
      <c r="A1830" s="9" t="s">
        <v>2826</v>
      </c>
      <c r="B1830" s="3">
        <v>2</v>
      </c>
      <c r="C1830" s="4" t="str">
        <f t="shared" si="112"/>
        <v>Bad</v>
      </c>
      <c r="D1830" s="3" t="s">
        <v>3571</v>
      </c>
      <c r="E1830" s="3" t="s">
        <v>3572</v>
      </c>
      <c r="F1830" s="5" t="s">
        <v>3557</v>
      </c>
      <c r="G1830" s="4" t="str">
        <f t="shared" si="113"/>
        <v>10th</v>
      </c>
      <c r="H1830" s="4" t="str">
        <f t="shared" si="114"/>
        <v>October</v>
      </c>
      <c r="I1830" s="4" t="str">
        <f t="shared" si="115"/>
        <v>2019</v>
      </c>
      <c r="J1830" s="10" t="s">
        <v>12</v>
      </c>
    </row>
    <row r="1831" spans="1:10" x14ac:dyDescent="0.35">
      <c r="A1831" s="9" t="s">
        <v>2826</v>
      </c>
      <c r="B1831" s="3">
        <v>1</v>
      </c>
      <c r="C1831" s="4" t="str">
        <f t="shared" si="112"/>
        <v>Bad</v>
      </c>
      <c r="D1831" s="3" t="s">
        <v>3573</v>
      </c>
      <c r="E1831" s="3" t="s">
        <v>3574</v>
      </c>
      <c r="F1831" s="5" t="s">
        <v>3557</v>
      </c>
      <c r="G1831" s="4" t="str">
        <f t="shared" si="113"/>
        <v>10th</v>
      </c>
      <c r="H1831" s="4" t="str">
        <f t="shared" si="114"/>
        <v>October</v>
      </c>
      <c r="I1831" s="4" t="str">
        <f t="shared" si="115"/>
        <v>2019</v>
      </c>
      <c r="J1831" s="10" t="s">
        <v>12</v>
      </c>
    </row>
    <row r="1832" spans="1:10" x14ac:dyDescent="0.35">
      <c r="A1832" s="9" t="s">
        <v>2826</v>
      </c>
      <c r="B1832" s="3">
        <v>2</v>
      </c>
      <c r="C1832" s="4" t="str">
        <f t="shared" si="112"/>
        <v>Bad</v>
      </c>
      <c r="D1832" s="3" t="s">
        <v>3575</v>
      </c>
      <c r="E1832" s="3" t="s">
        <v>3576</v>
      </c>
      <c r="F1832" s="5" t="s">
        <v>3577</v>
      </c>
      <c r="G1832" s="4" t="str">
        <f t="shared" si="113"/>
        <v>18th</v>
      </c>
      <c r="H1832" s="4" t="str">
        <f t="shared" si="114"/>
        <v>September</v>
      </c>
      <c r="I1832" s="4" t="str">
        <f t="shared" si="115"/>
        <v>2019</v>
      </c>
      <c r="J1832" s="10" t="s">
        <v>12</v>
      </c>
    </row>
    <row r="1833" spans="1:10" x14ac:dyDescent="0.35">
      <c r="A1833" s="9" t="s">
        <v>2826</v>
      </c>
      <c r="B1833" s="3">
        <v>3</v>
      </c>
      <c r="C1833" s="4" t="str">
        <f t="shared" si="112"/>
        <v>Bad</v>
      </c>
      <c r="D1833" s="3" t="s">
        <v>3578</v>
      </c>
      <c r="E1833" s="3" t="s">
        <v>3579</v>
      </c>
      <c r="F1833" s="5" t="s">
        <v>3577</v>
      </c>
      <c r="G1833" s="4" t="str">
        <f t="shared" si="113"/>
        <v>18th</v>
      </c>
      <c r="H1833" s="4" t="str">
        <f t="shared" si="114"/>
        <v>September</v>
      </c>
      <c r="I1833" s="4" t="str">
        <f t="shared" si="115"/>
        <v>2019</v>
      </c>
      <c r="J1833" s="10" t="s">
        <v>12</v>
      </c>
    </row>
    <row r="1834" spans="1:10" x14ac:dyDescent="0.35">
      <c r="A1834" s="9" t="s">
        <v>2826</v>
      </c>
      <c r="B1834" s="3">
        <v>1</v>
      </c>
      <c r="C1834" s="4" t="str">
        <f t="shared" si="112"/>
        <v>Bad</v>
      </c>
      <c r="D1834" s="3" t="s">
        <v>1219</v>
      </c>
      <c r="E1834" s="3" t="s">
        <v>3580</v>
      </c>
      <c r="F1834" s="5" t="s">
        <v>3577</v>
      </c>
      <c r="G1834" s="4" t="str">
        <f t="shared" si="113"/>
        <v>18th</v>
      </c>
      <c r="H1834" s="4" t="str">
        <f t="shared" si="114"/>
        <v>September</v>
      </c>
      <c r="I1834" s="4" t="str">
        <f t="shared" si="115"/>
        <v>2019</v>
      </c>
      <c r="J1834" s="10" t="s">
        <v>12</v>
      </c>
    </row>
    <row r="1835" spans="1:10" x14ac:dyDescent="0.35">
      <c r="A1835" s="9" t="s">
        <v>2826</v>
      </c>
      <c r="B1835" s="3">
        <v>5</v>
      </c>
      <c r="C1835" s="4" t="str">
        <f t="shared" si="112"/>
        <v>Neutral</v>
      </c>
      <c r="D1835" s="3" t="s">
        <v>3581</v>
      </c>
      <c r="E1835" s="3" t="s">
        <v>2416</v>
      </c>
      <c r="F1835" s="5" t="s">
        <v>3577</v>
      </c>
      <c r="G1835" s="4" t="str">
        <f t="shared" si="113"/>
        <v>18th</v>
      </c>
      <c r="H1835" s="4" t="str">
        <f t="shared" si="114"/>
        <v>September</v>
      </c>
      <c r="I1835" s="4" t="str">
        <f t="shared" si="115"/>
        <v>2019</v>
      </c>
      <c r="J1835" s="10" t="s">
        <v>9</v>
      </c>
    </row>
    <row r="1836" spans="1:10" x14ac:dyDescent="0.35">
      <c r="A1836" s="9" t="s">
        <v>2826</v>
      </c>
      <c r="B1836" s="3">
        <v>7</v>
      </c>
      <c r="C1836" s="4" t="str">
        <f t="shared" si="112"/>
        <v>Neutral</v>
      </c>
      <c r="D1836" s="3" t="s">
        <v>2015</v>
      </c>
      <c r="E1836" s="3" t="s">
        <v>3582</v>
      </c>
      <c r="F1836" s="5" t="s">
        <v>3577</v>
      </c>
      <c r="G1836" s="4" t="str">
        <f t="shared" si="113"/>
        <v>18th</v>
      </c>
      <c r="H1836" s="4" t="str">
        <f t="shared" si="114"/>
        <v>September</v>
      </c>
      <c r="I1836" s="4" t="str">
        <f t="shared" si="115"/>
        <v>2019</v>
      </c>
      <c r="J1836" s="10" t="s">
        <v>9</v>
      </c>
    </row>
    <row r="1837" spans="1:10" x14ac:dyDescent="0.35">
      <c r="A1837" s="9" t="s">
        <v>2826</v>
      </c>
      <c r="B1837" s="3">
        <v>1</v>
      </c>
      <c r="C1837" s="4" t="str">
        <f t="shared" si="112"/>
        <v>Bad</v>
      </c>
      <c r="D1837" s="3" t="s">
        <v>3583</v>
      </c>
      <c r="E1837" s="3" t="s">
        <v>183</v>
      </c>
      <c r="F1837" s="5" t="s">
        <v>3577</v>
      </c>
      <c r="G1837" s="4" t="str">
        <f t="shared" si="113"/>
        <v>18th</v>
      </c>
      <c r="H1837" s="4" t="str">
        <f t="shared" si="114"/>
        <v>September</v>
      </c>
      <c r="I1837" s="4" t="str">
        <f t="shared" si="115"/>
        <v>2019</v>
      </c>
      <c r="J1837" s="10" t="s">
        <v>12</v>
      </c>
    </row>
    <row r="1838" spans="1:10" x14ac:dyDescent="0.35">
      <c r="A1838" s="9" t="s">
        <v>2826</v>
      </c>
      <c r="B1838" s="3">
        <v>1</v>
      </c>
      <c r="C1838" s="4" t="str">
        <f t="shared" si="112"/>
        <v>Bad</v>
      </c>
      <c r="D1838" s="3" t="s">
        <v>3584</v>
      </c>
      <c r="E1838" s="3" t="s">
        <v>3585</v>
      </c>
      <c r="F1838" s="5" t="s">
        <v>3577</v>
      </c>
      <c r="G1838" s="4" t="str">
        <f t="shared" si="113"/>
        <v>18th</v>
      </c>
      <c r="H1838" s="4" t="str">
        <f t="shared" si="114"/>
        <v>September</v>
      </c>
      <c r="I1838" s="4" t="str">
        <f t="shared" si="115"/>
        <v>2019</v>
      </c>
      <c r="J1838" s="10" t="s">
        <v>12</v>
      </c>
    </row>
    <row r="1839" spans="1:10" x14ac:dyDescent="0.35">
      <c r="A1839" s="9" t="s">
        <v>2826</v>
      </c>
      <c r="B1839" s="3">
        <v>1</v>
      </c>
      <c r="C1839" s="4" t="str">
        <f t="shared" si="112"/>
        <v>Bad</v>
      </c>
      <c r="D1839" s="3" t="s">
        <v>744</v>
      </c>
      <c r="E1839" s="3" t="s">
        <v>3586</v>
      </c>
      <c r="F1839" s="5" t="s">
        <v>3577</v>
      </c>
      <c r="G1839" s="4" t="str">
        <f t="shared" si="113"/>
        <v>18th</v>
      </c>
      <c r="H1839" s="4" t="str">
        <f t="shared" si="114"/>
        <v>September</v>
      </c>
      <c r="I1839" s="4" t="str">
        <f t="shared" si="115"/>
        <v>2019</v>
      </c>
      <c r="J1839" s="10" t="s">
        <v>12</v>
      </c>
    </row>
    <row r="1840" spans="1:10" x14ac:dyDescent="0.35">
      <c r="A1840" s="9" t="s">
        <v>2826</v>
      </c>
      <c r="B1840" s="3">
        <v>2</v>
      </c>
      <c r="C1840" s="4" t="str">
        <f t="shared" si="112"/>
        <v>Bad</v>
      </c>
      <c r="D1840" s="3" t="s">
        <v>3587</v>
      </c>
      <c r="E1840" s="3" t="s">
        <v>3588</v>
      </c>
      <c r="F1840" s="5" t="s">
        <v>3577</v>
      </c>
      <c r="G1840" s="4" t="str">
        <f t="shared" si="113"/>
        <v>18th</v>
      </c>
      <c r="H1840" s="4" t="str">
        <f t="shared" si="114"/>
        <v>September</v>
      </c>
      <c r="I1840" s="4" t="str">
        <f t="shared" si="115"/>
        <v>2019</v>
      </c>
      <c r="J1840" s="10" t="s">
        <v>12</v>
      </c>
    </row>
    <row r="1841" spans="1:10" x14ac:dyDescent="0.35">
      <c r="A1841" s="9" t="s">
        <v>2826</v>
      </c>
      <c r="B1841" s="3">
        <v>3</v>
      </c>
      <c r="C1841" s="4" t="str">
        <f t="shared" si="112"/>
        <v>Bad</v>
      </c>
      <c r="D1841" s="3" t="s">
        <v>3510</v>
      </c>
      <c r="E1841" s="3" t="s">
        <v>3589</v>
      </c>
      <c r="F1841" s="5" t="s">
        <v>3577</v>
      </c>
      <c r="G1841" s="4" t="str">
        <f t="shared" si="113"/>
        <v>18th</v>
      </c>
      <c r="H1841" s="4" t="str">
        <f t="shared" si="114"/>
        <v>September</v>
      </c>
      <c r="I1841" s="4" t="str">
        <f t="shared" si="115"/>
        <v>2019</v>
      </c>
      <c r="J1841" s="10" t="s">
        <v>12</v>
      </c>
    </row>
    <row r="1842" spans="1:10" x14ac:dyDescent="0.35">
      <c r="A1842" s="9" t="s">
        <v>2826</v>
      </c>
      <c r="B1842" s="3">
        <v>1</v>
      </c>
      <c r="C1842" s="4" t="str">
        <f t="shared" si="112"/>
        <v>Bad</v>
      </c>
      <c r="D1842" s="3" t="s">
        <v>3590</v>
      </c>
      <c r="E1842" s="3" t="s">
        <v>3591</v>
      </c>
      <c r="F1842" s="5" t="s">
        <v>3592</v>
      </c>
      <c r="G1842" s="4" t="str">
        <f t="shared" si="113"/>
        <v>8th</v>
      </c>
      <c r="H1842" s="4" t="str">
        <f t="shared" si="114"/>
        <v>August</v>
      </c>
      <c r="I1842" s="4" t="str">
        <f t="shared" si="115"/>
        <v>2019</v>
      </c>
      <c r="J1842" s="10" t="s">
        <v>12</v>
      </c>
    </row>
    <row r="1843" spans="1:10" x14ac:dyDescent="0.35">
      <c r="A1843" s="9" t="s">
        <v>2826</v>
      </c>
      <c r="B1843" s="3">
        <v>1</v>
      </c>
      <c r="C1843" s="4" t="str">
        <f t="shared" si="112"/>
        <v>Bad</v>
      </c>
      <c r="D1843" s="3" t="s">
        <v>3593</v>
      </c>
      <c r="E1843" s="3" t="s">
        <v>3594</v>
      </c>
      <c r="F1843" s="5" t="s">
        <v>3592</v>
      </c>
      <c r="G1843" s="4" t="str">
        <f t="shared" si="113"/>
        <v>8th</v>
      </c>
      <c r="H1843" s="4" t="str">
        <f t="shared" si="114"/>
        <v>August</v>
      </c>
      <c r="I1843" s="4" t="str">
        <f t="shared" si="115"/>
        <v>2019</v>
      </c>
      <c r="J1843" s="10" t="s">
        <v>12</v>
      </c>
    </row>
    <row r="1844" spans="1:10" x14ac:dyDescent="0.35">
      <c r="A1844" s="9" t="s">
        <v>2826</v>
      </c>
      <c r="B1844" s="3">
        <v>1</v>
      </c>
      <c r="C1844" s="4" t="str">
        <f t="shared" si="112"/>
        <v>Bad</v>
      </c>
      <c r="D1844" s="3" t="s">
        <v>3595</v>
      </c>
      <c r="E1844" s="3" t="s">
        <v>3596</v>
      </c>
      <c r="F1844" s="5" t="s">
        <v>3592</v>
      </c>
      <c r="G1844" s="4" t="str">
        <f t="shared" si="113"/>
        <v>8th</v>
      </c>
      <c r="H1844" s="4" t="str">
        <f t="shared" si="114"/>
        <v>August</v>
      </c>
      <c r="I1844" s="4" t="str">
        <f t="shared" si="115"/>
        <v>2019</v>
      </c>
      <c r="J1844" s="10" t="s">
        <v>12</v>
      </c>
    </row>
    <row r="1845" spans="1:10" x14ac:dyDescent="0.35">
      <c r="A1845" s="9" t="s">
        <v>2826</v>
      </c>
      <c r="B1845" s="3">
        <v>2</v>
      </c>
      <c r="C1845" s="4" t="str">
        <f t="shared" si="112"/>
        <v>Bad</v>
      </c>
      <c r="D1845" s="3" t="s">
        <v>3597</v>
      </c>
      <c r="E1845" s="3" t="s">
        <v>3598</v>
      </c>
      <c r="F1845" s="5" t="s">
        <v>3592</v>
      </c>
      <c r="G1845" s="4" t="str">
        <f t="shared" si="113"/>
        <v>8th</v>
      </c>
      <c r="H1845" s="4" t="str">
        <f t="shared" si="114"/>
        <v>August</v>
      </c>
      <c r="I1845" s="4" t="str">
        <f t="shared" si="115"/>
        <v>2019</v>
      </c>
      <c r="J1845" s="10" t="s">
        <v>12</v>
      </c>
    </row>
    <row r="1846" spans="1:10" x14ac:dyDescent="0.35">
      <c r="A1846" s="9" t="s">
        <v>2826</v>
      </c>
      <c r="B1846" s="3">
        <v>1</v>
      </c>
      <c r="C1846" s="4" t="str">
        <f t="shared" si="112"/>
        <v>Bad</v>
      </c>
      <c r="D1846" s="3" t="s">
        <v>3599</v>
      </c>
      <c r="E1846" s="3" t="s">
        <v>3600</v>
      </c>
      <c r="F1846" s="5" t="s">
        <v>3592</v>
      </c>
      <c r="G1846" s="4" t="str">
        <f t="shared" si="113"/>
        <v>8th</v>
      </c>
      <c r="H1846" s="4" t="str">
        <f t="shared" si="114"/>
        <v>August</v>
      </c>
      <c r="I1846" s="4" t="str">
        <f t="shared" si="115"/>
        <v>2019</v>
      </c>
      <c r="J1846" s="10" t="s">
        <v>9</v>
      </c>
    </row>
    <row r="1847" spans="1:10" x14ac:dyDescent="0.35">
      <c r="A1847" s="9" t="s">
        <v>2826</v>
      </c>
      <c r="B1847" s="3">
        <v>1</v>
      </c>
      <c r="C1847" s="4" t="str">
        <f t="shared" si="112"/>
        <v>Bad</v>
      </c>
      <c r="D1847" s="3" t="s">
        <v>3601</v>
      </c>
      <c r="E1847" s="3" t="s">
        <v>3602</v>
      </c>
      <c r="F1847" s="5" t="s">
        <v>3592</v>
      </c>
      <c r="G1847" s="4" t="str">
        <f t="shared" si="113"/>
        <v>8th</v>
      </c>
      <c r="H1847" s="4" t="str">
        <f t="shared" si="114"/>
        <v>August</v>
      </c>
      <c r="I1847" s="4" t="str">
        <f t="shared" si="115"/>
        <v>2019</v>
      </c>
      <c r="J1847" s="10" t="s">
        <v>12</v>
      </c>
    </row>
    <row r="1848" spans="1:10" x14ac:dyDescent="0.35">
      <c r="A1848" s="9" t="s">
        <v>2826</v>
      </c>
      <c r="B1848" s="3">
        <v>1</v>
      </c>
      <c r="C1848" s="4" t="str">
        <f t="shared" si="112"/>
        <v>Bad</v>
      </c>
      <c r="D1848" s="3" t="s">
        <v>927</v>
      </c>
      <c r="E1848" s="3" t="s">
        <v>3603</v>
      </c>
      <c r="F1848" s="5" t="s">
        <v>3592</v>
      </c>
      <c r="G1848" s="4" t="str">
        <f t="shared" si="113"/>
        <v>8th</v>
      </c>
      <c r="H1848" s="4" t="str">
        <f t="shared" si="114"/>
        <v>August</v>
      </c>
      <c r="I1848" s="4" t="str">
        <f t="shared" si="115"/>
        <v>2019</v>
      </c>
      <c r="J1848" s="10" t="s">
        <v>12</v>
      </c>
    </row>
    <row r="1849" spans="1:10" x14ac:dyDescent="0.35">
      <c r="A1849" s="9" t="s">
        <v>2826</v>
      </c>
      <c r="B1849" s="3">
        <v>6</v>
      </c>
      <c r="C1849" s="4" t="str">
        <f t="shared" si="112"/>
        <v>Neutral</v>
      </c>
      <c r="D1849" s="3" t="s">
        <v>3604</v>
      </c>
      <c r="E1849" s="3" t="s">
        <v>3605</v>
      </c>
      <c r="F1849" s="5" t="s">
        <v>3592</v>
      </c>
      <c r="G1849" s="4" t="str">
        <f t="shared" si="113"/>
        <v>8th</v>
      </c>
      <c r="H1849" s="4" t="str">
        <f t="shared" si="114"/>
        <v>August</v>
      </c>
      <c r="I1849" s="4" t="str">
        <f t="shared" si="115"/>
        <v>2019</v>
      </c>
      <c r="J1849" s="10" t="s">
        <v>9</v>
      </c>
    </row>
    <row r="1850" spans="1:10" x14ac:dyDescent="0.35">
      <c r="A1850" s="9" t="s">
        <v>2826</v>
      </c>
      <c r="B1850" s="3">
        <v>3</v>
      </c>
      <c r="C1850" s="4" t="str">
        <f t="shared" si="112"/>
        <v>Bad</v>
      </c>
      <c r="D1850" s="3" t="s">
        <v>3606</v>
      </c>
      <c r="E1850" s="3" t="s">
        <v>3607</v>
      </c>
      <c r="F1850" s="5" t="s">
        <v>3592</v>
      </c>
      <c r="G1850" s="4" t="str">
        <f t="shared" si="113"/>
        <v>8th</v>
      </c>
      <c r="H1850" s="4" t="str">
        <f t="shared" si="114"/>
        <v>August</v>
      </c>
      <c r="I1850" s="4" t="str">
        <f t="shared" si="115"/>
        <v>2019</v>
      </c>
      <c r="J1850" s="10" t="s">
        <v>12</v>
      </c>
    </row>
    <row r="1851" spans="1:10" x14ac:dyDescent="0.35">
      <c r="A1851" s="9" t="s">
        <v>2826</v>
      </c>
      <c r="B1851" s="3">
        <v>1</v>
      </c>
      <c r="C1851" s="4" t="str">
        <f t="shared" si="112"/>
        <v>Bad</v>
      </c>
      <c r="D1851" s="3" t="s">
        <v>1854</v>
      </c>
      <c r="E1851" s="3" t="s">
        <v>3608</v>
      </c>
      <c r="F1851" s="5" t="s">
        <v>3592</v>
      </c>
      <c r="G1851" s="4" t="str">
        <f t="shared" si="113"/>
        <v>8th</v>
      </c>
      <c r="H1851" s="4" t="str">
        <f t="shared" si="114"/>
        <v>August</v>
      </c>
      <c r="I1851" s="4" t="str">
        <f t="shared" si="115"/>
        <v>2019</v>
      </c>
      <c r="J1851" s="10" t="s">
        <v>12</v>
      </c>
    </row>
    <row r="1852" spans="1:10" x14ac:dyDescent="0.35">
      <c r="A1852" s="9" t="s">
        <v>2826</v>
      </c>
      <c r="B1852" s="3">
        <v>2</v>
      </c>
      <c r="C1852" s="4" t="str">
        <f t="shared" si="112"/>
        <v>Bad</v>
      </c>
      <c r="D1852" s="3" t="s">
        <v>3609</v>
      </c>
      <c r="E1852" s="3" t="s">
        <v>3610</v>
      </c>
      <c r="F1852" s="5" t="s">
        <v>3611</v>
      </c>
      <c r="G1852" s="4" t="str">
        <f t="shared" si="113"/>
        <v>22nd</v>
      </c>
      <c r="H1852" s="4" t="str">
        <f t="shared" si="114"/>
        <v>July</v>
      </c>
      <c r="I1852" s="4" t="str">
        <f t="shared" si="115"/>
        <v>2019</v>
      </c>
      <c r="J1852" s="10" t="s">
        <v>12</v>
      </c>
    </row>
    <row r="1853" spans="1:10" x14ac:dyDescent="0.35">
      <c r="A1853" s="9" t="s">
        <v>2826</v>
      </c>
      <c r="B1853" s="3">
        <v>1</v>
      </c>
      <c r="C1853" s="4" t="str">
        <f t="shared" si="112"/>
        <v>Bad</v>
      </c>
      <c r="D1853" s="3" t="s">
        <v>3612</v>
      </c>
      <c r="E1853" s="3" t="s">
        <v>3613</v>
      </c>
      <c r="F1853" s="5" t="s">
        <v>3611</v>
      </c>
      <c r="G1853" s="4" t="str">
        <f t="shared" si="113"/>
        <v>22nd</v>
      </c>
      <c r="H1853" s="4" t="str">
        <f t="shared" si="114"/>
        <v>July</v>
      </c>
      <c r="I1853" s="4" t="str">
        <f t="shared" si="115"/>
        <v>2019</v>
      </c>
      <c r="J1853" s="10" t="s">
        <v>12</v>
      </c>
    </row>
    <row r="1854" spans="1:10" x14ac:dyDescent="0.35">
      <c r="A1854" s="9" t="s">
        <v>2826</v>
      </c>
      <c r="B1854" s="3">
        <v>1</v>
      </c>
      <c r="C1854" s="4" t="str">
        <f t="shared" si="112"/>
        <v>Bad</v>
      </c>
      <c r="D1854" s="3" t="s">
        <v>3614</v>
      </c>
      <c r="E1854" s="3" t="s">
        <v>476</v>
      </c>
      <c r="F1854" s="5" t="s">
        <v>3611</v>
      </c>
      <c r="G1854" s="4" t="str">
        <f t="shared" si="113"/>
        <v>22nd</v>
      </c>
      <c r="H1854" s="4" t="str">
        <f t="shared" si="114"/>
        <v>July</v>
      </c>
      <c r="I1854" s="4" t="str">
        <f t="shared" si="115"/>
        <v>2019</v>
      </c>
      <c r="J1854" s="10" t="s">
        <v>12</v>
      </c>
    </row>
    <row r="1855" spans="1:10" x14ac:dyDescent="0.35">
      <c r="A1855" s="9" t="s">
        <v>2826</v>
      </c>
      <c r="B1855" s="3">
        <v>2</v>
      </c>
      <c r="C1855" s="4" t="str">
        <f t="shared" si="112"/>
        <v>Bad</v>
      </c>
      <c r="D1855" s="3" t="s">
        <v>3615</v>
      </c>
      <c r="E1855" s="3" t="s">
        <v>3616</v>
      </c>
      <c r="F1855" s="5" t="s">
        <v>3611</v>
      </c>
      <c r="G1855" s="4" t="str">
        <f t="shared" si="113"/>
        <v>22nd</v>
      </c>
      <c r="H1855" s="4" t="str">
        <f t="shared" si="114"/>
        <v>July</v>
      </c>
      <c r="I1855" s="4" t="str">
        <f t="shared" si="115"/>
        <v>2019</v>
      </c>
      <c r="J1855" s="10" t="s">
        <v>12</v>
      </c>
    </row>
    <row r="1856" spans="1:10" x14ac:dyDescent="0.35">
      <c r="A1856" s="9" t="s">
        <v>2826</v>
      </c>
      <c r="B1856" s="3">
        <v>8</v>
      </c>
      <c r="C1856" s="4" t="str">
        <f t="shared" si="112"/>
        <v>Good</v>
      </c>
      <c r="D1856" s="3" t="s">
        <v>3617</v>
      </c>
      <c r="E1856" s="3" t="s">
        <v>3618</v>
      </c>
      <c r="F1856" s="5" t="s">
        <v>3611</v>
      </c>
      <c r="G1856" s="4" t="str">
        <f t="shared" si="113"/>
        <v>22nd</v>
      </c>
      <c r="H1856" s="4" t="str">
        <f t="shared" si="114"/>
        <v>July</v>
      </c>
      <c r="I1856" s="4" t="str">
        <f t="shared" si="115"/>
        <v>2019</v>
      </c>
      <c r="J1856" s="10" t="s">
        <v>9</v>
      </c>
    </row>
    <row r="1857" spans="1:10" x14ac:dyDescent="0.35">
      <c r="A1857" s="9" t="s">
        <v>2826</v>
      </c>
      <c r="B1857" s="3">
        <v>2</v>
      </c>
      <c r="C1857" s="4" t="str">
        <f t="shared" si="112"/>
        <v>Bad</v>
      </c>
      <c r="D1857" s="3" t="s">
        <v>2924</v>
      </c>
      <c r="E1857" s="3" t="s">
        <v>3619</v>
      </c>
      <c r="F1857" s="5" t="s">
        <v>3611</v>
      </c>
      <c r="G1857" s="4" t="str">
        <f t="shared" si="113"/>
        <v>22nd</v>
      </c>
      <c r="H1857" s="4" t="str">
        <f t="shared" si="114"/>
        <v>July</v>
      </c>
      <c r="I1857" s="4" t="str">
        <f t="shared" si="115"/>
        <v>2019</v>
      </c>
      <c r="J1857" s="10" t="s">
        <v>12</v>
      </c>
    </row>
    <row r="1858" spans="1:10" x14ac:dyDescent="0.35">
      <c r="A1858" s="9" t="s">
        <v>2826</v>
      </c>
      <c r="B1858" s="3">
        <v>1</v>
      </c>
      <c r="C1858" s="4" t="str">
        <f t="shared" si="112"/>
        <v>Bad</v>
      </c>
      <c r="D1858" s="3" t="s">
        <v>305</v>
      </c>
      <c r="E1858" s="3" t="s">
        <v>3620</v>
      </c>
      <c r="F1858" s="5" t="s">
        <v>3611</v>
      </c>
      <c r="G1858" s="4" t="str">
        <f t="shared" si="113"/>
        <v>22nd</v>
      </c>
      <c r="H1858" s="4" t="str">
        <f t="shared" si="114"/>
        <v>July</v>
      </c>
      <c r="I1858" s="4" t="str">
        <f t="shared" si="115"/>
        <v>2019</v>
      </c>
      <c r="J1858" s="10" t="s">
        <v>12</v>
      </c>
    </row>
    <row r="1859" spans="1:10" x14ac:dyDescent="0.35">
      <c r="A1859" s="9" t="s">
        <v>2826</v>
      </c>
      <c r="B1859" s="3">
        <v>1</v>
      </c>
      <c r="C1859" s="4" t="str">
        <f t="shared" ref="C1859:C1922" si="116">IF(B1859&gt;=8,"Good",IF(B1859&gt;=5,"Neutral","Bad"))</f>
        <v>Bad</v>
      </c>
      <c r="D1859" s="3" t="s">
        <v>3621</v>
      </c>
      <c r="E1859" s="3" t="s">
        <v>3622</v>
      </c>
      <c r="F1859" s="5" t="s">
        <v>3611</v>
      </c>
      <c r="G1859" s="4" t="str">
        <f t="shared" ref="G1859:G1922" si="117">LEFT(F1859, FIND(" ", F1859)-1)</f>
        <v>22nd</v>
      </c>
      <c r="H1859" s="4" t="str">
        <f t="shared" ref="H1859:H1922" si="118">TRIM(MID(F1859, FIND(" ", F1859)+1, FIND(" ", F1859, FIND(" ", F1859)+1) - FIND(" ", F1859)-1))</f>
        <v>July</v>
      </c>
      <c r="I1859" s="4" t="str">
        <f t="shared" ref="I1859:I1922" si="119">RIGHT(F1859, 4)</f>
        <v>2019</v>
      </c>
      <c r="J1859" s="10" t="s">
        <v>12</v>
      </c>
    </row>
    <row r="1860" spans="1:10" x14ac:dyDescent="0.35">
      <c r="A1860" s="9" t="s">
        <v>2826</v>
      </c>
      <c r="B1860" s="3">
        <v>1</v>
      </c>
      <c r="C1860" s="4" t="str">
        <f t="shared" si="116"/>
        <v>Bad</v>
      </c>
      <c r="D1860" s="3" t="s">
        <v>3623</v>
      </c>
      <c r="E1860" s="3" t="s">
        <v>3624</v>
      </c>
      <c r="F1860" s="5" t="s">
        <v>3611</v>
      </c>
      <c r="G1860" s="4" t="str">
        <f t="shared" si="117"/>
        <v>22nd</v>
      </c>
      <c r="H1860" s="4" t="str">
        <f t="shared" si="118"/>
        <v>July</v>
      </c>
      <c r="I1860" s="4" t="str">
        <f t="shared" si="119"/>
        <v>2019</v>
      </c>
      <c r="J1860" s="10" t="s">
        <v>12</v>
      </c>
    </row>
    <row r="1861" spans="1:10" x14ac:dyDescent="0.35">
      <c r="A1861" s="9" t="s">
        <v>2826</v>
      </c>
      <c r="B1861" s="3">
        <v>8</v>
      </c>
      <c r="C1861" s="4" t="str">
        <f t="shared" si="116"/>
        <v>Good</v>
      </c>
      <c r="D1861" s="3" t="s">
        <v>130</v>
      </c>
      <c r="E1861" s="3" t="s">
        <v>3625</v>
      </c>
      <c r="F1861" s="5" t="s">
        <v>3611</v>
      </c>
      <c r="G1861" s="4" t="str">
        <f t="shared" si="117"/>
        <v>22nd</v>
      </c>
      <c r="H1861" s="4" t="str">
        <f t="shared" si="118"/>
        <v>July</v>
      </c>
      <c r="I1861" s="4" t="str">
        <f t="shared" si="119"/>
        <v>2019</v>
      </c>
      <c r="J1861" s="10" t="s">
        <v>9</v>
      </c>
    </row>
    <row r="1862" spans="1:10" x14ac:dyDescent="0.35">
      <c r="A1862" s="9" t="s">
        <v>2826</v>
      </c>
      <c r="B1862" s="3">
        <v>1</v>
      </c>
      <c r="C1862" s="4" t="str">
        <f t="shared" si="116"/>
        <v>Bad</v>
      </c>
      <c r="D1862" s="3" t="s">
        <v>3626</v>
      </c>
      <c r="E1862" s="3" t="s">
        <v>3170</v>
      </c>
      <c r="F1862" s="5" t="s">
        <v>3627</v>
      </c>
      <c r="G1862" s="4" t="str">
        <f t="shared" si="117"/>
        <v>24th</v>
      </c>
      <c r="H1862" s="4" t="str">
        <f t="shared" si="118"/>
        <v>June</v>
      </c>
      <c r="I1862" s="4" t="str">
        <f t="shared" si="119"/>
        <v>2019</v>
      </c>
      <c r="J1862" s="10" t="s">
        <v>12</v>
      </c>
    </row>
    <row r="1863" spans="1:10" x14ac:dyDescent="0.35">
      <c r="A1863" s="9" t="s">
        <v>2826</v>
      </c>
      <c r="B1863" s="3">
        <v>8</v>
      </c>
      <c r="C1863" s="4" t="str">
        <f t="shared" si="116"/>
        <v>Good</v>
      </c>
      <c r="D1863" s="3" t="s">
        <v>3628</v>
      </c>
      <c r="E1863" s="3" t="s">
        <v>3629</v>
      </c>
      <c r="F1863" s="5" t="s">
        <v>3627</v>
      </c>
      <c r="G1863" s="4" t="str">
        <f t="shared" si="117"/>
        <v>24th</v>
      </c>
      <c r="H1863" s="4" t="str">
        <f t="shared" si="118"/>
        <v>June</v>
      </c>
      <c r="I1863" s="4" t="str">
        <f t="shared" si="119"/>
        <v>2019</v>
      </c>
      <c r="J1863" s="10" t="s">
        <v>9</v>
      </c>
    </row>
    <row r="1864" spans="1:10" x14ac:dyDescent="0.35">
      <c r="A1864" s="9" t="s">
        <v>2826</v>
      </c>
      <c r="B1864" s="3">
        <v>2</v>
      </c>
      <c r="C1864" s="4" t="str">
        <f t="shared" si="116"/>
        <v>Bad</v>
      </c>
      <c r="D1864" s="3" t="s">
        <v>3630</v>
      </c>
      <c r="E1864" s="3" t="s">
        <v>3631</v>
      </c>
      <c r="F1864" s="5" t="s">
        <v>3627</v>
      </c>
      <c r="G1864" s="4" t="str">
        <f t="shared" si="117"/>
        <v>24th</v>
      </c>
      <c r="H1864" s="4" t="str">
        <f t="shared" si="118"/>
        <v>June</v>
      </c>
      <c r="I1864" s="4" t="str">
        <f t="shared" si="119"/>
        <v>2019</v>
      </c>
      <c r="J1864" s="10" t="s">
        <v>12</v>
      </c>
    </row>
    <row r="1865" spans="1:10" x14ac:dyDescent="0.35">
      <c r="A1865" s="9" t="s">
        <v>2826</v>
      </c>
      <c r="B1865" s="3">
        <v>5</v>
      </c>
      <c r="C1865" s="4" t="str">
        <f t="shared" si="116"/>
        <v>Neutral</v>
      </c>
      <c r="D1865" s="3" t="s">
        <v>3632</v>
      </c>
      <c r="E1865" s="3" t="s">
        <v>3633</v>
      </c>
      <c r="F1865" s="5" t="s">
        <v>3627</v>
      </c>
      <c r="G1865" s="4" t="str">
        <f t="shared" si="117"/>
        <v>24th</v>
      </c>
      <c r="H1865" s="4" t="str">
        <f t="shared" si="118"/>
        <v>June</v>
      </c>
      <c r="I1865" s="4" t="str">
        <f t="shared" si="119"/>
        <v>2019</v>
      </c>
      <c r="J1865" s="10" t="s">
        <v>9</v>
      </c>
    </row>
    <row r="1866" spans="1:10" x14ac:dyDescent="0.35">
      <c r="A1866" s="9" t="s">
        <v>2826</v>
      </c>
      <c r="B1866" s="3">
        <v>1</v>
      </c>
      <c r="C1866" s="4" t="str">
        <f t="shared" si="116"/>
        <v>Bad</v>
      </c>
      <c r="D1866" s="3" t="s">
        <v>3634</v>
      </c>
      <c r="E1866" s="3" t="s">
        <v>3635</v>
      </c>
      <c r="F1866" s="5" t="s">
        <v>3627</v>
      </c>
      <c r="G1866" s="4" t="str">
        <f t="shared" si="117"/>
        <v>24th</v>
      </c>
      <c r="H1866" s="4" t="str">
        <f t="shared" si="118"/>
        <v>June</v>
      </c>
      <c r="I1866" s="4" t="str">
        <f t="shared" si="119"/>
        <v>2019</v>
      </c>
      <c r="J1866" s="10" t="s">
        <v>12</v>
      </c>
    </row>
    <row r="1867" spans="1:10" x14ac:dyDescent="0.35">
      <c r="A1867" s="9" t="s">
        <v>2826</v>
      </c>
      <c r="B1867" s="3">
        <v>3</v>
      </c>
      <c r="C1867" s="4" t="str">
        <f t="shared" si="116"/>
        <v>Bad</v>
      </c>
      <c r="D1867" s="3" t="s">
        <v>3636</v>
      </c>
      <c r="E1867" s="3" t="s">
        <v>3637</v>
      </c>
      <c r="F1867" s="5" t="s">
        <v>3627</v>
      </c>
      <c r="G1867" s="4" t="str">
        <f t="shared" si="117"/>
        <v>24th</v>
      </c>
      <c r="H1867" s="4" t="str">
        <f t="shared" si="118"/>
        <v>June</v>
      </c>
      <c r="I1867" s="4" t="str">
        <f t="shared" si="119"/>
        <v>2019</v>
      </c>
      <c r="J1867" s="10" t="s">
        <v>12</v>
      </c>
    </row>
    <row r="1868" spans="1:10" x14ac:dyDescent="0.35">
      <c r="A1868" s="9" t="s">
        <v>2826</v>
      </c>
      <c r="B1868" s="3">
        <v>2</v>
      </c>
      <c r="C1868" s="4" t="str">
        <f t="shared" si="116"/>
        <v>Bad</v>
      </c>
      <c r="D1868" s="3" t="s">
        <v>3638</v>
      </c>
      <c r="E1868" s="3" t="s">
        <v>3639</v>
      </c>
      <c r="F1868" s="5" t="s">
        <v>3627</v>
      </c>
      <c r="G1868" s="4" t="str">
        <f t="shared" si="117"/>
        <v>24th</v>
      </c>
      <c r="H1868" s="4" t="str">
        <f t="shared" si="118"/>
        <v>June</v>
      </c>
      <c r="I1868" s="4" t="str">
        <f t="shared" si="119"/>
        <v>2019</v>
      </c>
      <c r="J1868" s="10" t="s">
        <v>12</v>
      </c>
    </row>
    <row r="1869" spans="1:10" x14ac:dyDescent="0.35">
      <c r="A1869" s="9" t="s">
        <v>2826</v>
      </c>
      <c r="B1869" s="3">
        <v>1</v>
      </c>
      <c r="C1869" s="4" t="str">
        <f t="shared" si="116"/>
        <v>Bad</v>
      </c>
      <c r="D1869" s="3" t="s">
        <v>3640</v>
      </c>
      <c r="E1869" s="3" t="s">
        <v>3641</v>
      </c>
      <c r="F1869" s="5" t="s">
        <v>3627</v>
      </c>
      <c r="G1869" s="4" t="str">
        <f t="shared" si="117"/>
        <v>24th</v>
      </c>
      <c r="H1869" s="4" t="str">
        <f t="shared" si="118"/>
        <v>June</v>
      </c>
      <c r="I1869" s="4" t="str">
        <f t="shared" si="119"/>
        <v>2019</v>
      </c>
      <c r="J1869" s="10" t="s">
        <v>12</v>
      </c>
    </row>
    <row r="1870" spans="1:10" x14ac:dyDescent="0.35">
      <c r="A1870" s="9" t="s">
        <v>2826</v>
      </c>
      <c r="B1870" s="3">
        <v>1</v>
      </c>
      <c r="C1870" s="4" t="str">
        <f t="shared" si="116"/>
        <v>Bad</v>
      </c>
      <c r="D1870" s="3" t="s">
        <v>3642</v>
      </c>
      <c r="E1870" s="3" t="s">
        <v>3643</v>
      </c>
      <c r="F1870" s="5" t="s">
        <v>3627</v>
      </c>
      <c r="G1870" s="4" t="str">
        <f t="shared" si="117"/>
        <v>24th</v>
      </c>
      <c r="H1870" s="4" t="str">
        <f t="shared" si="118"/>
        <v>June</v>
      </c>
      <c r="I1870" s="4" t="str">
        <f t="shared" si="119"/>
        <v>2019</v>
      </c>
      <c r="J1870" s="10" t="s">
        <v>12</v>
      </c>
    </row>
    <row r="1871" spans="1:10" x14ac:dyDescent="0.35">
      <c r="A1871" s="9" t="s">
        <v>2826</v>
      </c>
      <c r="B1871" s="3">
        <v>2</v>
      </c>
      <c r="C1871" s="4" t="str">
        <f t="shared" si="116"/>
        <v>Bad</v>
      </c>
      <c r="D1871" s="3" t="s">
        <v>3644</v>
      </c>
      <c r="E1871" s="3" t="s">
        <v>3645</v>
      </c>
      <c r="F1871" s="5" t="s">
        <v>3627</v>
      </c>
      <c r="G1871" s="4" t="str">
        <f t="shared" si="117"/>
        <v>24th</v>
      </c>
      <c r="H1871" s="4" t="str">
        <f t="shared" si="118"/>
        <v>June</v>
      </c>
      <c r="I1871" s="4" t="str">
        <f t="shared" si="119"/>
        <v>2019</v>
      </c>
      <c r="J1871" s="10" t="s">
        <v>12</v>
      </c>
    </row>
    <row r="1872" spans="1:10" x14ac:dyDescent="0.35">
      <c r="A1872" s="9" t="s">
        <v>2826</v>
      </c>
      <c r="B1872" s="3">
        <v>3</v>
      </c>
      <c r="C1872" s="4" t="str">
        <f t="shared" si="116"/>
        <v>Bad</v>
      </c>
      <c r="D1872" s="3" t="s">
        <v>3646</v>
      </c>
      <c r="E1872" s="3" t="s">
        <v>3647</v>
      </c>
      <c r="F1872" s="5" t="s">
        <v>3648</v>
      </c>
      <c r="G1872" s="4" t="str">
        <f t="shared" si="117"/>
        <v>29th</v>
      </c>
      <c r="H1872" s="4" t="str">
        <f t="shared" si="118"/>
        <v>May</v>
      </c>
      <c r="I1872" s="4" t="str">
        <f t="shared" si="119"/>
        <v>2019</v>
      </c>
      <c r="J1872" s="10" t="s">
        <v>12</v>
      </c>
    </row>
    <row r="1873" spans="1:10" x14ac:dyDescent="0.35">
      <c r="A1873" s="9" t="s">
        <v>2826</v>
      </c>
      <c r="B1873" s="3">
        <v>3</v>
      </c>
      <c r="C1873" s="4" t="str">
        <f t="shared" si="116"/>
        <v>Bad</v>
      </c>
      <c r="D1873" s="3" t="s">
        <v>1413</v>
      </c>
      <c r="E1873" s="3" t="s">
        <v>3649</v>
      </c>
      <c r="F1873" s="5" t="s">
        <v>3648</v>
      </c>
      <c r="G1873" s="4" t="str">
        <f t="shared" si="117"/>
        <v>29th</v>
      </c>
      <c r="H1873" s="4" t="str">
        <f t="shared" si="118"/>
        <v>May</v>
      </c>
      <c r="I1873" s="4" t="str">
        <f t="shared" si="119"/>
        <v>2019</v>
      </c>
      <c r="J1873" s="10" t="s">
        <v>12</v>
      </c>
    </row>
    <row r="1874" spans="1:10" x14ac:dyDescent="0.35">
      <c r="A1874" s="9" t="s">
        <v>2826</v>
      </c>
      <c r="B1874" s="3">
        <v>1</v>
      </c>
      <c r="C1874" s="4" t="str">
        <f t="shared" si="116"/>
        <v>Bad</v>
      </c>
      <c r="D1874" s="3" t="s">
        <v>3650</v>
      </c>
      <c r="E1874" s="3" t="s">
        <v>3651</v>
      </c>
      <c r="F1874" s="5" t="s">
        <v>3648</v>
      </c>
      <c r="G1874" s="4" t="str">
        <f t="shared" si="117"/>
        <v>29th</v>
      </c>
      <c r="H1874" s="4" t="str">
        <f t="shared" si="118"/>
        <v>May</v>
      </c>
      <c r="I1874" s="4" t="str">
        <f t="shared" si="119"/>
        <v>2019</v>
      </c>
      <c r="J1874" s="10" t="s">
        <v>12</v>
      </c>
    </row>
    <row r="1875" spans="1:10" x14ac:dyDescent="0.35">
      <c r="A1875" s="9" t="s">
        <v>2826</v>
      </c>
      <c r="B1875" s="3">
        <v>1</v>
      </c>
      <c r="C1875" s="4" t="str">
        <f t="shared" si="116"/>
        <v>Bad</v>
      </c>
      <c r="D1875" s="3" t="s">
        <v>3652</v>
      </c>
      <c r="E1875" s="3" t="s">
        <v>3651</v>
      </c>
      <c r="F1875" s="5" t="s">
        <v>3648</v>
      </c>
      <c r="G1875" s="4" t="str">
        <f t="shared" si="117"/>
        <v>29th</v>
      </c>
      <c r="H1875" s="4" t="str">
        <f t="shared" si="118"/>
        <v>May</v>
      </c>
      <c r="I1875" s="4" t="str">
        <f t="shared" si="119"/>
        <v>2019</v>
      </c>
      <c r="J1875" s="10" t="s">
        <v>12</v>
      </c>
    </row>
    <row r="1876" spans="1:10" x14ac:dyDescent="0.35">
      <c r="A1876" s="9" t="s">
        <v>2826</v>
      </c>
      <c r="B1876" s="3">
        <v>1</v>
      </c>
      <c r="C1876" s="4" t="str">
        <f t="shared" si="116"/>
        <v>Bad</v>
      </c>
      <c r="D1876" s="3" t="s">
        <v>3653</v>
      </c>
      <c r="E1876" s="3" t="s">
        <v>3654</v>
      </c>
      <c r="F1876" s="5" t="s">
        <v>3648</v>
      </c>
      <c r="G1876" s="4" t="str">
        <f t="shared" si="117"/>
        <v>29th</v>
      </c>
      <c r="H1876" s="4" t="str">
        <f t="shared" si="118"/>
        <v>May</v>
      </c>
      <c r="I1876" s="4" t="str">
        <f t="shared" si="119"/>
        <v>2019</v>
      </c>
      <c r="J1876" s="10" t="s">
        <v>12</v>
      </c>
    </row>
    <row r="1877" spans="1:10" x14ac:dyDescent="0.35">
      <c r="A1877" s="9" t="s">
        <v>2826</v>
      </c>
      <c r="B1877" s="3">
        <v>2</v>
      </c>
      <c r="C1877" s="4" t="str">
        <f t="shared" si="116"/>
        <v>Bad</v>
      </c>
      <c r="D1877" s="3" t="s">
        <v>3655</v>
      </c>
      <c r="E1877" s="3" t="s">
        <v>3656</v>
      </c>
      <c r="F1877" s="5" t="s">
        <v>3648</v>
      </c>
      <c r="G1877" s="4" t="str">
        <f t="shared" si="117"/>
        <v>29th</v>
      </c>
      <c r="H1877" s="4" t="str">
        <f t="shared" si="118"/>
        <v>May</v>
      </c>
      <c r="I1877" s="4" t="str">
        <f t="shared" si="119"/>
        <v>2019</v>
      </c>
      <c r="J1877" s="10" t="s">
        <v>12</v>
      </c>
    </row>
    <row r="1878" spans="1:10" x14ac:dyDescent="0.35">
      <c r="A1878" s="9" t="s">
        <v>2826</v>
      </c>
      <c r="B1878" s="3">
        <v>2</v>
      </c>
      <c r="C1878" s="4" t="str">
        <f t="shared" si="116"/>
        <v>Bad</v>
      </c>
      <c r="D1878" s="3" t="s">
        <v>3657</v>
      </c>
      <c r="E1878" s="3" t="s">
        <v>3658</v>
      </c>
      <c r="F1878" s="5" t="s">
        <v>3648</v>
      </c>
      <c r="G1878" s="4" t="str">
        <f t="shared" si="117"/>
        <v>29th</v>
      </c>
      <c r="H1878" s="4" t="str">
        <f t="shared" si="118"/>
        <v>May</v>
      </c>
      <c r="I1878" s="4" t="str">
        <f t="shared" si="119"/>
        <v>2019</v>
      </c>
      <c r="J1878" s="10" t="s">
        <v>12</v>
      </c>
    </row>
    <row r="1879" spans="1:10" x14ac:dyDescent="0.35">
      <c r="A1879" s="9" t="s">
        <v>2826</v>
      </c>
      <c r="B1879" s="3">
        <v>7</v>
      </c>
      <c r="C1879" s="4" t="str">
        <f t="shared" si="116"/>
        <v>Neutral</v>
      </c>
      <c r="D1879" s="3" t="s">
        <v>3659</v>
      </c>
      <c r="E1879" s="3" t="s">
        <v>3660</v>
      </c>
      <c r="F1879" s="5" t="s">
        <v>3648</v>
      </c>
      <c r="G1879" s="4" t="str">
        <f t="shared" si="117"/>
        <v>29th</v>
      </c>
      <c r="H1879" s="4" t="str">
        <f t="shared" si="118"/>
        <v>May</v>
      </c>
      <c r="I1879" s="4" t="str">
        <f t="shared" si="119"/>
        <v>2019</v>
      </c>
      <c r="J1879" s="10" t="s">
        <v>9</v>
      </c>
    </row>
    <row r="1880" spans="1:10" x14ac:dyDescent="0.35">
      <c r="A1880" s="9" t="s">
        <v>2826</v>
      </c>
      <c r="B1880" s="3">
        <v>7</v>
      </c>
      <c r="C1880" s="4" t="str">
        <f t="shared" si="116"/>
        <v>Neutral</v>
      </c>
      <c r="D1880" s="3" t="s">
        <v>3661</v>
      </c>
      <c r="E1880" s="3" t="s">
        <v>551</v>
      </c>
      <c r="F1880" s="5" t="s">
        <v>3648</v>
      </c>
      <c r="G1880" s="4" t="str">
        <f t="shared" si="117"/>
        <v>29th</v>
      </c>
      <c r="H1880" s="4" t="str">
        <f t="shared" si="118"/>
        <v>May</v>
      </c>
      <c r="I1880" s="4" t="str">
        <f t="shared" si="119"/>
        <v>2019</v>
      </c>
      <c r="J1880" s="10" t="s">
        <v>9</v>
      </c>
    </row>
    <row r="1881" spans="1:10" x14ac:dyDescent="0.35">
      <c r="A1881" s="9" t="s">
        <v>2826</v>
      </c>
      <c r="B1881" s="3">
        <v>7</v>
      </c>
      <c r="C1881" s="4" t="str">
        <f t="shared" si="116"/>
        <v>Neutral</v>
      </c>
      <c r="D1881" s="3" t="s">
        <v>3662</v>
      </c>
      <c r="E1881" s="3" t="s">
        <v>3663</v>
      </c>
      <c r="F1881" s="5" t="s">
        <v>3648</v>
      </c>
      <c r="G1881" s="4" t="str">
        <f t="shared" si="117"/>
        <v>29th</v>
      </c>
      <c r="H1881" s="4" t="str">
        <f t="shared" si="118"/>
        <v>May</v>
      </c>
      <c r="I1881" s="4" t="str">
        <f t="shared" si="119"/>
        <v>2019</v>
      </c>
      <c r="J1881" s="10" t="s">
        <v>9</v>
      </c>
    </row>
    <row r="1882" spans="1:10" x14ac:dyDescent="0.35">
      <c r="A1882" s="9" t="s">
        <v>2826</v>
      </c>
      <c r="B1882" s="3">
        <v>8</v>
      </c>
      <c r="C1882" s="4" t="str">
        <f t="shared" si="116"/>
        <v>Good</v>
      </c>
      <c r="D1882" s="3" t="s">
        <v>3664</v>
      </c>
      <c r="E1882" s="3" t="s">
        <v>3665</v>
      </c>
      <c r="F1882" s="5" t="s">
        <v>3666</v>
      </c>
      <c r="G1882" s="4" t="str">
        <f t="shared" si="117"/>
        <v>6th</v>
      </c>
      <c r="H1882" s="4" t="str">
        <f t="shared" si="118"/>
        <v>May</v>
      </c>
      <c r="I1882" s="4" t="str">
        <f t="shared" si="119"/>
        <v>2019</v>
      </c>
      <c r="J1882" s="10" t="s">
        <v>9</v>
      </c>
    </row>
    <row r="1883" spans="1:10" x14ac:dyDescent="0.35">
      <c r="A1883" s="9" t="s">
        <v>2826</v>
      </c>
      <c r="B1883" s="3">
        <v>1</v>
      </c>
      <c r="C1883" s="4" t="str">
        <f t="shared" si="116"/>
        <v>Bad</v>
      </c>
      <c r="D1883" s="3" t="s">
        <v>3667</v>
      </c>
      <c r="E1883" s="3" t="s">
        <v>3668</v>
      </c>
      <c r="F1883" s="5" t="s">
        <v>3666</v>
      </c>
      <c r="G1883" s="4" t="str">
        <f t="shared" si="117"/>
        <v>6th</v>
      </c>
      <c r="H1883" s="4" t="str">
        <f t="shared" si="118"/>
        <v>May</v>
      </c>
      <c r="I1883" s="4" t="str">
        <f t="shared" si="119"/>
        <v>2019</v>
      </c>
      <c r="J1883" s="10" t="s">
        <v>12</v>
      </c>
    </row>
    <row r="1884" spans="1:10" x14ac:dyDescent="0.35">
      <c r="A1884" s="9" t="s">
        <v>2826</v>
      </c>
      <c r="B1884" s="3">
        <v>3</v>
      </c>
      <c r="C1884" s="4" t="str">
        <f t="shared" si="116"/>
        <v>Bad</v>
      </c>
      <c r="D1884" s="3" t="s">
        <v>3669</v>
      </c>
      <c r="E1884" s="3" t="s">
        <v>3670</v>
      </c>
      <c r="F1884" s="5" t="s">
        <v>3666</v>
      </c>
      <c r="G1884" s="4" t="str">
        <f t="shared" si="117"/>
        <v>6th</v>
      </c>
      <c r="H1884" s="4" t="str">
        <f t="shared" si="118"/>
        <v>May</v>
      </c>
      <c r="I1884" s="4" t="str">
        <f t="shared" si="119"/>
        <v>2019</v>
      </c>
      <c r="J1884" s="10" t="s">
        <v>12</v>
      </c>
    </row>
    <row r="1885" spans="1:10" x14ac:dyDescent="0.35">
      <c r="A1885" s="9" t="s">
        <v>2826</v>
      </c>
      <c r="B1885" s="3">
        <v>1</v>
      </c>
      <c r="C1885" s="4" t="str">
        <f t="shared" si="116"/>
        <v>Bad</v>
      </c>
      <c r="D1885" s="3" t="s">
        <v>3671</v>
      </c>
      <c r="E1885" s="3" t="s">
        <v>3672</v>
      </c>
      <c r="F1885" s="5" t="s">
        <v>3666</v>
      </c>
      <c r="G1885" s="4" t="str">
        <f t="shared" si="117"/>
        <v>6th</v>
      </c>
      <c r="H1885" s="4" t="str">
        <f t="shared" si="118"/>
        <v>May</v>
      </c>
      <c r="I1885" s="4" t="str">
        <f t="shared" si="119"/>
        <v>2019</v>
      </c>
      <c r="J1885" s="10" t="s">
        <v>12</v>
      </c>
    </row>
    <row r="1886" spans="1:10" x14ac:dyDescent="0.35">
      <c r="A1886" s="9" t="s">
        <v>2826</v>
      </c>
      <c r="B1886" s="3">
        <v>3</v>
      </c>
      <c r="C1886" s="4" t="str">
        <f t="shared" si="116"/>
        <v>Bad</v>
      </c>
      <c r="D1886" s="3" t="s">
        <v>3673</v>
      </c>
      <c r="E1886" s="3" t="s">
        <v>3674</v>
      </c>
      <c r="F1886" s="5" t="s">
        <v>3666</v>
      </c>
      <c r="G1886" s="4" t="str">
        <f t="shared" si="117"/>
        <v>6th</v>
      </c>
      <c r="H1886" s="4" t="str">
        <f t="shared" si="118"/>
        <v>May</v>
      </c>
      <c r="I1886" s="4" t="str">
        <f t="shared" si="119"/>
        <v>2019</v>
      </c>
      <c r="J1886" s="10" t="s">
        <v>12</v>
      </c>
    </row>
    <row r="1887" spans="1:10" x14ac:dyDescent="0.35">
      <c r="A1887" s="9" t="s">
        <v>2826</v>
      </c>
      <c r="B1887" s="3">
        <v>10</v>
      </c>
      <c r="C1887" s="4" t="str">
        <f t="shared" si="116"/>
        <v>Good</v>
      </c>
      <c r="D1887" s="3" t="s">
        <v>3675</v>
      </c>
      <c r="E1887" s="3" t="s">
        <v>3676</v>
      </c>
      <c r="F1887" s="5" t="s">
        <v>3666</v>
      </c>
      <c r="G1887" s="4" t="str">
        <f t="shared" si="117"/>
        <v>6th</v>
      </c>
      <c r="H1887" s="4" t="str">
        <f t="shared" si="118"/>
        <v>May</v>
      </c>
      <c r="I1887" s="4" t="str">
        <f t="shared" si="119"/>
        <v>2019</v>
      </c>
      <c r="J1887" s="10" t="s">
        <v>9</v>
      </c>
    </row>
    <row r="1888" spans="1:10" x14ac:dyDescent="0.35">
      <c r="A1888" s="9" t="s">
        <v>2826</v>
      </c>
      <c r="B1888" s="3">
        <v>1</v>
      </c>
      <c r="C1888" s="4" t="str">
        <f t="shared" si="116"/>
        <v>Bad</v>
      </c>
      <c r="D1888" s="3" t="s">
        <v>3677</v>
      </c>
      <c r="E1888" s="3" t="s">
        <v>3678</v>
      </c>
      <c r="F1888" s="5" t="s">
        <v>3666</v>
      </c>
      <c r="G1888" s="4" t="str">
        <f t="shared" si="117"/>
        <v>6th</v>
      </c>
      <c r="H1888" s="4" t="str">
        <f t="shared" si="118"/>
        <v>May</v>
      </c>
      <c r="I1888" s="4" t="str">
        <f t="shared" si="119"/>
        <v>2019</v>
      </c>
      <c r="J1888" s="10" t="s">
        <v>12</v>
      </c>
    </row>
    <row r="1889" spans="1:10" x14ac:dyDescent="0.35">
      <c r="A1889" s="9" t="s">
        <v>2826</v>
      </c>
      <c r="B1889" s="3">
        <v>1</v>
      </c>
      <c r="C1889" s="4" t="str">
        <f t="shared" si="116"/>
        <v>Bad</v>
      </c>
      <c r="D1889" s="3" t="s">
        <v>3679</v>
      </c>
      <c r="E1889" s="3" t="s">
        <v>3680</v>
      </c>
      <c r="F1889" s="5" t="s">
        <v>3666</v>
      </c>
      <c r="G1889" s="4" t="str">
        <f t="shared" si="117"/>
        <v>6th</v>
      </c>
      <c r="H1889" s="4" t="str">
        <f t="shared" si="118"/>
        <v>May</v>
      </c>
      <c r="I1889" s="4" t="str">
        <f t="shared" si="119"/>
        <v>2019</v>
      </c>
      <c r="J1889" s="10" t="s">
        <v>12</v>
      </c>
    </row>
    <row r="1890" spans="1:10" x14ac:dyDescent="0.35">
      <c r="A1890" s="9" t="s">
        <v>2826</v>
      </c>
      <c r="B1890" s="3">
        <v>3</v>
      </c>
      <c r="C1890" s="4" t="str">
        <f t="shared" si="116"/>
        <v>Bad</v>
      </c>
      <c r="D1890" s="3" t="s">
        <v>3681</v>
      </c>
      <c r="E1890" s="3" t="s">
        <v>3682</v>
      </c>
      <c r="F1890" s="5" t="s">
        <v>3666</v>
      </c>
      <c r="G1890" s="4" t="str">
        <f t="shared" si="117"/>
        <v>6th</v>
      </c>
      <c r="H1890" s="4" t="str">
        <f t="shared" si="118"/>
        <v>May</v>
      </c>
      <c r="I1890" s="4" t="str">
        <f t="shared" si="119"/>
        <v>2019</v>
      </c>
      <c r="J1890" s="10" t="s">
        <v>12</v>
      </c>
    </row>
    <row r="1891" spans="1:10" x14ac:dyDescent="0.35">
      <c r="A1891" s="9" t="s">
        <v>2826</v>
      </c>
      <c r="B1891" s="3">
        <v>4</v>
      </c>
      <c r="C1891" s="4" t="str">
        <f t="shared" si="116"/>
        <v>Bad</v>
      </c>
      <c r="D1891" s="3" t="s">
        <v>3683</v>
      </c>
      <c r="E1891" s="3" t="s">
        <v>3684</v>
      </c>
      <c r="F1891" s="5" t="s">
        <v>3666</v>
      </c>
      <c r="G1891" s="4" t="str">
        <f t="shared" si="117"/>
        <v>6th</v>
      </c>
      <c r="H1891" s="4" t="str">
        <f t="shared" si="118"/>
        <v>May</v>
      </c>
      <c r="I1891" s="4" t="str">
        <f t="shared" si="119"/>
        <v>2019</v>
      </c>
      <c r="J1891" s="10" t="s">
        <v>12</v>
      </c>
    </row>
    <row r="1892" spans="1:10" x14ac:dyDescent="0.35">
      <c r="A1892" s="9" t="s">
        <v>2826</v>
      </c>
      <c r="B1892" s="3">
        <v>2</v>
      </c>
      <c r="C1892" s="4" t="str">
        <f t="shared" si="116"/>
        <v>Bad</v>
      </c>
      <c r="D1892" s="3" t="s">
        <v>3685</v>
      </c>
      <c r="E1892" s="3" t="s">
        <v>3686</v>
      </c>
      <c r="F1892" s="5" t="s">
        <v>3687</v>
      </c>
      <c r="G1892" s="4" t="str">
        <f t="shared" si="117"/>
        <v>21st</v>
      </c>
      <c r="H1892" s="4" t="str">
        <f t="shared" si="118"/>
        <v>April</v>
      </c>
      <c r="I1892" s="4" t="str">
        <f t="shared" si="119"/>
        <v>2019</v>
      </c>
      <c r="J1892" s="10" t="s">
        <v>12</v>
      </c>
    </row>
    <row r="1893" spans="1:10" x14ac:dyDescent="0.35">
      <c r="A1893" s="9" t="s">
        <v>2826</v>
      </c>
      <c r="B1893" s="3">
        <v>1</v>
      </c>
      <c r="C1893" s="4" t="str">
        <f t="shared" si="116"/>
        <v>Bad</v>
      </c>
      <c r="D1893" s="3" t="s">
        <v>3688</v>
      </c>
      <c r="E1893" s="3" t="s">
        <v>3689</v>
      </c>
      <c r="F1893" s="5" t="s">
        <v>3687</v>
      </c>
      <c r="G1893" s="4" t="str">
        <f t="shared" si="117"/>
        <v>21st</v>
      </c>
      <c r="H1893" s="4" t="str">
        <f t="shared" si="118"/>
        <v>April</v>
      </c>
      <c r="I1893" s="4" t="str">
        <f t="shared" si="119"/>
        <v>2019</v>
      </c>
      <c r="J1893" s="10" t="s">
        <v>12</v>
      </c>
    </row>
    <row r="1894" spans="1:10" x14ac:dyDescent="0.35">
      <c r="A1894" s="9" t="s">
        <v>2826</v>
      </c>
      <c r="B1894" s="3">
        <v>1</v>
      </c>
      <c r="C1894" s="4" t="str">
        <f t="shared" si="116"/>
        <v>Bad</v>
      </c>
      <c r="D1894" s="3" t="s">
        <v>3690</v>
      </c>
      <c r="E1894" s="3" t="s">
        <v>3691</v>
      </c>
      <c r="F1894" s="5" t="s">
        <v>3687</v>
      </c>
      <c r="G1894" s="4" t="str">
        <f t="shared" si="117"/>
        <v>21st</v>
      </c>
      <c r="H1894" s="4" t="str">
        <f t="shared" si="118"/>
        <v>April</v>
      </c>
      <c r="I1894" s="4" t="str">
        <f t="shared" si="119"/>
        <v>2019</v>
      </c>
      <c r="J1894" s="10" t="s">
        <v>12</v>
      </c>
    </row>
    <row r="1895" spans="1:10" x14ac:dyDescent="0.35">
      <c r="A1895" s="9" t="s">
        <v>2826</v>
      </c>
      <c r="B1895" s="3">
        <v>10</v>
      </c>
      <c r="C1895" s="4" t="str">
        <f t="shared" si="116"/>
        <v>Good</v>
      </c>
      <c r="D1895" s="3" t="s">
        <v>3692</v>
      </c>
      <c r="E1895" s="3" t="s">
        <v>3693</v>
      </c>
      <c r="F1895" s="5" t="s">
        <v>3687</v>
      </c>
      <c r="G1895" s="4" t="str">
        <f t="shared" si="117"/>
        <v>21st</v>
      </c>
      <c r="H1895" s="4" t="str">
        <f t="shared" si="118"/>
        <v>April</v>
      </c>
      <c r="I1895" s="4" t="str">
        <f t="shared" si="119"/>
        <v>2019</v>
      </c>
      <c r="J1895" s="10" t="s">
        <v>9</v>
      </c>
    </row>
    <row r="1896" spans="1:10" x14ac:dyDescent="0.35">
      <c r="A1896" s="9" t="s">
        <v>2826</v>
      </c>
      <c r="B1896" s="3">
        <v>1</v>
      </c>
      <c r="C1896" s="4" t="str">
        <f t="shared" si="116"/>
        <v>Bad</v>
      </c>
      <c r="D1896" s="3" t="s">
        <v>3694</v>
      </c>
      <c r="E1896" s="3" t="s">
        <v>3695</v>
      </c>
      <c r="F1896" s="5" t="s">
        <v>3687</v>
      </c>
      <c r="G1896" s="4" t="str">
        <f t="shared" si="117"/>
        <v>21st</v>
      </c>
      <c r="H1896" s="4" t="str">
        <f t="shared" si="118"/>
        <v>April</v>
      </c>
      <c r="I1896" s="4" t="str">
        <f t="shared" si="119"/>
        <v>2019</v>
      </c>
      <c r="J1896" s="10" t="s">
        <v>12</v>
      </c>
    </row>
    <row r="1897" spans="1:10" x14ac:dyDescent="0.35">
      <c r="A1897" s="9" t="s">
        <v>2826</v>
      </c>
      <c r="B1897" s="3">
        <v>1</v>
      </c>
      <c r="C1897" s="4" t="str">
        <f t="shared" si="116"/>
        <v>Bad</v>
      </c>
      <c r="D1897" s="3" t="s">
        <v>3696</v>
      </c>
      <c r="E1897" s="3" t="s">
        <v>3697</v>
      </c>
      <c r="F1897" s="5" t="s">
        <v>3687</v>
      </c>
      <c r="G1897" s="4" t="str">
        <f t="shared" si="117"/>
        <v>21st</v>
      </c>
      <c r="H1897" s="4" t="str">
        <f t="shared" si="118"/>
        <v>April</v>
      </c>
      <c r="I1897" s="4" t="str">
        <f t="shared" si="119"/>
        <v>2019</v>
      </c>
      <c r="J1897" s="10" t="s">
        <v>12</v>
      </c>
    </row>
    <row r="1898" spans="1:10" x14ac:dyDescent="0.35">
      <c r="A1898" s="9" t="s">
        <v>2826</v>
      </c>
      <c r="B1898" s="3">
        <v>1</v>
      </c>
      <c r="C1898" s="4" t="str">
        <f t="shared" si="116"/>
        <v>Bad</v>
      </c>
      <c r="D1898" s="3" t="s">
        <v>3698</v>
      </c>
      <c r="E1898" s="3" t="s">
        <v>3699</v>
      </c>
      <c r="F1898" s="5" t="s">
        <v>3687</v>
      </c>
      <c r="G1898" s="4" t="str">
        <f t="shared" si="117"/>
        <v>21st</v>
      </c>
      <c r="H1898" s="4" t="str">
        <f t="shared" si="118"/>
        <v>April</v>
      </c>
      <c r="I1898" s="4" t="str">
        <f t="shared" si="119"/>
        <v>2019</v>
      </c>
      <c r="J1898" s="10" t="s">
        <v>12</v>
      </c>
    </row>
    <row r="1899" spans="1:10" x14ac:dyDescent="0.35">
      <c r="A1899" s="9" t="s">
        <v>2826</v>
      </c>
      <c r="B1899" s="3">
        <v>6</v>
      </c>
      <c r="C1899" s="4" t="str">
        <f t="shared" si="116"/>
        <v>Neutral</v>
      </c>
      <c r="D1899" s="3" t="s">
        <v>3700</v>
      </c>
      <c r="E1899" s="3" t="s">
        <v>3701</v>
      </c>
      <c r="F1899" s="5" t="s">
        <v>3687</v>
      </c>
      <c r="G1899" s="4" t="str">
        <f t="shared" si="117"/>
        <v>21st</v>
      </c>
      <c r="H1899" s="4" t="str">
        <f t="shared" si="118"/>
        <v>April</v>
      </c>
      <c r="I1899" s="4" t="str">
        <f t="shared" si="119"/>
        <v>2019</v>
      </c>
      <c r="J1899" s="10" t="s">
        <v>9</v>
      </c>
    </row>
    <row r="1900" spans="1:10" x14ac:dyDescent="0.35">
      <c r="A1900" s="9" t="s">
        <v>2826</v>
      </c>
      <c r="B1900" s="3">
        <v>5</v>
      </c>
      <c r="C1900" s="4" t="str">
        <f t="shared" si="116"/>
        <v>Neutral</v>
      </c>
      <c r="D1900" s="3" t="s">
        <v>3702</v>
      </c>
      <c r="E1900" s="3" t="s">
        <v>3703</v>
      </c>
      <c r="F1900" s="5" t="s">
        <v>3687</v>
      </c>
      <c r="G1900" s="4" t="str">
        <f t="shared" si="117"/>
        <v>21st</v>
      </c>
      <c r="H1900" s="4" t="str">
        <f t="shared" si="118"/>
        <v>April</v>
      </c>
      <c r="I1900" s="4" t="str">
        <f t="shared" si="119"/>
        <v>2019</v>
      </c>
      <c r="J1900" s="10" t="s">
        <v>9</v>
      </c>
    </row>
    <row r="1901" spans="1:10" x14ac:dyDescent="0.35">
      <c r="A1901" s="9" t="s">
        <v>2826</v>
      </c>
      <c r="B1901" s="3">
        <v>6</v>
      </c>
      <c r="C1901" s="4" t="str">
        <f t="shared" si="116"/>
        <v>Neutral</v>
      </c>
      <c r="D1901" s="3" t="s">
        <v>3344</v>
      </c>
      <c r="E1901" s="3" t="s">
        <v>3704</v>
      </c>
      <c r="F1901" s="5" t="s">
        <v>3687</v>
      </c>
      <c r="G1901" s="4" t="str">
        <f t="shared" si="117"/>
        <v>21st</v>
      </c>
      <c r="H1901" s="4" t="str">
        <f t="shared" si="118"/>
        <v>April</v>
      </c>
      <c r="I1901" s="4" t="str">
        <f t="shared" si="119"/>
        <v>2019</v>
      </c>
      <c r="J1901" s="10" t="s">
        <v>9</v>
      </c>
    </row>
    <row r="1902" spans="1:10" x14ac:dyDescent="0.35">
      <c r="A1902" s="9" t="s">
        <v>2826</v>
      </c>
      <c r="B1902" s="3">
        <v>6</v>
      </c>
      <c r="C1902" s="4" t="str">
        <f t="shared" si="116"/>
        <v>Neutral</v>
      </c>
      <c r="D1902" s="3" t="s">
        <v>3705</v>
      </c>
      <c r="E1902" s="3" t="s">
        <v>1450</v>
      </c>
      <c r="F1902" s="5" t="s">
        <v>3706</v>
      </c>
      <c r="G1902" s="4" t="str">
        <f t="shared" si="117"/>
        <v>28th</v>
      </c>
      <c r="H1902" s="4" t="str">
        <f t="shared" si="118"/>
        <v>March</v>
      </c>
      <c r="I1902" s="4" t="str">
        <f t="shared" si="119"/>
        <v>2019</v>
      </c>
      <c r="J1902" s="10" t="s">
        <v>9</v>
      </c>
    </row>
    <row r="1903" spans="1:10" x14ac:dyDescent="0.35">
      <c r="A1903" s="9" t="s">
        <v>2826</v>
      </c>
      <c r="B1903" s="3">
        <v>5</v>
      </c>
      <c r="C1903" s="4" t="str">
        <f t="shared" si="116"/>
        <v>Neutral</v>
      </c>
      <c r="D1903" s="3" t="s">
        <v>3707</v>
      </c>
      <c r="E1903" s="3" t="s">
        <v>3708</v>
      </c>
      <c r="F1903" s="5" t="s">
        <v>3706</v>
      </c>
      <c r="G1903" s="4" t="str">
        <f t="shared" si="117"/>
        <v>28th</v>
      </c>
      <c r="H1903" s="4" t="str">
        <f t="shared" si="118"/>
        <v>March</v>
      </c>
      <c r="I1903" s="4" t="str">
        <f t="shared" si="119"/>
        <v>2019</v>
      </c>
      <c r="J1903" s="10" t="s">
        <v>9</v>
      </c>
    </row>
    <row r="1904" spans="1:10" x14ac:dyDescent="0.35">
      <c r="A1904" s="9" t="s">
        <v>2826</v>
      </c>
      <c r="B1904" s="3">
        <v>6</v>
      </c>
      <c r="C1904" s="4" t="str">
        <f t="shared" si="116"/>
        <v>Neutral</v>
      </c>
      <c r="D1904" s="3" t="s">
        <v>3709</v>
      </c>
      <c r="E1904" s="3" t="s">
        <v>3710</v>
      </c>
      <c r="F1904" s="5" t="s">
        <v>3706</v>
      </c>
      <c r="G1904" s="4" t="str">
        <f t="shared" si="117"/>
        <v>28th</v>
      </c>
      <c r="H1904" s="4" t="str">
        <f t="shared" si="118"/>
        <v>March</v>
      </c>
      <c r="I1904" s="4" t="str">
        <f t="shared" si="119"/>
        <v>2019</v>
      </c>
      <c r="J1904" s="10" t="s">
        <v>9</v>
      </c>
    </row>
    <row r="1905" spans="1:10" x14ac:dyDescent="0.35">
      <c r="A1905" s="9" t="s">
        <v>2826</v>
      </c>
      <c r="B1905" s="3">
        <v>1</v>
      </c>
      <c r="C1905" s="4" t="str">
        <f t="shared" si="116"/>
        <v>Bad</v>
      </c>
      <c r="D1905" s="3" t="s">
        <v>3711</v>
      </c>
      <c r="E1905" s="3" t="s">
        <v>3712</v>
      </c>
      <c r="F1905" s="5" t="s">
        <v>3706</v>
      </c>
      <c r="G1905" s="4" t="str">
        <f t="shared" si="117"/>
        <v>28th</v>
      </c>
      <c r="H1905" s="4" t="str">
        <f t="shared" si="118"/>
        <v>March</v>
      </c>
      <c r="I1905" s="4" t="str">
        <f t="shared" si="119"/>
        <v>2019</v>
      </c>
      <c r="J1905" s="10" t="s">
        <v>12</v>
      </c>
    </row>
    <row r="1906" spans="1:10" x14ac:dyDescent="0.35">
      <c r="A1906" s="9" t="s">
        <v>2826</v>
      </c>
      <c r="B1906" s="3">
        <v>7</v>
      </c>
      <c r="C1906" s="4" t="str">
        <f t="shared" si="116"/>
        <v>Neutral</v>
      </c>
      <c r="D1906" s="3" t="s">
        <v>3713</v>
      </c>
      <c r="E1906" s="3" t="s">
        <v>3714</v>
      </c>
      <c r="F1906" s="5" t="s">
        <v>3706</v>
      </c>
      <c r="G1906" s="4" t="str">
        <f t="shared" si="117"/>
        <v>28th</v>
      </c>
      <c r="H1906" s="4" t="str">
        <f t="shared" si="118"/>
        <v>March</v>
      </c>
      <c r="I1906" s="4" t="str">
        <f t="shared" si="119"/>
        <v>2019</v>
      </c>
      <c r="J1906" s="10" t="s">
        <v>9</v>
      </c>
    </row>
    <row r="1907" spans="1:10" x14ac:dyDescent="0.35">
      <c r="A1907" s="9" t="s">
        <v>2826</v>
      </c>
      <c r="B1907" s="3">
        <v>1</v>
      </c>
      <c r="C1907" s="4" t="str">
        <f t="shared" si="116"/>
        <v>Bad</v>
      </c>
      <c r="D1907" s="3" t="s">
        <v>3715</v>
      </c>
      <c r="E1907" s="3" t="s">
        <v>3716</v>
      </c>
      <c r="F1907" s="5" t="s">
        <v>3706</v>
      </c>
      <c r="G1907" s="4" t="str">
        <f t="shared" si="117"/>
        <v>28th</v>
      </c>
      <c r="H1907" s="4" t="str">
        <f t="shared" si="118"/>
        <v>March</v>
      </c>
      <c r="I1907" s="4" t="str">
        <f t="shared" si="119"/>
        <v>2019</v>
      </c>
      <c r="J1907" s="10" t="s">
        <v>12</v>
      </c>
    </row>
    <row r="1908" spans="1:10" x14ac:dyDescent="0.35">
      <c r="A1908" s="9" t="s">
        <v>2826</v>
      </c>
      <c r="B1908" s="3">
        <v>10</v>
      </c>
      <c r="C1908" s="4" t="str">
        <f t="shared" si="116"/>
        <v>Good</v>
      </c>
      <c r="D1908" s="3" t="s">
        <v>3717</v>
      </c>
      <c r="E1908" s="3" t="s">
        <v>3718</v>
      </c>
      <c r="F1908" s="5" t="s">
        <v>3706</v>
      </c>
      <c r="G1908" s="4" t="str">
        <f t="shared" si="117"/>
        <v>28th</v>
      </c>
      <c r="H1908" s="4" t="str">
        <f t="shared" si="118"/>
        <v>March</v>
      </c>
      <c r="I1908" s="4" t="str">
        <f t="shared" si="119"/>
        <v>2019</v>
      </c>
      <c r="J1908" s="10" t="s">
        <v>9</v>
      </c>
    </row>
    <row r="1909" spans="1:10" x14ac:dyDescent="0.35">
      <c r="A1909" s="9" t="s">
        <v>2826</v>
      </c>
      <c r="B1909" s="3">
        <v>1</v>
      </c>
      <c r="C1909" s="4" t="str">
        <f t="shared" si="116"/>
        <v>Bad</v>
      </c>
      <c r="D1909" s="3" t="s">
        <v>3719</v>
      </c>
      <c r="E1909" s="3" t="s">
        <v>3464</v>
      </c>
      <c r="F1909" s="5" t="s">
        <v>3706</v>
      </c>
      <c r="G1909" s="4" t="str">
        <f t="shared" si="117"/>
        <v>28th</v>
      </c>
      <c r="H1909" s="4" t="str">
        <f t="shared" si="118"/>
        <v>March</v>
      </c>
      <c r="I1909" s="4" t="str">
        <f t="shared" si="119"/>
        <v>2019</v>
      </c>
      <c r="J1909" s="10" t="s">
        <v>12</v>
      </c>
    </row>
    <row r="1910" spans="1:10" x14ac:dyDescent="0.35">
      <c r="A1910" s="9" t="s">
        <v>2826</v>
      </c>
      <c r="B1910" s="3">
        <v>1</v>
      </c>
      <c r="C1910" s="4" t="str">
        <f t="shared" si="116"/>
        <v>Bad</v>
      </c>
      <c r="D1910" s="3" t="s">
        <v>40</v>
      </c>
      <c r="E1910" s="3" t="s">
        <v>3720</v>
      </c>
      <c r="F1910" s="5" t="s">
        <v>3706</v>
      </c>
      <c r="G1910" s="4" t="str">
        <f t="shared" si="117"/>
        <v>28th</v>
      </c>
      <c r="H1910" s="4" t="str">
        <f t="shared" si="118"/>
        <v>March</v>
      </c>
      <c r="I1910" s="4" t="str">
        <f t="shared" si="119"/>
        <v>2019</v>
      </c>
      <c r="J1910" s="10" t="s">
        <v>12</v>
      </c>
    </row>
    <row r="1911" spans="1:10" x14ac:dyDescent="0.35">
      <c r="A1911" s="9" t="s">
        <v>2826</v>
      </c>
      <c r="B1911" s="3">
        <v>1</v>
      </c>
      <c r="C1911" s="4" t="str">
        <f t="shared" si="116"/>
        <v>Bad</v>
      </c>
      <c r="D1911" s="3" t="s">
        <v>708</v>
      </c>
      <c r="E1911" s="3" t="s">
        <v>3721</v>
      </c>
      <c r="F1911" s="5" t="s">
        <v>3706</v>
      </c>
      <c r="G1911" s="4" t="str">
        <f t="shared" si="117"/>
        <v>28th</v>
      </c>
      <c r="H1911" s="4" t="str">
        <f t="shared" si="118"/>
        <v>March</v>
      </c>
      <c r="I1911" s="4" t="str">
        <f t="shared" si="119"/>
        <v>2019</v>
      </c>
      <c r="J1911" s="10" t="s">
        <v>12</v>
      </c>
    </row>
    <row r="1912" spans="1:10" x14ac:dyDescent="0.35">
      <c r="A1912" s="9" t="s">
        <v>2826</v>
      </c>
      <c r="B1912" s="3">
        <v>1</v>
      </c>
      <c r="C1912" s="4" t="str">
        <f t="shared" si="116"/>
        <v>Bad</v>
      </c>
      <c r="D1912" s="3" t="s">
        <v>3722</v>
      </c>
      <c r="E1912" s="3" t="s">
        <v>3723</v>
      </c>
      <c r="F1912" s="5" t="s">
        <v>3724</v>
      </c>
      <c r="G1912" s="4" t="str">
        <f t="shared" si="117"/>
        <v>26th</v>
      </c>
      <c r="H1912" s="4" t="str">
        <f t="shared" si="118"/>
        <v>February</v>
      </c>
      <c r="I1912" s="4" t="str">
        <f t="shared" si="119"/>
        <v>2019</v>
      </c>
      <c r="J1912" s="10" t="s">
        <v>12</v>
      </c>
    </row>
    <row r="1913" spans="1:10" x14ac:dyDescent="0.35">
      <c r="A1913" s="9" t="s">
        <v>2826</v>
      </c>
      <c r="B1913" s="3">
        <v>1</v>
      </c>
      <c r="C1913" s="4" t="str">
        <f t="shared" si="116"/>
        <v>Bad</v>
      </c>
      <c r="D1913" s="3" t="s">
        <v>3725</v>
      </c>
      <c r="E1913" s="3" t="s">
        <v>3726</v>
      </c>
      <c r="F1913" s="5" t="s">
        <v>3724</v>
      </c>
      <c r="G1913" s="4" t="str">
        <f t="shared" si="117"/>
        <v>26th</v>
      </c>
      <c r="H1913" s="4" t="str">
        <f t="shared" si="118"/>
        <v>February</v>
      </c>
      <c r="I1913" s="4" t="str">
        <f t="shared" si="119"/>
        <v>2019</v>
      </c>
      <c r="J1913" s="10" t="s">
        <v>12</v>
      </c>
    </row>
    <row r="1914" spans="1:10" x14ac:dyDescent="0.35">
      <c r="A1914" s="9" t="s">
        <v>2826</v>
      </c>
      <c r="B1914" s="3">
        <v>1</v>
      </c>
      <c r="C1914" s="4" t="str">
        <f t="shared" si="116"/>
        <v>Bad</v>
      </c>
      <c r="D1914" s="3" t="s">
        <v>3727</v>
      </c>
      <c r="E1914" s="3" t="s">
        <v>3728</v>
      </c>
      <c r="F1914" s="5" t="s">
        <v>3724</v>
      </c>
      <c r="G1914" s="4" t="str">
        <f t="shared" si="117"/>
        <v>26th</v>
      </c>
      <c r="H1914" s="4" t="str">
        <f t="shared" si="118"/>
        <v>February</v>
      </c>
      <c r="I1914" s="4" t="str">
        <f t="shared" si="119"/>
        <v>2019</v>
      </c>
      <c r="J1914" s="10" t="s">
        <v>12</v>
      </c>
    </row>
    <row r="1915" spans="1:10" x14ac:dyDescent="0.35">
      <c r="A1915" s="9" t="s">
        <v>2826</v>
      </c>
      <c r="B1915" s="3">
        <v>1</v>
      </c>
      <c r="C1915" s="4" t="str">
        <f t="shared" si="116"/>
        <v>Bad</v>
      </c>
      <c r="D1915" s="3" t="s">
        <v>3729</v>
      </c>
      <c r="E1915" s="3" t="s">
        <v>3730</v>
      </c>
      <c r="F1915" s="5" t="s">
        <v>3724</v>
      </c>
      <c r="G1915" s="4" t="str">
        <f t="shared" si="117"/>
        <v>26th</v>
      </c>
      <c r="H1915" s="4" t="str">
        <f t="shared" si="118"/>
        <v>February</v>
      </c>
      <c r="I1915" s="4" t="str">
        <f t="shared" si="119"/>
        <v>2019</v>
      </c>
      <c r="J1915" s="10" t="s">
        <v>12</v>
      </c>
    </row>
    <row r="1916" spans="1:10" x14ac:dyDescent="0.35">
      <c r="A1916" s="9" t="s">
        <v>2826</v>
      </c>
      <c r="B1916" s="3">
        <v>8</v>
      </c>
      <c r="C1916" s="4" t="str">
        <f t="shared" si="116"/>
        <v>Good</v>
      </c>
      <c r="D1916" s="3" t="s">
        <v>744</v>
      </c>
      <c r="E1916" s="3" t="s">
        <v>3731</v>
      </c>
      <c r="F1916" s="5" t="s">
        <v>3724</v>
      </c>
      <c r="G1916" s="4" t="str">
        <f t="shared" si="117"/>
        <v>26th</v>
      </c>
      <c r="H1916" s="4" t="str">
        <f t="shared" si="118"/>
        <v>February</v>
      </c>
      <c r="I1916" s="4" t="str">
        <f t="shared" si="119"/>
        <v>2019</v>
      </c>
      <c r="J1916" s="10" t="s">
        <v>12</v>
      </c>
    </row>
    <row r="1917" spans="1:10" x14ac:dyDescent="0.35">
      <c r="A1917" s="9" t="s">
        <v>2826</v>
      </c>
      <c r="B1917" s="3">
        <v>1</v>
      </c>
      <c r="C1917" s="4" t="str">
        <f t="shared" si="116"/>
        <v>Bad</v>
      </c>
      <c r="D1917" s="3" t="s">
        <v>1677</v>
      </c>
      <c r="E1917" s="3" t="s">
        <v>3732</v>
      </c>
      <c r="F1917" s="5" t="s">
        <v>3724</v>
      </c>
      <c r="G1917" s="4" t="str">
        <f t="shared" si="117"/>
        <v>26th</v>
      </c>
      <c r="H1917" s="4" t="str">
        <f t="shared" si="118"/>
        <v>February</v>
      </c>
      <c r="I1917" s="4" t="str">
        <f t="shared" si="119"/>
        <v>2019</v>
      </c>
      <c r="J1917" s="10" t="s">
        <v>12</v>
      </c>
    </row>
    <row r="1918" spans="1:10" x14ac:dyDescent="0.35">
      <c r="A1918" s="9" t="s">
        <v>2826</v>
      </c>
      <c r="B1918" s="3">
        <v>1</v>
      </c>
      <c r="C1918" s="4" t="str">
        <f t="shared" si="116"/>
        <v>Bad</v>
      </c>
      <c r="D1918" s="3" t="s">
        <v>3733</v>
      </c>
      <c r="E1918" s="3" t="s">
        <v>3734</v>
      </c>
      <c r="F1918" s="5" t="s">
        <v>3724</v>
      </c>
      <c r="G1918" s="4" t="str">
        <f t="shared" si="117"/>
        <v>26th</v>
      </c>
      <c r="H1918" s="4" t="str">
        <f t="shared" si="118"/>
        <v>February</v>
      </c>
      <c r="I1918" s="4" t="str">
        <f t="shared" si="119"/>
        <v>2019</v>
      </c>
      <c r="J1918" s="10" t="s">
        <v>12</v>
      </c>
    </row>
    <row r="1919" spans="1:10" x14ac:dyDescent="0.35">
      <c r="A1919" s="9" t="s">
        <v>2826</v>
      </c>
      <c r="B1919" s="3">
        <v>1</v>
      </c>
      <c r="C1919" s="4" t="str">
        <f t="shared" si="116"/>
        <v>Bad</v>
      </c>
      <c r="D1919" s="3" t="s">
        <v>3735</v>
      </c>
      <c r="E1919" s="3" t="s">
        <v>3736</v>
      </c>
      <c r="F1919" s="5" t="s">
        <v>3724</v>
      </c>
      <c r="G1919" s="4" t="str">
        <f t="shared" si="117"/>
        <v>26th</v>
      </c>
      <c r="H1919" s="4" t="str">
        <f t="shared" si="118"/>
        <v>February</v>
      </c>
      <c r="I1919" s="4" t="str">
        <f t="shared" si="119"/>
        <v>2019</v>
      </c>
      <c r="J1919" s="10" t="s">
        <v>12</v>
      </c>
    </row>
    <row r="1920" spans="1:10" x14ac:dyDescent="0.35">
      <c r="A1920" s="9" t="s">
        <v>2826</v>
      </c>
      <c r="B1920" s="3">
        <v>1</v>
      </c>
      <c r="C1920" s="4" t="str">
        <f t="shared" si="116"/>
        <v>Bad</v>
      </c>
      <c r="D1920" s="3" t="s">
        <v>3737</v>
      </c>
      <c r="E1920" s="3" t="s">
        <v>3738</v>
      </c>
      <c r="F1920" s="5" t="s">
        <v>3724</v>
      </c>
      <c r="G1920" s="4" t="str">
        <f t="shared" si="117"/>
        <v>26th</v>
      </c>
      <c r="H1920" s="4" t="str">
        <f t="shared" si="118"/>
        <v>February</v>
      </c>
      <c r="I1920" s="4" t="str">
        <f t="shared" si="119"/>
        <v>2019</v>
      </c>
      <c r="J1920" s="10" t="s">
        <v>12</v>
      </c>
    </row>
    <row r="1921" spans="1:10" x14ac:dyDescent="0.35">
      <c r="A1921" s="9" t="s">
        <v>2826</v>
      </c>
      <c r="B1921" s="3">
        <v>3</v>
      </c>
      <c r="C1921" s="4" t="str">
        <f t="shared" si="116"/>
        <v>Bad</v>
      </c>
      <c r="D1921" s="3" t="s">
        <v>3739</v>
      </c>
      <c r="E1921" s="3" t="s">
        <v>3740</v>
      </c>
      <c r="F1921" s="5" t="s">
        <v>3724</v>
      </c>
      <c r="G1921" s="4" t="str">
        <f t="shared" si="117"/>
        <v>26th</v>
      </c>
      <c r="H1921" s="4" t="str">
        <f t="shared" si="118"/>
        <v>February</v>
      </c>
      <c r="I1921" s="4" t="str">
        <f t="shared" si="119"/>
        <v>2019</v>
      </c>
      <c r="J1921" s="10" t="s">
        <v>12</v>
      </c>
    </row>
    <row r="1922" spans="1:10" x14ac:dyDescent="0.35">
      <c r="A1922" s="9" t="s">
        <v>2826</v>
      </c>
      <c r="B1922" s="3">
        <v>1</v>
      </c>
      <c r="C1922" s="4" t="str">
        <f t="shared" si="116"/>
        <v>Bad</v>
      </c>
      <c r="D1922" s="3" t="s">
        <v>3741</v>
      </c>
      <c r="E1922" s="3" t="s">
        <v>3742</v>
      </c>
      <c r="F1922" s="5" t="s">
        <v>3743</v>
      </c>
      <c r="G1922" s="4" t="str">
        <f t="shared" si="117"/>
        <v>1st</v>
      </c>
      <c r="H1922" s="4" t="str">
        <f t="shared" si="118"/>
        <v>January</v>
      </c>
      <c r="I1922" s="4" t="str">
        <f t="shared" si="119"/>
        <v>2019</v>
      </c>
      <c r="J1922" s="10" t="s">
        <v>12</v>
      </c>
    </row>
    <row r="1923" spans="1:10" x14ac:dyDescent="0.35">
      <c r="A1923" s="9" t="s">
        <v>2826</v>
      </c>
      <c r="B1923" s="3">
        <v>1</v>
      </c>
      <c r="C1923" s="4" t="str">
        <f t="shared" ref="C1923:C1986" si="120">IF(B1923&gt;=8,"Good",IF(B1923&gt;=5,"Neutral","Bad"))</f>
        <v>Bad</v>
      </c>
      <c r="D1923" s="3" t="s">
        <v>3744</v>
      </c>
      <c r="E1923" s="3" t="s">
        <v>3745</v>
      </c>
      <c r="F1923" s="5" t="s">
        <v>3743</v>
      </c>
      <c r="G1923" s="4" t="str">
        <f t="shared" ref="G1923:G1986" si="121">LEFT(F1923, FIND(" ", F1923)-1)</f>
        <v>1st</v>
      </c>
      <c r="H1923" s="4" t="str">
        <f t="shared" ref="H1923:H1986" si="122">TRIM(MID(F1923, FIND(" ", F1923)+1, FIND(" ", F1923, FIND(" ", F1923)+1) - FIND(" ", F1923)-1))</f>
        <v>January</v>
      </c>
      <c r="I1923" s="4" t="str">
        <f t="shared" ref="I1923:I1986" si="123">RIGHT(F1923, 4)</f>
        <v>2019</v>
      </c>
      <c r="J1923" s="10" t="s">
        <v>12</v>
      </c>
    </row>
    <row r="1924" spans="1:10" x14ac:dyDescent="0.35">
      <c r="A1924" s="9" t="s">
        <v>2826</v>
      </c>
      <c r="B1924" s="3">
        <v>1</v>
      </c>
      <c r="C1924" s="4" t="str">
        <f t="shared" si="120"/>
        <v>Bad</v>
      </c>
      <c r="D1924" s="3" t="s">
        <v>3746</v>
      </c>
      <c r="E1924" s="3" t="s">
        <v>3747</v>
      </c>
      <c r="F1924" s="5" t="s">
        <v>3743</v>
      </c>
      <c r="G1924" s="4" t="str">
        <f t="shared" si="121"/>
        <v>1st</v>
      </c>
      <c r="H1924" s="4" t="str">
        <f t="shared" si="122"/>
        <v>January</v>
      </c>
      <c r="I1924" s="4" t="str">
        <f t="shared" si="123"/>
        <v>2019</v>
      </c>
      <c r="J1924" s="10" t="s">
        <v>12</v>
      </c>
    </row>
    <row r="1925" spans="1:10" x14ac:dyDescent="0.35">
      <c r="A1925" s="9" t="s">
        <v>2826</v>
      </c>
      <c r="B1925" s="3">
        <v>1</v>
      </c>
      <c r="C1925" s="4" t="str">
        <f t="shared" si="120"/>
        <v>Bad</v>
      </c>
      <c r="D1925" s="3" t="s">
        <v>3748</v>
      </c>
      <c r="E1925" s="3" t="s">
        <v>3749</v>
      </c>
      <c r="F1925" s="5" t="s">
        <v>3743</v>
      </c>
      <c r="G1925" s="4" t="str">
        <f t="shared" si="121"/>
        <v>1st</v>
      </c>
      <c r="H1925" s="4" t="str">
        <f t="shared" si="122"/>
        <v>January</v>
      </c>
      <c r="I1925" s="4" t="str">
        <f t="shared" si="123"/>
        <v>2019</v>
      </c>
      <c r="J1925" s="10" t="s">
        <v>12</v>
      </c>
    </row>
    <row r="1926" spans="1:10" x14ac:dyDescent="0.35">
      <c r="A1926" s="9" t="s">
        <v>2826</v>
      </c>
      <c r="B1926" s="3">
        <v>2</v>
      </c>
      <c r="C1926" s="4" t="str">
        <f t="shared" si="120"/>
        <v>Bad</v>
      </c>
      <c r="D1926" s="3" t="s">
        <v>2571</v>
      </c>
      <c r="E1926" s="3" t="s">
        <v>3750</v>
      </c>
      <c r="F1926" s="5" t="s">
        <v>3743</v>
      </c>
      <c r="G1926" s="4" t="str">
        <f t="shared" si="121"/>
        <v>1st</v>
      </c>
      <c r="H1926" s="4" t="str">
        <f t="shared" si="122"/>
        <v>January</v>
      </c>
      <c r="I1926" s="4" t="str">
        <f t="shared" si="123"/>
        <v>2019</v>
      </c>
      <c r="J1926" s="10" t="s">
        <v>12</v>
      </c>
    </row>
    <row r="1927" spans="1:10" x14ac:dyDescent="0.35">
      <c r="A1927" s="9" t="s">
        <v>2826</v>
      </c>
      <c r="B1927" s="3">
        <v>1</v>
      </c>
      <c r="C1927" s="4" t="str">
        <f t="shared" si="120"/>
        <v>Bad</v>
      </c>
      <c r="D1927" s="3" t="s">
        <v>3751</v>
      </c>
      <c r="E1927" s="3" t="s">
        <v>3752</v>
      </c>
      <c r="F1927" s="5" t="s">
        <v>3743</v>
      </c>
      <c r="G1927" s="4" t="str">
        <f t="shared" si="121"/>
        <v>1st</v>
      </c>
      <c r="H1927" s="4" t="str">
        <f t="shared" si="122"/>
        <v>January</v>
      </c>
      <c r="I1927" s="4" t="str">
        <f t="shared" si="123"/>
        <v>2019</v>
      </c>
      <c r="J1927" s="10" t="s">
        <v>12</v>
      </c>
    </row>
    <row r="1928" spans="1:10" x14ac:dyDescent="0.35">
      <c r="A1928" s="9" t="s">
        <v>2826</v>
      </c>
      <c r="B1928" s="3">
        <v>2</v>
      </c>
      <c r="C1928" s="4" t="str">
        <f t="shared" si="120"/>
        <v>Bad</v>
      </c>
      <c r="D1928" s="3" t="s">
        <v>3753</v>
      </c>
      <c r="E1928" s="3" t="s">
        <v>3754</v>
      </c>
      <c r="F1928" s="5" t="s">
        <v>3743</v>
      </c>
      <c r="G1928" s="4" t="str">
        <f t="shared" si="121"/>
        <v>1st</v>
      </c>
      <c r="H1928" s="4" t="str">
        <f t="shared" si="122"/>
        <v>January</v>
      </c>
      <c r="I1928" s="4" t="str">
        <f t="shared" si="123"/>
        <v>2019</v>
      </c>
      <c r="J1928" s="10" t="s">
        <v>12</v>
      </c>
    </row>
    <row r="1929" spans="1:10" x14ac:dyDescent="0.35">
      <c r="A1929" s="9" t="s">
        <v>2826</v>
      </c>
      <c r="B1929" s="3">
        <v>1</v>
      </c>
      <c r="C1929" s="4" t="str">
        <f t="shared" si="120"/>
        <v>Bad</v>
      </c>
      <c r="D1929" s="3" t="s">
        <v>3755</v>
      </c>
      <c r="E1929" s="3" t="s">
        <v>3756</v>
      </c>
      <c r="F1929" s="5" t="s">
        <v>3743</v>
      </c>
      <c r="G1929" s="4" t="str">
        <f t="shared" si="121"/>
        <v>1st</v>
      </c>
      <c r="H1929" s="4" t="str">
        <f t="shared" si="122"/>
        <v>January</v>
      </c>
      <c r="I1929" s="4" t="str">
        <f t="shared" si="123"/>
        <v>2019</v>
      </c>
      <c r="J1929" s="10" t="s">
        <v>12</v>
      </c>
    </row>
    <row r="1930" spans="1:10" x14ac:dyDescent="0.35">
      <c r="A1930" s="9" t="s">
        <v>2826</v>
      </c>
      <c r="B1930" s="3">
        <v>1</v>
      </c>
      <c r="C1930" s="4" t="str">
        <f t="shared" si="120"/>
        <v>Bad</v>
      </c>
      <c r="D1930" s="3" t="s">
        <v>3757</v>
      </c>
      <c r="E1930" s="3" t="s">
        <v>3758</v>
      </c>
      <c r="F1930" s="5" t="s">
        <v>3743</v>
      </c>
      <c r="G1930" s="4" t="str">
        <f t="shared" si="121"/>
        <v>1st</v>
      </c>
      <c r="H1930" s="4" t="str">
        <f t="shared" si="122"/>
        <v>January</v>
      </c>
      <c r="I1930" s="4" t="str">
        <f t="shared" si="123"/>
        <v>2019</v>
      </c>
      <c r="J1930" s="10" t="s">
        <v>12</v>
      </c>
    </row>
    <row r="1931" spans="1:10" x14ac:dyDescent="0.35">
      <c r="A1931" s="9" t="s">
        <v>2826</v>
      </c>
      <c r="B1931" s="3">
        <v>1</v>
      </c>
      <c r="C1931" s="4" t="str">
        <f t="shared" si="120"/>
        <v>Bad</v>
      </c>
      <c r="D1931" s="3" t="s">
        <v>3759</v>
      </c>
      <c r="E1931" s="3" t="s">
        <v>3760</v>
      </c>
      <c r="F1931" s="5" t="s">
        <v>3743</v>
      </c>
      <c r="G1931" s="4" t="str">
        <f t="shared" si="121"/>
        <v>1st</v>
      </c>
      <c r="H1931" s="4" t="str">
        <f t="shared" si="122"/>
        <v>January</v>
      </c>
      <c r="I1931" s="4" t="str">
        <f t="shared" si="123"/>
        <v>2019</v>
      </c>
      <c r="J1931" s="10" t="s">
        <v>12</v>
      </c>
    </row>
    <row r="1932" spans="1:10" x14ac:dyDescent="0.35">
      <c r="A1932" s="9" t="s">
        <v>2826</v>
      </c>
      <c r="B1932" s="3">
        <v>1</v>
      </c>
      <c r="C1932" s="4" t="str">
        <f t="shared" si="120"/>
        <v>Bad</v>
      </c>
      <c r="D1932" s="3" t="s">
        <v>3761</v>
      </c>
      <c r="E1932" s="3" t="s">
        <v>3762</v>
      </c>
      <c r="F1932" s="5" t="s">
        <v>3763</v>
      </c>
      <c r="G1932" s="4" t="str">
        <f t="shared" si="121"/>
        <v>2nd</v>
      </c>
      <c r="H1932" s="4" t="str">
        <f t="shared" si="122"/>
        <v>December</v>
      </c>
      <c r="I1932" s="4" t="str">
        <f t="shared" si="123"/>
        <v>2018</v>
      </c>
      <c r="J1932" s="10" t="s">
        <v>12</v>
      </c>
    </row>
    <row r="1933" spans="1:10" x14ac:dyDescent="0.35">
      <c r="A1933" s="9" t="s">
        <v>2826</v>
      </c>
      <c r="B1933" s="3">
        <v>1</v>
      </c>
      <c r="C1933" s="4" t="str">
        <f t="shared" si="120"/>
        <v>Bad</v>
      </c>
      <c r="D1933" s="3" t="s">
        <v>3764</v>
      </c>
      <c r="E1933" s="3" t="s">
        <v>3765</v>
      </c>
      <c r="F1933" s="5" t="s">
        <v>3763</v>
      </c>
      <c r="G1933" s="4" t="str">
        <f t="shared" si="121"/>
        <v>2nd</v>
      </c>
      <c r="H1933" s="4" t="str">
        <f t="shared" si="122"/>
        <v>December</v>
      </c>
      <c r="I1933" s="4" t="str">
        <f t="shared" si="123"/>
        <v>2018</v>
      </c>
      <c r="J1933" s="10" t="s">
        <v>12</v>
      </c>
    </row>
    <row r="1934" spans="1:10" x14ac:dyDescent="0.35">
      <c r="A1934" s="9" t="s">
        <v>2826</v>
      </c>
      <c r="B1934" s="3">
        <v>10</v>
      </c>
      <c r="C1934" s="4" t="str">
        <f t="shared" si="120"/>
        <v>Good</v>
      </c>
      <c r="D1934" s="3" t="s">
        <v>3766</v>
      </c>
      <c r="E1934" s="3" t="s">
        <v>3767</v>
      </c>
      <c r="F1934" s="5" t="s">
        <v>3763</v>
      </c>
      <c r="G1934" s="4" t="str">
        <f t="shared" si="121"/>
        <v>2nd</v>
      </c>
      <c r="H1934" s="4" t="str">
        <f t="shared" si="122"/>
        <v>December</v>
      </c>
      <c r="I1934" s="4" t="str">
        <f t="shared" si="123"/>
        <v>2018</v>
      </c>
      <c r="J1934" s="10" t="s">
        <v>9</v>
      </c>
    </row>
    <row r="1935" spans="1:10" x14ac:dyDescent="0.35">
      <c r="A1935" s="9" t="s">
        <v>2826</v>
      </c>
      <c r="B1935" s="3">
        <v>2</v>
      </c>
      <c r="C1935" s="4" t="str">
        <f t="shared" si="120"/>
        <v>Bad</v>
      </c>
      <c r="D1935" s="3" t="s">
        <v>3768</v>
      </c>
      <c r="E1935" s="3" t="s">
        <v>3769</v>
      </c>
      <c r="F1935" s="5" t="s">
        <v>3763</v>
      </c>
      <c r="G1935" s="4" t="str">
        <f t="shared" si="121"/>
        <v>2nd</v>
      </c>
      <c r="H1935" s="4" t="str">
        <f t="shared" si="122"/>
        <v>December</v>
      </c>
      <c r="I1935" s="4" t="str">
        <f t="shared" si="123"/>
        <v>2018</v>
      </c>
      <c r="J1935" s="10" t="s">
        <v>12</v>
      </c>
    </row>
    <row r="1936" spans="1:10" x14ac:dyDescent="0.35">
      <c r="A1936" s="9" t="s">
        <v>2826</v>
      </c>
      <c r="B1936" s="3">
        <v>1</v>
      </c>
      <c r="C1936" s="4" t="str">
        <f t="shared" si="120"/>
        <v>Bad</v>
      </c>
      <c r="D1936" s="3" t="s">
        <v>3770</v>
      </c>
      <c r="E1936" s="3" t="s">
        <v>3771</v>
      </c>
      <c r="F1936" s="5" t="s">
        <v>3763</v>
      </c>
      <c r="G1936" s="4" t="str">
        <f t="shared" si="121"/>
        <v>2nd</v>
      </c>
      <c r="H1936" s="4" t="str">
        <f t="shared" si="122"/>
        <v>December</v>
      </c>
      <c r="I1936" s="4" t="str">
        <f t="shared" si="123"/>
        <v>2018</v>
      </c>
      <c r="J1936" s="10" t="s">
        <v>12</v>
      </c>
    </row>
    <row r="1937" spans="1:10" x14ac:dyDescent="0.35">
      <c r="A1937" s="9" t="s">
        <v>2826</v>
      </c>
      <c r="B1937" s="3">
        <v>1</v>
      </c>
      <c r="C1937" s="4" t="str">
        <f t="shared" si="120"/>
        <v>Bad</v>
      </c>
      <c r="D1937" s="3" t="s">
        <v>3772</v>
      </c>
      <c r="E1937" s="3" t="s">
        <v>3773</v>
      </c>
      <c r="F1937" s="5" t="s">
        <v>3763</v>
      </c>
      <c r="G1937" s="4" t="str">
        <f t="shared" si="121"/>
        <v>2nd</v>
      </c>
      <c r="H1937" s="4" t="str">
        <f t="shared" si="122"/>
        <v>December</v>
      </c>
      <c r="I1937" s="4" t="str">
        <f t="shared" si="123"/>
        <v>2018</v>
      </c>
      <c r="J1937" s="10" t="s">
        <v>12</v>
      </c>
    </row>
    <row r="1938" spans="1:10" x14ac:dyDescent="0.35">
      <c r="A1938" s="9" t="s">
        <v>2826</v>
      </c>
      <c r="B1938" s="3">
        <v>2</v>
      </c>
      <c r="C1938" s="4" t="str">
        <f t="shared" si="120"/>
        <v>Bad</v>
      </c>
      <c r="D1938" s="3" t="s">
        <v>3774</v>
      </c>
      <c r="E1938" s="3" t="s">
        <v>3775</v>
      </c>
      <c r="F1938" s="5" t="s">
        <v>3763</v>
      </c>
      <c r="G1938" s="4" t="str">
        <f t="shared" si="121"/>
        <v>2nd</v>
      </c>
      <c r="H1938" s="4" t="str">
        <f t="shared" si="122"/>
        <v>December</v>
      </c>
      <c r="I1938" s="4" t="str">
        <f t="shared" si="123"/>
        <v>2018</v>
      </c>
      <c r="J1938" s="10" t="s">
        <v>12</v>
      </c>
    </row>
    <row r="1939" spans="1:10" x14ac:dyDescent="0.35">
      <c r="A1939" s="9" t="s">
        <v>2826</v>
      </c>
      <c r="B1939" s="3">
        <v>1</v>
      </c>
      <c r="C1939" s="4" t="str">
        <f t="shared" si="120"/>
        <v>Bad</v>
      </c>
      <c r="D1939" s="3" t="s">
        <v>3761</v>
      </c>
      <c r="E1939" s="3" t="s">
        <v>3776</v>
      </c>
      <c r="F1939" s="5" t="s">
        <v>3763</v>
      </c>
      <c r="G1939" s="4" t="str">
        <f t="shared" si="121"/>
        <v>2nd</v>
      </c>
      <c r="H1939" s="4" t="str">
        <f t="shared" si="122"/>
        <v>December</v>
      </c>
      <c r="I1939" s="4" t="str">
        <f t="shared" si="123"/>
        <v>2018</v>
      </c>
      <c r="J1939" s="10" t="s">
        <v>12</v>
      </c>
    </row>
    <row r="1940" spans="1:10" x14ac:dyDescent="0.35">
      <c r="A1940" s="9" t="s">
        <v>2826</v>
      </c>
      <c r="B1940" s="3">
        <v>9</v>
      </c>
      <c r="C1940" s="4" t="str">
        <f t="shared" si="120"/>
        <v>Good</v>
      </c>
      <c r="D1940" s="3" t="s">
        <v>3777</v>
      </c>
      <c r="E1940" s="3" t="s">
        <v>3778</v>
      </c>
      <c r="F1940" s="5" t="s">
        <v>3763</v>
      </c>
      <c r="G1940" s="4" t="str">
        <f t="shared" si="121"/>
        <v>2nd</v>
      </c>
      <c r="H1940" s="4" t="str">
        <f t="shared" si="122"/>
        <v>December</v>
      </c>
      <c r="I1940" s="4" t="str">
        <f t="shared" si="123"/>
        <v>2018</v>
      </c>
      <c r="J1940" s="10" t="s">
        <v>9</v>
      </c>
    </row>
    <row r="1941" spans="1:10" x14ac:dyDescent="0.35">
      <c r="A1941" s="9" t="s">
        <v>2826</v>
      </c>
      <c r="B1941" s="3">
        <v>2</v>
      </c>
      <c r="C1941" s="4" t="str">
        <f t="shared" si="120"/>
        <v>Bad</v>
      </c>
      <c r="D1941" s="3" t="s">
        <v>3779</v>
      </c>
      <c r="E1941" s="3" t="s">
        <v>3780</v>
      </c>
      <c r="F1941" s="5" t="s">
        <v>3763</v>
      </c>
      <c r="G1941" s="4" t="str">
        <f t="shared" si="121"/>
        <v>2nd</v>
      </c>
      <c r="H1941" s="4" t="str">
        <f t="shared" si="122"/>
        <v>December</v>
      </c>
      <c r="I1941" s="4" t="str">
        <f t="shared" si="123"/>
        <v>2018</v>
      </c>
      <c r="J1941" s="10" t="s">
        <v>12</v>
      </c>
    </row>
    <row r="1942" spans="1:10" x14ac:dyDescent="0.35">
      <c r="A1942" s="9" t="s">
        <v>2826</v>
      </c>
      <c r="B1942" s="3">
        <v>1</v>
      </c>
      <c r="C1942" s="4" t="str">
        <f t="shared" si="120"/>
        <v>Bad</v>
      </c>
      <c r="D1942" s="3" t="s">
        <v>305</v>
      </c>
      <c r="E1942" s="3" t="s">
        <v>3781</v>
      </c>
      <c r="F1942" s="5" t="s">
        <v>3782</v>
      </c>
      <c r="G1942" s="4" t="str">
        <f t="shared" si="121"/>
        <v>15th</v>
      </c>
      <c r="H1942" s="4" t="str">
        <f t="shared" si="122"/>
        <v>November</v>
      </c>
      <c r="I1942" s="4" t="str">
        <f t="shared" si="123"/>
        <v>2018</v>
      </c>
      <c r="J1942" s="10" t="s">
        <v>12</v>
      </c>
    </row>
    <row r="1943" spans="1:10" x14ac:dyDescent="0.35">
      <c r="A1943" s="9" t="s">
        <v>2826</v>
      </c>
      <c r="B1943" s="3">
        <v>2</v>
      </c>
      <c r="C1943" s="4" t="str">
        <f t="shared" si="120"/>
        <v>Bad</v>
      </c>
      <c r="D1943" s="3" t="s">
        <v>3783</v>
      </c>
      <c r="E1943" s="3" t="s">
        <v>3784</v>
      </c>
      <c r="F1943" s="5" t="s">
        <v>3782</v>
      </c>
      <c r="G1943" s="4" t="str">
        <f t="shared" si="121"/>
        <v>15th</v>
      </c>
      <c r="H1943" s="4" t="str">
        <f t="shared" si="122"/>
        <v>November</v>
      </c>
      <c r="I1943" s="4" t="str">
        <f t="shared" si="123"/>
        <v>2018</v>
      </c>
      <c r="J1943" s="10" t="s">
        <v>12</v>
      </c>
    </row>
    <row r="1944" spans="1:10" x14ac:dyDescent="0.35">
      <c r="A1944" s="9" t="s">
        <v>2826</v>
      </c>
      <c r="B1944" s="3">
        <v>5</v>
      </c>
      <c r="C1944" s="4" t="str">
        <f t="shared" si="120"/>
        <v>Neutral</v>
      </c>
      <c r="D1944" s="3" t="s">
        <v>3785</v>
      </c>
      <c r="E1944" s="3" t="s">
        <v>3786</v>
      </c>
      <c r="F1944" s="5" t="s">
        <v>3782</v>
      </c>
      <c r="G1944" s="4" t="str">
        <f t="shared" si="121"/>
        <v>15th</v>
      </c>
      <c r="H1944" s="4" t="str">
        <f t="shared" si="122"/>
        <v>November</v>
      </c>
      <c r="I1944" s="4" t="str">
        <f t="shared" si="123"/>
        <v>2018</v>
      </c>
      <c r="J1944" s="10" t="s">
        <v>12</v>
      </c>
    </row>
    <row r="1945" spans="1:10" x14ac:dyDescent="0.35">
      <c r="A1945" s="9" t="s">
        <v>2826</v>
      </c>
      <c r="B1945" s="3">
        <v>1</v>
      </c>
      <c r="C1945" s="4" t="str">
        <f t="shared" si="120"/>
        <v>Bad</v>
      </c>
      <c r="D1945" s="3" t="s">
        <v>3787</v>
      </c>
      <c r="E1945" s="3" t="s">
        <v>3788</v>
      </c>
      <c r="F1945" s="5" t="s">
        <v>3782</v>
      </c>
      <c r="G1945" s="4" t="str">
        <f t="shared" si="121"/>
        <v>15th</v>
      </c>
      <c r="H1945" s="4" t="str">
        <f t="shared" si="122"/>
        <v>November</v>
      </c>
      <c r="I1945" s="4" t="str">
        <f t="shared" si="123"/>
        <v>2018</v>
      </c>
      <c r="J1945" s="10" t="s">
        <v>12</v>
      </c>
    </row>
    <row r="1946" spans="1:10" x14ac:dyDescent="0.35">
      <c r="A1946" s="9" t="s">
        <v>2826</v>
      </c>
      <c r="B1946" s="3">
        <v>1</v>
      </c>
      <c r="C1946" s="4" t="str">
        <f t="shared" si="120"/>
        <v>Bad</v>
      </c>
      <c r="D1946" s="3" t="s">
        <v>3789</v>
      </c>
      <c r="E1946" s="3" t="s">
        <v>3790</v>
      </c>
      <c r="F1946" s="5" t="s">
        <v>3782</v>
      </c>
      <c r="G1946" s="4" t="str">
        <f t="shared" si="121"/>
        <v>15th</v>
      </c>
      <c r="H1946" s="4" t="str">
        <f t="shared" si="122"/>
        <v>November</v>
      </c>
      <c r="I1946" s="4" t="str">
        <f t="shared" si="123"/>
        <v>2018</v>
      </c>
      <c r="J1946" s="10" t="s">
        <v>12</v>
      </c>
    </row>
    <row r="1947" spans="1:10" x14ac:dyDescent="0.35">
      <c r="A1947" s="9" t="s">
        <v>2826</v>
      </c>
      <c r="B1947" s="3">
        <v>6</v>
      </c>
      <c r="C1947" s="4" t="str">
        <f t="shared" si="120"/>
        <v>Neutral</v>
      </c>
      <c r="D1947" s="3" t="s">
        <v>3791</v>
      </c>
      <c r="E1947" s="3" t="s">
        <v>3792</v>
      </c>
      <c r="F1947" s="5" t="s">
        <v>3782</v>
      </c>
      <c r="G1947" s="4" t="str">
        <f t="shared" si="121"/>
        <v>15th</v>
      </c>
      <c r="H1947" s="4" t="str">
        <f t="shared" si="122"/>
        <v>November</v>
      </c>
      <c r="I1947" s="4" t="str">
        <f t="shared" si="123"/>
        <v>2018</v>
      </c>
      <c r="J1947" s="10" t="s">
        <v>12</v>
      </c>
    </row>
    <row r="1948" spans="1:10" x14ac:dyDescent="0.35">
      <c r="A1948" s="9" t="s">
        <v>2826</v>
      </c>
      <c r="B1948" s="3">
        <v>1</v>
      </c>
      <c r="C1948" s="4" t="str">
        <f t="shared" si="120"/>
        <v>Bad</v>
      </c>
      <c r="D1948" s="3" t="s">
        <v>3793</v>
      </c>
      <c r="E1948" s="3" t="s">
        <v>3794</v>
      </c>
      <c r="F1948" s="5" t="s">
        <v>3782</v>
      </c>
      <c r="G1948" s="4" t="str">
        <f t="shared" si="121"/>
        <v>15th</v>
      </c>
      <c r="H1948" s="4" t="str">
        <f t="shared" si="122"/>
        <v>November</v>
      </c>
      <c r="I1948" s="4" t="str">
        <f t="shared" si="123"/>
        <v>2018</v>
      </c>
      <c r="J1948" s="10" t="s">
        <v>12</v>
      </c>
    </row>
    <row r="1949" spans="1:10" x14ac:dyDescent="0.35">
      <c r="A1949" s="9" t="s">
        <v>2826</v>
      </c>
      <c r="B1949" s="3">
        <v>2</v>
      </c>
      <c r="C1949" s="4" t="str">
        <f t="shared" si="120"/>
        <v>Bad</v>
      </c>
      <c r="D1949" s="3" t="s">
        <v>3795</v>
      </c>
      <c r="E1949" s="3" t="s">
        <v>3796</v>
      </c>
      <c r="F1949" s="5" t="s">
        <v>3782</v>
      </c>
      <c r="G1949" s="4" t="str">
        <f t="shared" si="121"/>
        <v>15th</v>
      </c>
      <c r="H1949" s="4" t="str">
        <f t="shared" si="122"/>
        <v>November</v>
      </c>
      <c r="I1949" s="4" t="str">
        <f t="shared" si="123"/>
        <v>2018</v>
      </c>
      <c r="J1949" s="10" t="s">
        <v>12</v>
      </c>
    </row>
    <row r="1950" spans="1:10" x14ac:dyDescent="0.35">
      <c r="A1950" s="9" t="s">
        <v>2826</v>
      </c>
      <c r="B1950" s="3">
        <v>2</v>
      </c>
      <c r="C1950" s="4" t="str">
        <f t="shared" si="120"/>
        <v>Bad</v>
      </c>
      <c r="D1950" s="3" t="s">
        <v>3797</v>
      </c>
      <c r="E1950" s="3" t="s">
        <v>3798</v>
      </c>
      <c r="F1950" s="5" t="s">
        <v>3782</v>
      </c>
      <c r="G1950" s="4" t="str">
        <f t="shared" si="121"/>
        <v>15th</v>
      </c>
      <c r="H1950" s="4" t="str">
        <f t="shared" si="122"/>
        <v>November</v>
      </c>
      <c r="I1950" s="4" t="str">
        <f t="shared" si="123"/>
        <v>2018</v>
      </c>
      <c r="J1950" s="10" t="s">
        <v>12</v>
      </c>
    </row>
    <row r="1951" spans="1:10" x14ac:dyDescent="0.35">
      <c r="A1951" s="9" t="s">
        <v>2826</v>
      </c>
      <c r="B1951" s="3">
        <v>2</v>
      </c>
      <c r="C1951" s="4" t="str">
        <f t="shared" si="120"/>
        <v>Bad</v>
      </c>
      <c r="D1951" s="3" t="s">
        <v>3799</v>
      </c>
      <c r="E1951" s="3" t="s">
        <v>3800</v>
      </c>
      <c r="F1951" s="5" t="s">
        <v>3782</v>
      </c>
      <c r="G1951" s="4" t="str">
        <f t="shared" si="121"/>
        <v>15th</v>
      </c>
      <c r="H1951" s="4" t="str">
        <f t="shared" si="122"/>
        <v>November</v>
      </c>
      <c r="I1951" s="4" t="str">
        <f t="shared" si="123"/>
        <v>2018</v>
      </c>
      <c r="J1951" s="10" t="s">
        <v>12</v>
      </c>
    </row>
    <row r="1952" spans="1:10" x14ac:dyDescent="0.35">
      <c r="A1952" s="9" t="s">
        <v>3801</v>
      </c>
      <c r="B1952" s="3">
        <v>1</v>
      </c>
      <c r="C1952" s="4" t="str">
        <f t="shared" si="120"/>
        <v>Bad</v>
      </c>
      <c r="D1952" s="3" t="s">
        <v>3802</v>
      </c>
      <c r="E1952" s="3" t="s">
        <v>3803</v>
      </c>
      <c r="F1952" s="5" t="s">
        <v>3804</v>
      </c>
      <c r="G1952" s="4" t="str">
        <f t="shared" si="121"/>
        <v>28th</v>
      </c>
      <c r="H1952" s="4" t="str">
        <f t="shared" si="122"/>
        <v>August</v>
      </c>
      <c r="I1952" s="4" t="str">
        <f t="shared" si="123"/>
        <v>2024</v>
      </c>
      <c r="J1952" s="10" t="s">
        <v>12</v>
      </c>
    </row>
    <row r="1953" spans="1:10" x14ac:dyDescent="0.35">
      <c r="A1953" s="9" t="s">
        <v>3801</v>
      </c>
      <c r="B1953" s="3">
        <v>6</v>
      </c>
      <c r="C1953" s="4" t="str">
        <f t="shared" si="120"/>
        <v>Neutral</v>
      </c>
      <c r="D1953" s="3" t="s">
        <v>3805</v>
      </c>
      <c r="E1953" s="3" t="s">
        <v>3806</v>
      </c>
      <c r="F1953" s="5" t="s">
        <v>3804</v>
      </c>
      <c r="G1953" s="4" t="str">
        <f t="shared" si="121"/>
        <v>28th</v>
      </c>
      <c r="H1953" s="4" t="str">
        <f t="shared" si="122"/>
        <v>August</v>
      </c>
      <c r="I1953" s="4" t="str">
        <f t="shared" si="123"/>
        <v>2024</v>
      </c>
      <c r="J1953" s="10" t="s">
        <v>9</v>
      </c>
    </row>
    <row r="1954" spans="1:10" x14ac:dyDescent="0.35">
      <c r="A1954" s="9" t="s">
        <v>3801</v>
      </c>
      <c r="B1954" s="3">
        <v>1</v>
      </c>
      <c r="C1954" s="4" t="str">
        <f t="shared" si="120"/>
        <v>Bad</v>
      </c>
      <c r="D1954" s="3" t="s">
        <v>3807</v>
      </c>
      <c r="E1954" s="3" t="s">
        <v>3808</v>
      </c>
      <c r="F1954" s="5" t="s">
        <v>3804</v>
      </c>
      <c r="G1954" s="4" t="str">
        <f t="shared" si="121"/>
        <v>28th</v>
      </c>
      <c r="H1954" s="4" t="str">
        <f t="shared" si="122"/>
        <v>August</v>
      </c>
      <c r="I1954" s="4" t="str">
        <f t="shared" si="123"/>
        <v>2024</v>
      </c>
      <c r="J1954" s="10" t="s">
        <v>12</v>
      </c>
    </row>
    <row r="1955" spans="1:10" x14ac:dyDescent="0.35">
      <c r="A1955" s="9" t="s">
        <v>3801</v>
      </c>
      <c r="B1955" s="3">
        <v>10</v>
      </c>
      <c r="C1955" s="4" t="str">
        <f t="shared" si="120"/>
        <v>Good</v>
      </c>
      <c r="D1955" s="3" t="s">
        <v>3809</v>
      </c>
      <c r="E1955" s="3" t="s">
        <v>3810</v>
      </c>
      <c r="F1955" s="5" t="s">
        <v>3804</v>
      </c>
      <c r="G1955" s="4" t="str">
        <f t="shared" si="121"/>
        <v>28th</v>
      </c>
      <c r="H1955" s="4" t="str">
        <f t="shared" si="122"/>
        <v>August</v>
      </c>
      <c r="I1955" s="4" t="str">
        <f t="shared" si="123"/>
        <v>2024</v>
      </c>
      <c r="J1955" s="10" t="s">
        <v>9</v>
      </c>
    </row>
    <row r="1956" spans="1:10" x14ac:dyDescent="0.35">
      <c r="A1956" s="9" t="s">
        <v>3801</v>
      </c>
      <c r="B1956" s="3">
        <v>6</v>
      </c>
      <c r="C1956" s="4" t="str">
        <f t="shared" si="120"/>
        <v>Neutral</v>
      </c>
      <c r="D1956" s="3" t="s">
        <v>3811</v>
      </c>
      <c r="E1956" s="3" t="s">
        <v>476</v>
      </c>
      <c r="F1956" s="5" t="s">
        <v>3804</v>
      </c>
      <c r="G1956" s="4" t="str">
        <f t="shared" si="121"/>
        <v>28th</v>
      </c>
      <c r="H1956" s="4" t="str">
        <f t="shared" si="122"/>
        <v>August</v>
      </c>
      <c r="I1956" s="4" t="str">
        <f t="shared" si="123"/>
        <v>2024</v>
      </c>
      <c r="J1956" s="10" t="s">
        <v>9</v>
      </c>
    </row>
    <row r="1957" spans="1:10" x14ac:dyDescent="0.35">
      <c r="A1957" s="9" t="s">
        <v>3801</v>
      </c>
      <c r="B1957" s="3">
        <v>7</v>
      </c>
      <c r="C1957" s="4" t="str">
        <f t="shared" si="120"/>
        <v>Neutral</v>
      </c>
      <c r="D1957" s="3" t="s">
        <v>3812</v>
      </c>
      <c r="E1957" s="3" t="s">
        <v>3813</v>
      </c>
      <c r="F1957" s="5" t="s">
        <v>3804</v>
      </c>
      <c r="G1957" s="4" t="str">
        <f t="shared" si="121"/>
        <v>28th</v>
      </c>
      <c r="H1957" s="4" t="str">
        <f t="shared" si="122"/>
        <v>August</v>
      </c>
      <c r="I1957" s="4" t="str">
        <f t="shared" si="123"/>
        <v>2024</v>
      </c>
      <c r="J1957" s="10" t="s">
        <v>9</v>
      </c>
    </row>
    <row r="1958" spans="1:10" x14ac:dyDescent="0.35">
      <c r="A1958" s="9" t="s">
        <v>3801</v>
      </c>
      <c r="B1958" s="3">
        <v>1</v>
      </c>
      <c r="C1958" s="4" t="str">
        <f t="shared" si="120"/>
        <v>Bad</v>
      </c>
      <c r="D1958" s="3" t="s">
        <v>3814</v>
      </c>
      <c r="E1958" s="3" t="s">
        <v>3815</v>
      </c>
      <c r="F1958" s="5" t="s">
        <v>3804</v>
      </c>
      <c r="G1958" s="4" t="str">
        <f t="shared" si="121"/>
        <v>28th</v>
      </c>
      <c r="H1958" s="4" t="str">
        <f t="shared" si="122"/>
        <v>August</v>
      </c>
      <c r="I1958" s="4" t="str">
        <f t="shared" si="123"/>
        <v>2024</v>
      </c>
      <c r="J1958" s="10" t="s">
        <v>12</v>
      </c>
    </row>
    <row r="1959" spans="1:10" x14ac:dyDescent="0.35">
      <c r="A1959" s="9" t="s">
        <v>3801</v>
      </c>
      <c r="B1959" s="3">
        <v>10</v>
      </c>
      <c r="C1959" s="4" t="str">
        <f t="shared" si="120"/>
        <v>Good</v>
      </c>
      <c r="D1959" s="3" t="s">
        <v>3816</v>
      </c>
      <c r="E1959" s="3" t="s">
        <v>3817</v>
      </c>
      <c r="F1959" s="5" t="s">
        <v>3804</v>
      </c>
      <c r="G1959" s="4" t="str">
        <f t="shared" si="121"/>
        <v>28th</v>
      </c>
      <c r="H1959" s="4" t="str">
        <f t="shared" si="122"/>
        <v>August</v>
      </c>
      <c r="I1959" s="4" t="str">
        <f t="shared" si="123"/>
        <v>2024</v>
      </c>
      <c r="J1959" s="10" t="s">
        <v>9</v>
      </c>
    </row>
    <row r="1960" spans="1:10" x14ac:dyDescent="0.35">
      <c r="A1960" s="9" t="s">
        <v>3801</v>
      </c>
      <c r="B1960" s="3">
        <v>7</v>
      </c>
      <c r="C1960" s="4" t="str">
        <f t="shared" si="120"/>
        <v>Neutral</v>
      </c>
      <c r="D1960" s="3" t="s">
        <v>3818</v>
      </c>
      <c r="E1960" s="3" t="s">
        <v>259</v>
      </c>
      <c r="F1960" s="5" t="s">
        <v>3804</v>
      </c>
      <c r="G1960" s="4" t="str">
        <f t="shared" si="121"/>
        <v>28th</v>
      </c>
      <c r="H1960" s="4" t="str">
        <f t="shared" si="122"/>
        <v>August</v>
      </c>
      <c r="I1960" s="4" t="str">
        <f t="shared" si="123"/>
        <v>2024</v>
      </c>
      <c r="J1960" s="10" t="s">
        <v>9</v>
      </c>
    </row>
    <row r="1961" spans="1:10" x14ac:dyDescent="0.35">
      <c r="A1961" s="9" t="s">
        <v>3801</v>
      </c>
      <c r="B1961" s="3">
        <v>4</v>
      </c>
      <c r="C1961" s="4" t="str">
        <f t="shared" si="120"/>
        <v>Bad</v>
      </c>
      <c r="D1961" s="3" t="s">
        <v>3819</v>
      </c>
      <c r="E1961" s="3" t="s">
        <v>3820</v>
      </c>
      <c r="F1961" s="5" t="s">
        <v>3804</v>
      </c>
      <c r="G1961" s="4" t="str">
        <f t="shared" si="121"/>
        <v>28th</v>
      </c>
      <c r="H1961" s="4" t="str">
        <f t="shared" si="122"/>
        <v>August</v>
      </c>
      <c r="I1961" s="4" t="str">
        <f t="shared" si="123"/>
        <v>2024</v>
      </c>
      <c r="J1961" s="10" t="s">
        <v>12</v>
      </c>
    </row>
    <row r="1962" spans="1:10" x14ac:dyDescent="0.35">
      <c r="A1962" s="9" t="s">
        <v>3801</v>
      </c>
      <c r="B1962" s="3">
        <v>8</v>
      </c>
      <c r="C1962" s="4" t="str">
        <f t="shared" si="120"/>
        <v>Good</v>
      </c>
      <c r="D1962" s="3" t="s">
        <v>3821</v>
      </c>
      <c r="E1962" s="3" t="s">
        <v>3822</v>
      </c>
      <c r="F1962" s="5" t="s">
        <v>3823</v>
      </c>
      <c r="G1962" s="4" t="str">
        <f t="shared" si="121"/>
        <v>30th</v>
      </c>
      <c r="H1962" s="4" t="str">
        <f t="shared" si="122"/>
        <v>April</v>
      </c>
      <c r="I1962" s="4" t="str">
        <f t="shared" si="123"/>
        <v>2024</v>
      </c>
      <c r="J1962" s="10" t="s">
        <v>9</v>
      </c>
    </row>
    <row r="1963" spans="1:10" x14ac:dyDescent="0.35">
      <c r="A1963" s="9" t="s">
        <v>3801</v>
      </c>
      <c r="B1963" s="3">
        <v>10</v>
      </c>
      <c r="C1963" s="4" t="str">
        <f t="shared" si="120"/>
        <v>Good</v>
      </c>
      <c r="D1963" s="3" t="s">
        <v>3824</v>
      </c>
      <c r="E1963" s="3" t="s">
        <v>391</v>
      </c>
      <c r="F1963" s="5" t="s">
        <v>3823</v>
      </c>
      <c r="G1963" s="4" t="str">
        <f t="shared" si="121"/>
        <v>30th</v>
      </c>
      <c r="H1963" s="4" t="str">
        <f t="shared" si="122"/>
        <v>April</v>
      </c>
      <c r="I1963" s="4" t="str">
        <f t="shared" si="123"/>
        <v>2024</v>
      </c>
      <c r="J1963" s="10" t="s">
        <v>9</v>
      </c>
    </row>
    <row r="1964" spans="1:10" x14ac:dyDescent="0.35">
      <c r="A1964" s="9" t="s">
        <v>3801</v>
      </c>
      <c r="B1964" s="3">
        <v>1</v>
      </c>
      <c r="C1964" s="4" t="str">
        <f t="shared" si="120"/>
        <v>Bad</v>
      </c>
      <c r="D1964" s="3" t="s">
        <v>3825</v>
      </c>
      <c r="E1964" s="3" t="s">
        <v>3826</v>
      </c>
      <c r="F1964" s="5" t="s">
        <v>3823</v>
      </c>
      <c r="G1964" s="4" t="str">
        <f t="shared" si="121"/>
        <v>30th</v>
      </c>
      <c r="H1964" s="4" t="str">
        <f t="shared" si="122"/>
        <v>April</v>
      </c>
      <c r="I1964" s="4" t="str">
        <f t="shared" si="123"/>
        <v>2024</v>
      </c>
      <c r="J1964" s="10" t="s">
        <v>12</v>
      </c>
    </row>
    <row r="1965" spans="1:10" x14ac:dyDescent="0.35">
      <c r="A1965" s="9" t="s">
        <v>3801</v>
      </c>
      <c r="B1965" s="3">
        <v>9</v>
      </c>
      <c r="C1965" s="4" t="str">
        <f t="shared" si="120"/>
        <v>Good</v>
      </c>
      <c r="D1965" s="3" t="s">
        <v>3827</v>
      </c>
      <c r="E1965" s="3" t="s">
        <v>3828</v>
      </c>
      <c r="F1965" s="5" t="s">
        <v>3823</v>
      </c>
      <c r="G1965" s="4" t="str">
        <f t="shared" si="121"/>
        <v>30th</v>
      </c>
      <c r="H1965" s="4" t="str">
        <f t="shared" si="122"/>
        <v>April</v>
      </c>
      <c r="I1965" s="4" t="str">
        <f t="shared" si="123"/>
        <v>2024</v>
      </c>
      <c r="J1965" s="10" t="s">
        <v>9</v>
      </c>
    </row>
    <row r="1966" spans="1:10" x14ac:dyDescent="0.35">
      <c r="A1966" s="9" t="s">
        <v>3801</v>
      </c>
      <c r="B1966" s="3">
        <v>3</v>
      </c>
      <c r="C1966" s="4" t="str">
        <f t="shared" si="120"/>
        <v>Bad</v>
      </c>
      <c r="D1966" s="3" t="s">
        <v>3829</v>
      </c>
      <c r="E1966" s="3" t="s">
        <v>3830</v>
      </c>
      <c r="F1966" s="5" t="s">
        <v>3823</v>
      </c>
      <c r="G1966" s="4" t="str">
        <f t="shared" si="121"/>
        <v>30th</v>
      </c>
      <c r="H1966" s="4" t="str">
        <f t="shared" si="122"/>
        <v>April</v>
      </c>
      <c r="I1966" s="4" t="str">
        <f t="shared" si="123"/>
        <v>2024</v>
      </c>
      <c r="J1966" s="10" t="s">
        <v>9</v>
      </c>
    </row>
    <row r="1967" spans="1:10" x14ac:dyDescent="0.35">
      <c r="A1967" s="9" t="s">
        <v>3801</v>
      </c>
      <c r="B1967" s="3">
        <v>7</v>
      </c>
      <c r="C1967" s="4" t="str">
        <f t="shared" si="120"/>
        <v>Neutral</v>
      </c>
      <c r="D1967" s="3" t="s">
        <v>3831</v>
      </c>
      <c r="E1967" s="3" t="s">
        <v>3832</v>
      </c>
      <c r="F1967" s="5" t="s">
        <v>3823</v>
      </c>
      <c r="G1967" s="4" t="str">
        <f t="shared" si="121"/>
        <v>30th</v>
      </c>
      <c r="H1967" s="4" t="str">
        <f t="shared" si="122"/>
        <v>April</v>
      </c>
      <c r="I1967" s="4" t="str">
        <f t="shared" si="123"/>
        <v>2024</v>
      </c>
      <c r="J1967" s="10" t="s">
        <v>9</v>
      </c>
    </row>
    <row r="1968" spans="1:10" x14ac:dyDescent="0.35">
      <c r="A1968" s="9" t="s">
        <v>3801</v>
      </c>
      <c r="B1968" s="3">
        <v>1</v>
      </c>
      <c r="C1968" s="4" t="str">
        <f t="shared" si="120"/>
        <v>Bad</v>
      </c>
      <c r="D1968" s="3" t="s">
        <v>3833</v>
      </c>
      <c r="E1968" s="3" t="s">
        <v>3834</v>
      </c>
      <c r="F1968" s="5" t="s">
        <v>3823</v>
      </c>
      <c r="G1968" s="4" t="str">
        <f t="shared" si="121"/>
        <v>30th</v>
      </c>
      <c r="H1968" s="4" t="str">
        <f t="shared" si="122"/>
        <v>April</v>
      </c>
      <c r="I1968" s="4" t="str">
        <f t="shared" si="123"/>
        <v>2024</v>
      </c>
      <c r="J1968" s="10" t="s">
        <v>12</v>
      </c>
    </row>
    <row r="1969" spans="1:10" x14ac:dyDescent="0.35">
      <c r="A1969" s="9" t="s">
        <v>3801</v>
      </c>
      <c r="B1969" s="3">
        <v>1</v>
      </c>
      <c r="C1969" s="4" t="str">
        <f t="shared" si="120"/>
        <v>Bad</v>
      </c>
      <c r="D1969" s="3" t="s">
        <v>3835</v>
      </c>
      <c r="E1969" s="3" t="s">
        <v>3836</v>
      </c>
      <c r="F1969" s="5" t="s">
        <v>3823</v>
      </c>
      <c r="G1969" s="4" t="str">
        <f t="shared" si="121"/>
        <v>30th</v>
      </c>
      <c r="H1969" s="4" t="str">
        <f t="shared" si="122"/>
        <v>April</v>
      </c>
      <c r="I1969" s="4" t="str">
        <f t="shared" si="123"/>
        <v>2024</v>
      </c>
      <c r="J1969" s="10" t="s">
        <v>12</v>
      </c>
    </row>
    <row r="1970" spans="1:10" x14ac:dyDescent="0.35">
      <c r="A1970" s="9" t="s">
        <v>3801</v>
      </c>
      <c r="B1970" s="3">
        <v>1</v>
      </c>
      <c r="C1970" s="4" t="str">
        <f t="shared" si="120"/>
        <v>Bad</v>
      </c>
      <c r="D1970" s="3" t="s">
        <v>3837</v>
      </c>
      <c r="E1970" s="3" t="s">
        <v>3838</v>
      </c>
      <c r="F1970" s="5" t="s">
        <v>3823</v>
      </c>
      <c r="G1970" s="4" t="str">
        <f t="shared" si="121"/>
        <v>30th</v>
      </c>
      <c r="H1970" s="4" t="str">
        <f t="shared" si="122"/>
        <v>April</v>
      </c>
      <c r="I1970" s="4" t="str">
        <f t="shared" si="123"/>
        <v>2024</v>
      </c>
      <c r="J1970" s="10" t="s">
        <v>12</v>
      </c>
    </row>
    <row r="1971" spans="1:10" x14ac:dyDescent="0.35">
      <c r="A1971" s="9" t="s">
        <v>3801</v>
      </c>
      <c r="B1971" s="3">
        <v>9</v>
      </c>
      <c r="C1971" s="4" t="str">
        <f t="shared" si="120"/>
        <v>Good</v>
      </c>
      <c r="D1971" s="3" t="s">
        <v>3839</v>
      </c>
      <c r="E1971" s="3" t="s">
        <v>3840</v>
      </c>
      <c r="F1971" s="5" t="s">
        <v>3823</v>
      </c>
      <c r="G1971" s="4" t="str">
        <f t="shared" si="121"/>
        <v>30th</v>
      </c>
      <c r="H1971" s="4" t="str">
        <f t="shared" si="122"/>
        <v>April</v>
      </c>
      <c r="I1971" s="4" t="str">
        <f t="shared" si="123"/>
        <v>2024</v>
      </c>
      <c r="J1971" s="10" t="s">
        <v>9</v>
      </c>
    </row>
    <row r="1972" spans="1:10" x14ac:dyDescent="0.35">
      <c r="A1972" s="9" t="s">
        <v>3801</v>
      </c>
      <c r="B1972" s="3">
        <v>10</v>
      </c>
      <c r="C1972" s="4" t="str">
        <f t="shared" si="120"/>
        <v>Good</v>
      </c>
      <c r="D1972" s="3" t="s">
        <v>624</v>
      </c>
      <c r="E1972" s="3" t="s">
        <v>3841</v>
      </c>
      <c r="F1972" s="5" t="s">
        <v>3842</v>
      </c>
      <c r="G1972" s="4" t="str">
        <f t="shared" si="121"/>
        <v>17th</v>
      </c>
      <c r="H1972" s="4" t="str">
        <f t="shared" si="122"/>
        <v>February</v>
      </c>
      <c r="I1972" s="4" t="str">
        <f t="shared" si="123"/>
        <v>2024</v>
      </c>
      <c r="J1972" s="10" t="s">
        <v>9</v>
      </c>
    </row>
    <row r="1973" spans="1:10" x14ac:dyDescent="0.35">
      <c r="A1973" s="9" t="s">
        <v>3801</v>
      </c>
      <c r="B1973" s="3">
        <v>1</v>
      </c>
      <c r="C1973" s="4" t="str">
        <f t="shared" si="120"/>
        <v>Bad</v>
      </c>
      <c r="D1973" s="3" t="s">
        <v>3843</v>
      </c>
      <c r="E1973" s="3" t="s">
        <v>183</v>
      </c>
      <c r="F1973" s="5" t="s">
        <v>3842</v>
      </c>
      <c r="G1973" s="4" t="str">
        <f t="shared" si="121"/>
        <v>17th</v>
      </c>
      <c r="H1973" s="4" t="str">
        <f t="shared" si="122"/>
        <v>February</v>
      </c>
      <c r="I1973" s="4" t="str">
        <f t="shared" si="123"/>
        <v>2024</v>
      </c>
      <c r="J1973" s="10" t="s">
        <v>12</v>
      </c>
    </row>
    <row r="1974" spans="1:10" x14ac:dyDescent="0.35">
      <c r="A1974" s="9" t="s">
        <v>3801</v>
      </c>
      <c r="B1974" s="3">
        <v>1</v>
      </c>
      <c r="C1974" s="4" t="str">
        <f t="shared" si="120"/>
        <v>Bad</v>
      </c>
      <c r="D1974" s="3" t="s">
        <v>3844</v>
      </c>
      <c r="E1974" s="3" t="s">
        <v>3845</v>
      </c>
      <c r="F1974" s="5" t="s">
        <v>3842</v>
      </c>
      <c r="G1974" s="4" t="str">
        <f t="shared" si="121"/>
        <v>17th</v>
      </c>
      <c r="H1974" s="4" t="str">
        <f t="shared" si="122"/>
        <v>February</v>
      </c>
      <c r="I1974" s="4" t="str">
        <f t="shared" si="123"/>
        <v>2024</v>
      </c>
      <c r="J1974" s="10" t="s">
        <v>12</v>
      </c>
    </row>
    <row r="1975" spans="1:10" x14ac:dyDescent="0.35">
      <c r="A1975" s="9" t="s">
        <v>3801</v>
      </c>
      <c r="B1975" s="3">
        <v>9</v>
      </c>
      <c r="C1975" s="4" t="str">
        <f t="shared" si="120"/>
        <v>Good</v>
      </c>
      <c r="D1975" s="3" t="s">
        <v>3846</v>
      </c>
      <c r="E1975" s="3" t="s">
        <v>3847</v>
      </c>
      <c r="F1975" s="5" t="s">
        <v>3842</v>
      </c>
      <c r="G1975" s="4" t="str">
        <f t="shared" si="121"/>
        <v>17th</v>
      </c>
      <c r="H1975" s="4" t="str">
        <f t="shared" si="122"/>
        <v>February</v>
      </c>
      <c r="I1975" s="4" t="str">
        <f t="shared" si="123"/>
        <v>2024</v>
      </c>
      <c r="J1975" s="10" t="s">
        <v>9</v>
      </c>
    </row>
    <row r="1976" spans="1:10" x14ac:dyDescent="0.35">
      <c r="A1976" s="9" t="s">
        <v>3801</v>
      </c>
      <c r="B1976" s="3">
        <v>2</v>
      </c>
      <c r="C1976" s="4" t="str">
        <f t="shared" si="120"/>
        <v>Bad</v>
      </c>
      <c r="D1976" s="3" t="s">
        <v>3848</v>
      </c>
      <c r="E1976" s="3" t="s">
        <v>3849</v>
      </c>
      <c r="F1976" s="5" t="s">
        <v>3842</v>
      </c>
      <c r="G1976" s="4" t="str">
        <f t="shared" si="121"/>
        <v>17th</v>
      </c>
      <c r="H1976" s="4" t="str">
        <f t="shared" si="122"/>
        <v>February</v>
      </c>
      <c r="I1976" s="4" t="str">
        <f t="shared" si="123"/>
        <v>2024</v>
      </c>
      <c r="J1976" s="10" t="s">
        <v>12</v>
      </c>
    </row>
    <row r="1977" spans="1:10" x14ac:dyDescent="0.35">
      <c r="A1977" s="9" t="s">
        <v>3801</v>
      </c>
      <c r="B1977" s="3">
        <v>9</v>
      </c>
      <c r="C1977" s="4" t="str">
        <f t="shared" si="120"/>
        <v>Good</v>
      </c>
      <c r="D1977" s="3" t="s">
        <v>3850</v>
      </c>
      <c r="E1977" s="3" t="s">
        <v>3851</v>
      </c>
      <c r="F1977" s="5" t="s">
        <v>3842</v>
      </c>
      <c r="G1977" s="4" t="str">
        <f t="shared" si="121"/>
        <v>17th</v>
      </c>
      <c r="H1977" s="4" t="str">
        <f t="shared" si="122"/>
        <v>February</v>
      </c>
      <c r="I1977" s="4" t="str">
        <f t="shared" si="123"/>
        <v>2024</v>
      </c>
      <c r="J1977" s="10" t="s">
        <v>9</v>
      </c>
    </row>
    <row r="1978" spans="1:10" x14ac:dyDescent="0.35">
      <c r="A1978" s="9" t="s">
        <v>3801</v>
      </c>
      <c r="B1978" s="3">
        <v>10</v>
      </c>
      <c r="C1978" s="4" t="str">
        <f t="shared" si="120"/>
        <v>Good</v>
      </c>
      <c r="D1978" s="3" t="s">
        <v>3852</v>
      </c>
      <c r="E1978" s="3" t="s">
        <v>3853</v>
      </c>
      <c r="F1978" s="5" t="s">
        <v>3842</v>
      </c>
      <c r="G1978" s="4" t="str">
        <f t="shared" si="121"/>
        <v>17th</v>
      </c>
      <c r="H1978" s="4" t="str">
        <f t="shared" si="122"/>
        <v>February</v>
      </c>
      <c r="I1978" s="4" t="str">
        <f t="shared" si="123"/>
        <v>2024</v>
      </c>
      <c r="J1978" s="10" t="s">
        <v>9</v>
      </c>
    </row>
    <row r="1979" spans="1:10" x14ac:dyDescent="0.35">
      <c r="A1979" s="9" t="s">
        <v>3801</v>
      </c>
      <c r="B1979" s="3">
        <v>10</v>
      </c>
      <c r="C1979" s="4" t="str">
        <f t="shared" si="120"/>
        <v>Good</v>
      </c>
      <c r="D1979" s="3" t="s">
        <v>3854</v>
      </c>
      <c r="E1979" s="3" t="s">
        <v>3855</v>
      </c>
      <c r="F1979" s="5" t="s">
        <v>3842</v>
      </c>
      <c r="G1979" s="4" t="str">
        <f t="shared" si="121"/>
        <v>17th</v>
      </c>
      <c r="H1979" s="4" t="str">
        <f t="shared" si="122"/>
        <v>February</v>
      </c>
      <c r="I1979" s="4" t="str">
        <f t="shared" si="123"/>
        <v>2024</v>
      </c>
      <c r="J1979" s="10" t="s">
        <v>9</v>
      </c>
    </row>
    <row r="1980" spans="1:10" x14ac:dyDescent="0.35">
      <c r="A1980" s="9" t="s">
        <v>3801</v>
      </c>
      <c r="B1980" s="3">
        <v>10</v>
      </c>
      <c r="C1980" s="4" t="str">
        <f t="shared" si="120"/>
        <v>Good</v>
      </c>
      <c r="D1980" s="3" t="s">
        <v>3856</v>
      </c>
      <c r="E1980" s="3" t="s">
        <v>3857</v>
      </c>
      <c r="F1980" s="5" t="s">
        <v>3842</v>
      </c>
      <c r="G1980" s="4" t="str">
        <f t="shared" si="121"/>
        <v>17th</v>
      </c>
      <c r="H1980" s="4" t="str">
        <f t="shared" si="122"/>
        <v>February</v>
      </c>
      <c r="I1980" s="4" t="str">
        <f t="shared" si="123"/>
        <v>2024</v>
      </c>
      <c r="J1980" s="10" t="s">
        <v>9</v>
      </c>
    </row>
    <row r="1981" spans="1:10" x14ac:dyDescent="0.35">
      <c r="A1981" s="9" t="s">
        <v>3801</v>
      </c>
      <c r="B1981" s="3">
        <v>1</v>
      </c>
      <c r="C1981" s="4" t="str">
        <f t="shared" si="120"/>
        <v>Bad</v>
      </c>
      <c r="D1981" s="3" t="s">
        <v>3858</v>
      </c>
      <c r="E1981" s="3" t="s">
        <v>1543</v>
      </c>
      <c r="F1981" s="5" t="s">
        <v>3842</v>
      </c>
      <c r="G1981" s="4" t="str">
        <f t="shared" si="121"/>
        <v>17th</v>
      </c>
      <c r="H1981" s="4" t="str">
        <f t="shared" si="122"/>
        <v>February</v>
      </c>
      <c r="I1981" s="4" t="str">
        <f t="shared" si="123"/>
        <v>2024</v>
      </c>
      <c r="J1981" s="10" t="s">
        <v>12</v>
      </c>
    </row>
    <row r="1982" spans="1:10" x14ac:dyDescent="0.35">
      <c r="A1982" s="9" t="s">
        <v>3801</v>
      </c>
      <c r="B1982" s="3">
        <v>9</v>
      </c>
      <c r="C1982" s="4" t="str">
        <f t="shared" si="120"/>
        <v>Good</v>
      </c>
      <c r="D1982" s="3" t="s">
        <v>3859</v>
      </c>
      <c r="E1982" s="3" t="s">
        <v>3860</v>
      </c>
      <c r="F1982" s="5" t="s">
        <v>3861</v>
      </c>
      <c r="G1982" s="4" t="str">
        <f t="shared" si="121"/>
        <v>28th</v>
      </c>
      <c r="H1982" s="4" t="str">
        <f t="shared" si="122"/>
        <v>November</v>
      </c>
      <c r="I1982" s="4" t="str">
        <f t="shared" si="123"/>
        <v>2023</v>
      </c>
      <c r="J1982" s="10" t="s">
        <v>9</v>
      </c>
    </row>
    <row r="1983" spans="1:10" x14ac:dyDescent="0.35">
      <c r="A1983" s="9" t="s">
        <v>3801</v>
      </c>
      <c r="B1983" s="3">
        <v>1</v>
      </c>
      <c r="C1983" s="4" t="str">
        <f t="shared" si="120"/>
        <v>Bad</v>
      </c>
      <c r="D1983" s="3" t="s">
        <v>3805</v>
      </c>
      <c r="E1983" s="3" t="s">
        <v>3862</v>
      </c>
      <c r="F1983" s="5" t="s">
        <v>3861</v>
      </c>
      <c r="G1983" s="4" t="str">
        <f t="shared" si="121"/>
        <v>28th</v>
      </c>
      <c r="H1983" s="4" t="str">
        <f t="shared" si="122"/>
        <v>November</v>
      </c>
      <c r="I1983" s="4" t="str">
        <f t="shared" si="123"/>
        <v>2023</v>
      </c>
      <c r="J1983" s="10" t="s">
        <v>12</v>
      </c>
    </row>
    <row r="1984" spans="1:10" x14ac:dyDescent="0.35">
      <c r="A1984" s="9" t="s">
        <v>3801</v>
      </c>
      <c r="B1984" s="3">
        <v>9</v>
      </c>
      <c r="C1984" s="4" t="str">
        <f t="shared" si="120"/>
        <v>Good</v>
      </c>
      <c r="D1984" s="3" t="s">
        <v>3863</v>
      </c>
      <c r="E1984" s="3" t="s">
        <v>3864</v>
      </c>
      <c r="F1984" s="5" t="s">
        <v>3861</v>
      </c>
      <c r="G1984" s="4" t="str">
        <f t="shared" si="121"/>
        <v>28th</v>
      </c>
      <c r="H1984" s="4" t="str">
        <f t="shared" si="122"/>
        <v>November</v>
      </c>
      <c r="I1984" s="4" t="str">
        <f t="shared" si="123"/>
        <v>2023</v>
      </c>
      <c r="J1984" s="10" t="s">
        <v>9</v>
      </c>
    </row>
    <row r="1985" spans="1:10" x14ac:dyDescent="0.35">
      <c r="A1985" s="9" t="s">
        <v>3801</v>
      </c>
      <c r="B1985" s="3">
        <v>7</v>
      </c>
      <c r="C1985" s="4" t="str">
        <f t="shared" si="120"/>
        <v>Neutral</v>
      </c>
      <c r="D1985" s="3" t="s">
        <v>3865</v>
      </c>
      <c r="E1985" s="3" t="s">
        <v>1243</v>
      </c>
      <c r="F1985" s="5" t="s">
        <v>3861</v>
      </c>
      <c r="G1985" s="4" t="str">
        <f t="shared" si="121"/>
        <v>28th</v>
      </c>
      <c r="H1985" s="4" t="str">
        <f t="shared" si="122"/>
        <v>November</v>
      </c>
      <c r="I1985" s="4" t="str">
        <f t="shared" si="123"/>
        <v>2023</v>
      </c>
      <c r="J1985" s="10" t="s">
        <v>9</v>
      </c>
    </row>
    <row r="1986" spans="1:10" x14ac:dyDescent="0.35">
      <c r="A1986" s="9" t="s">
        <v>3801</v>
      </c>
      <c r="B1986" s="3">
        <v>1</v>
      </c>
      <c r="C1986" s="4" t="str">
        <f t="shared" si="120"/>
        <v>Bad</v>
      </c>
      <c r="D1986" s="3" t="s">
        <v>3866</v>
      </c>
      <c r="E1986" s="3" t="s">
        <v>3867</v>
      </c>
      <c r="F1986" s="5" t="s">
        <v>3861</v>
      </c>
      <c r="G1986" s="4" t="str">
        <f t="shared" si="121"/>
        <v>28th</v>
      </c>
      <c r="H1986" s="4" t="str">
        <f t="shared" si="122"/>
        <v>November</v>
      </c>
      <c r="I1986" s="4" t="str">
        <f t="shared" si="123"/>
        <v>2023</v>
      </c>
      <c r="J1986" s="10" t="s">
        <v>12</v>
      </c>
    </row>
    <row r="1987" spans="1:10" x14ac:dyDescent="0.35">
      <c r="A1987" s="9" t="s">
        <v>3801</v>
      </c>
      <c r="B1987" s="3">
        <v>6</v>
      </c>
      <c r="C1987" s="4" t="str">
        <f t="shared" ref="C1987:C2050" si="124">IF(B1987&gt;=8,"Good",IF(B1987&gt;=5,"Neutral","Bad"))</f>
        <v>Neutral</v>
      </c>
      <c r="D1987" s="3" t="s">
        <v>3868</v>
      </c>
      <c r="E1987" s="3" t="s">
        <v>1243</v>
      </c>
      <c r="F1987" s="5" t="s">
        <v>3861</v>
      </c>
      <c r="G1987" s="4" t="str">
        <f t="shared" ref="G1987:G2050" si="125">LEFT(F1987, FIND(" ", F1987)-1)</f>
        <v>28th</v>
      </c>
      <c r="H1987" s="4" t="str">
        <f t="shared" ref="H1987:H2050" si="126">TRIM(MID(F1987, FIND(" ", F1987)+1, FIND(" ", F1987, FIND(" ", F1987)+1) - FIND(" ", F1987)-1))</f>
        <v>November</v>
      </c>
      <c r="I1987" s="4" t="str">
        <f t="shared" ref="I1987:I2050" si="127">RIGHT(F1987, 4)</f>
        <v>2023</v>
      </c>
      <c r="J1987" s="10" t="s">
        <v>9</v>
      </c>
    </row>
    <row r="1988" spans="1:10" x14ac:dyDescent="0.35">
      <c r="A1988" s="9" t="s">
        <v>3801</v>
      </c>
      <c r="B1988" s="3">
        <v>9</v>
      </c>
      <c r="C1988" s="4" t="str">
        <f t="shared" si="124"/>
        <v>Good</v>
      </c>
      <c r="D1988" s="3" t="s">
        <v>3869</v>
      </c>
      <c r="E1988" s="3" t="s">
        <v>1243</v>
      </c>
      <c r="F1988" s="5" t="s">
        <v>3861</v>
      </c>
      <c r="G1988" s="4" t="str">
        <f t="shared" si="125"/>
        <v>28th</v>
      </c>
      <c r="H1988" s="4" t="str">
        <f t="shared" si="126"/>
        <v>November</v>
      </c>
      <c r="I1988" s="4" t="str">
        <f t="shared" si="127"/>
        <v>2023</v>
      </c>
      <c r="J1988" s="10" t="s">
        <v>9</v>
      </c>
    </row>
    <row r="1989" spans="1:10" x14ac:dyDescent="0.35">
      <c r="A1989" s="9" t="s">
        <v>3801</v>
      </c>
      <c r="B1989" s="3">
        <v>2</v>
      </c>
      <c r="C1989" s="4" t="str">
        <f t="shared" si="124"/>
        <v>Bad</v>
      </c>
      <c r="D1989" s="3" t="s">
        <v>3870</v>
      </c>
      <c r="E1989" s="3" t="s">
        <v>3871</v>
      </c>
      <c r="F1989" s="5" t="s">
        <v>3861</v>
      </c>
      <c r="G1989" s="4" t="str">
        <f t="shared" si="125"/>
        <v>28th</v>
      </c>
      <c r="H1989" s="4" t="str">
        <f t="shared" si="126"/>
        <v>November</v>
      </c>
      <c r="I1989" s="4" t="str">
        <f t="shared" si="127"/>
        <v>2023</v>
      </c>
      <c r="J1989" s="10" t="s">
        <v>12</v>
      </c>
    </row>
    <row r="1990" spans="1:10" x14ac:dyDescent="0.35">
      <c r="A1990" s="9" t="s">
        <v>3801</v>
      </c>
      <c r="B1990" s="3">
        <v>3</v>
      </c>
      <c r="C1990" s="4" t="str">
        <f t="shared" si="124"/>
        <v>Bad</v>
      </c>
      <c r="D1990" s="3" t="s">
        <v>3872</v>
      </c>
      <c r="E1990" s="3" t="s">
        <v>3873</v>
      </c>
      <c r="F1990" s="5" t="s">
        <v>3861</v>
      </c>
      <c r="G1990" s="4" t="str">
        <f t="shared" si="125"/>
        <v>28th</v>
      </c>
      <c r="H1990" s="4" t="str">
        <f t="shared" si="126"/>
        <v>November</v>
      </c>
      <c r="I1990" s="4" t="str">
        <f t="shared" si="127"/>
        <v>2023</v>
      </c>
      <c r="J1990" s="10" t="s">
        <v>12</v>
      </c>
    </row>
    <row r="1991" spans="1:10" x14ac:dyDescent="0.35">
      <c r="A1991" s="9" t="s">
        <v>3801</v>
      </c>
      <c r="B1991" s="3">
        <v>10</v>
      </c>
      <c r="C1991" s="4" t="str">
        <f t="shared" si="124"/>
        <v>Good</v>
      </c>
      <c r="D1991" s="3" t="s">
        <v>3874</v>
      </c>
      <c r="E1991" s="3" t="s">
        <v>3875</v>
      </c>
      <c r="F1991" s="5" t="s">
        <v>3861</v>
      </c>
      <c r="G1991" s="4" t="str">
        <f t="shared" si="125"/>
        <v>28th</v>
      </c>
      <c r="H1991" s="4" t="str">
        <f t="shared" si="126"/>
        <v>November</v>
      </c>
      <c r="I1991" s="4" t="str">
        <f t="shared" si="127"/>
        <v>2023</v>
      </c>
      <c r="J1991" s="10" t="s">
        <v>9</v>
      </c>
    </row>
    <row r="1992" spans="1:10" x14ac:dyDescent="0.35">
      <c r="A1992" s="9" t="s">
        <v>3801</v>
      </c>
      <c r="B1992" s="3">
        <v>3</v>
      </c>
      <c r="C1992" s="4" t="str">
        <f t="shared" si="124"/>
        <v>Bad</v>
      </c>
      <c r="D1992" s="3" t="s">
        <v>1652</v>
      </c>
      <c r="E1992" s="3" t="s">
        <v>3876</v>
      </c>
      <c r="F1992" s="5" t="s">
        <v>3877</v>
      </c>
      <c r="G1992" s="4" t="str">
        <f t="shared" si="125"/>
        <v>25th</v>
      </c>
      <c r="H1992" s="4" t="str">
        <f t="shared" si="126"/>
        <v>September</v>
      </c>
      <c r="I1992" s="4" t="str">
        <f t="shared" si="127"/>
        <v>2023</v>
      </c>
      <c r="J1992" s="10" t="s">
        <v>12</v>
      </c>
    </row>
    <row r="1993" spans="1:10" x14ac:dyDescent="0.35">
      <c r="A1993" s="9" t="s">
        <v>3801</v>
      </c>
      <c r="B1993" s="3">
        <v>4</v>
      </c>
      <c r="C1993" s="4" t="str">
        <f t="shared" si="124"/>
        <v>Bad</v>
      </c>
      <c r="D1993" s="3" t="s">
        <v>3878</v>
      </c>
      <c r="E1993" s="3" t="s">
        <v>3879</v>
      </c>
      <c r="F1993" s="5" t="s">
        <v>3877</v>
      </c>
      <c r="G1993" s="4" t="str">
        <f t="shared" si="125"/>
        <v>25th</v>
      </c>
      <c r="H1993" s="4" t="str">
        <f t="shared" si="126"/>
        <v>September</v>
      </c>
      <c r="I1993" s="4" t="str">
        <f t="shared" si="127"/>
        <v>2023</v>
      </c>
      <c r="J1993" s="10" t="s">
        <v>12</v>
      </c>
    </row>
    <row r="1994" spans="1:10" x14ac:dyDescent="0.35">
      <c r="A1994" s="9" t="s">
        <v>3801</v>
      </c>
      <c r="B1994" s="3">
        <v>10</v>
      </c>
      <c r="C1994" s="4" t="str">
        <f t="shared" si="124"/>
        <v>Good</v>
      </c>
      <c r="D1994" s="3" t="s">
        <v>3880</v>
      </c>
      <c r="E1994" s="3" t="s">
        <v>3881</v>
      </c>
      <c r="F1994" s="5" t="s">
        <v>3877</v>
      </c>
      <c r="G1994" s="4" t="str">
        <f t="shared" si="125"/>
        <v>25th</v>
      </c>
      <c r="H1994" s="4" t="str">
        <f t="shared" si="126"/>
        <v>September</v>
      </c>
      <c r="I1994" s="4" t="str">
        <f t="shared" si="127"/>
        <v>2023</v>
      </c>
      <c r="J1994" s="10" t="s">
        <v>9</v>
      </c>
    </row>
    <row r="1995" spans="1:10" x14ac:dyDescent="0.35">
      <c r="A1995" s="9" t="s">
        <v>3801</v>
      </c>
      <c r="B1995" s="3">
        <v>1</v>
      </c>
      <c r="C1995" s="4" t="str">
        <f t="shared" si="124"/>
        <v>Bad</v>
      </c>
      <c r="D1995" s="3" t="s">
        <v>3882</v>
      </c>
      <c r="E1995" s="3" t="s">
        <v>551</v>
      </c>
      <c r="F1995" s="5" t="s">
        <v>3877</v>
      </c>
      <c r="G1995" s="4" t="str">
        <f t="shared" si="125"/>
        <v>25th</v>
      </c>
      <c r="H1995" s="4" t="str">
        <f t="shared" si="126"/>
        <v>September</v>
      </c>
      <c r="I1995" s="4" t="str">
        <f t="shared" si="127"/>
        <v>2023</v>
      </c>
      <c r="J1995" s="10" t="s">
        <v>12</v>
      </c>
    </row>
    <row r="1996" spans="1:10" x14ac:dyDescent="0.35">
      <c r="A1996" s="9" t="s">
        <v>3801</v>
      </c>
      <c r="B1996" s="3">
        <v>8</v>
      </c>
      <c r="C1996" s="4" t="str">
        <f t="shared" si="124"/>
        <v>Good</v>
      </c>
      <c r="D1996" s="3" t="s">
        <v>3883</v>
      </c>
      <c r="E1996" s="3" t="s">
        <v>3884</v>
      </c>
      <c r="F1996" s="5" t="s">
        <v>3877</v>
      </c>
      <c r="G1996" s="4" t="str">
        <f t="shared" si="125"/>
        <v>25th</v>
      </c>
      <c r="H1996" s="4" t="str">
        <f t="shared" si="126"/>
        <v>September</v>
      </c>
      <c r="I1996" s="4" t="str">
        <f t="shared" si="127"/>
        <v>2023</v>
      </c>
      <c r="J1996" s="10" t="s">
        <v>9</v>
      </c>
    </row>
    <row r="1997" spans="1:10" x14ac:dyDescent="0.35">
      <c r="A1997" s="9" t="s">
        <v>3801</v>
      </c>
      <c r="B1997" s="3">
        <v>10</v>
      </c>
      <c r="C1997" s="4" t="str">
        <f t="shared" si="124"/>
        <v>Good</v>
      </c>
      <c r="D1997" s="3" t="s">
        <v>3885</v>
      </c>
      <c r="E1997" s="3" t="s">
        <v>3886</v>
      </c>
      <c r="F1997" s="5" t="s">
        <v>3877</v>
      </c>
      <c r="G1997" s="4" t="str">
        <f t="shared" si="125"/>
        <v>25th</v>
      </c>
      <c r="H1997" s="4" t="str">
        <f t="shared" si="126"/>
        <v>September</v>
      </c>
      <c r="I1997" s="4" t="str">
        <f t="shared" si="127"/>
        <v>2023</v>
      </c>
      <c r="J1997" s="10" t="s">
        <v>9</v>
      </c>
    </row>
    <row r="1998" spans="1:10" x14ac:dyDescent="0.35">
      <c r="A1998" s="9" t="s">
        <v>3801</v>
      </c>
      <c r="B1998" s="3">
        <v>2</v>
      </c>
      <c r="C1998" s="4" t="str">
        <f t="shared" si="124"/>
        <v>Bad</v>
      </c>
      <c r="D1998" s="3" t="s">
        <v>3887</v>
      </c>
      <c r="E1998" s="3" t="s">
        <v>3888</v>
      </c>
      <c r="F1998" s="5" t="s">
        <v>3877</v>
      </c>
      <c r="G1998" s="4" t="str">
        <f t="shared" si="125"/>
        <v>25th</v>
      </c>
      <c r="H1998" s="4" t="str">
        <f t="shared" si="126"/>
        <v>September</v>
      </c>
      <c r="I1998" s="4" t="str">
        <f t="shared" si="127"/>
        <v>2023</v>
      </c>
      <c r="J1998" s="10" t="s">
        <v>12</v>
      </c>
    </row>
    <row r="1999" spans="1:10" x14ac:dyDescent="0.35">
      <c r="A1999" s="9" t="s">
        <v>3801</v>
      </c>
      <c r="B1999" s="3">
        <v>1</v>
      </c>
      <c r="C1999" s="4" t="str">
        <f t="shared" si="124"/>
        <v>Bad</v>
      </c>
      <c r="D1999" s="3" t="s">
        <v>3889</v>
      </c>
      <c r="E1999" s="3" t="s">
        <v>3890</v>
      </c>
      <c r="F1999" s="5" t="s">
        <v>3877</v>
      </c>
      <c r="G1999" s="4" t="str">
        <f t="shared" si="125"/>
        <v>25th</v>
      </c>
      <c r="H1999" s="4" t="str">
        <f t="shared" si="126"/>
        <v>September</v>
      </c>
      <c r="I1999" s="4" t="str">
        <f t="shared" si="127"/>
        <v>2023</v>
      </c>
      <c r="J1999" s="10" t="s">
        <v>12</v>
      </c>
    </row>
    <row r="2000" spans="1:10" x14ac:dyDescent="0.35">
      <c r="A2000" s="9" t="s">
        <v>3801</v>
      </c>
      <c r="B2000" s="3">
        <v>1</v>
      </c>
      <c r="C2000" s="4" t="str">
        <f t="shared" si="124"/>
        <v>Bad</v>
      </c>
      <c r="D2000" s="3" t="s">
        <v>3891</v>
      </c>
      <c r="E2000" s="3" t="s">
        <v>3892</v>
      </c>
      <c r="F2000" s="5" t="s">
        <v>3877</v>
      </c>
      <c r="G2000" s="4" t="str">
        <f t="shared" si="125"/>
        <v>25th</v>
      </c>
      <c r="H2000" s="4" t="str">
        <f t="shared" si="126"/>
        <v>September</v>
      </c>
      <c r="I2000" s="4" t="str">
        <f t="shared" si="127"/>
        <v>2023</v>
      </c>
      <c r="J2000" s="10" t="s">
        <v>12</v>
      </c>
    </row>
    <row r="2001" spans="1:10" x14ac:dyDescent="0.35">
      <c r="A2001" s="9" t="s">
        <v>3801</v>
      </c>
      <c r="B2001" s="3">
        <v>2</v>
      </c>
      <c r="C2001" s="4" t="str">
        <f t="shared" si="124"/>
        <v>Bad</v>
      </c>
      <c r="D2001" s="3" t="s">
        <v>3893</v>
      </c>
      <c r="E2001" s="3" t="s">
        <v>183</v>
      </c>
      <c r="F2001" s="5" t="s">
        <v>3877</v>
      </c>
      <c r="G2001" s="4" t="str">
        <f t="shared" si="125"/>
        <v>25th</v>
      </c>
      <c r="H2001" s="4" t="str">
        <f t="shared" si="126"/>
        <v>September</v>
      </c>
      <c r="I2001" s="4" t="str">
        <f t="shared" si="127"/>
        <v>2023</v>
      </c>
      <c r="J2001" s="10" t="s">
        <v>12</v>
      </c>
    </row>
    <row r="2002" spans="1:10" x14ac:dyDescent="0.35">
      <c r="A2002" s="9" t="s">
        <v>3801</v>
      </c>
      <c r="B2002" s="3">
        <v>10</v>
      </c>
      <c r="C2002" s="4" t="str">
        <f t="shared" si="124"/>
        <v>Good</v>
      </c>
      <c r="D2002" s="3" t="s">
        <v>3894</v>
      </c>
      <c r="E2002" s="3" t="s">
        <v>3895</v>
      </c>
      <c r="F2002" s="5" t="s">
        <v>3896</v>
      </c>
      <c r="G2002" s="4" t="str">
        <f t="shared" si="125"/>
        <v>14th</v>
      </c>
      <c r="H2002" s="4" t="str">
        <f t="shared" si="126"/>
        <v>August</v>
      </c>
      <c r="I2002" s="4" t="str">
        <f t="shared" si="127"/>
        <v>2023</v>
      </c>
      <c r="J2002" s="10" t="s">
        <v>9</v>
      </c>
    </row>
    <row r="2003" spans="1:10" x14ac:dyDescent="0.35">
      <c r="A2003" s="9" t="s">
        <v>3801</v>
      </c>
      <c r="B2003" s="3">
        <v>7</v>
      </c>
      <c r="C2003" s="4" t="str">
        <f t="shared" si="124"/>
        <v>Neutral</v>
      </c>
      <c r="D2003" s="3" t="s">
        <v>3897</v>
      </c>
      <c r="E2003" s="3" t="s">
        <v>3898</v>
      </c>
      <c r="F2003" s="5" t="s">
        <v>3896</v>
      </c>
      <c r="G2003" s="4" t="str">
        <f t="shared" si="125"/>
        <v>14th</v>
      </c>
      <c r="H2003" s="4" t="str">
        <f t="shared" si="126"/>
        <v>August</v>
      </c>
      <c r="I2003" s="4" t="str">
        <f t="shared" si="127"/>
        <v>2023</v>
      </c>
      <c r="J2003" s="10" t="s">
        <v>9</v>
      </c>
    </row>
    <row r="2004" spans="1:10" x14ac:dyDescent="0.35">
      <c r="A2004" s="9" t="s">
        <v>3801</v>
      </c>
      <c r="B2004" s="3">
        <v>1</v>
      </c>
      <c r="C2004" s="4" t="str">
        <f t="shared" si="124"/>
        <v>Bad</v>
      </c>
      <c r="D2004" s="3" t="s">
        <v>3899</v>
      </c>
      <c r="E2004" s="3" t="s">
        <v>3900</v>
      </c>
      <c r="F2004" s="5" t="s">
        <v>3896</v>
      </c>
      <c r="G2004" s="4" t="str">
        <f t="shared" si="125"/>
        <v>14th</v>
      </c>
      <c r="H2004" s="4" t="str">
        <f t="shared" si="126"/>
        <v>August</v>
      </c>
      <c r="I2004" s="4" t="str">
        <f t="shared" si="127"/>
        <v>2023</v>
      </c>
      <c r="J2004" s="10" t="s">
        <v>12</v>
      </c>
    </row>
    <row r="2005" spans="1:10" x14ac:dyDescent="0.35">
      <c r="A2005" s="9" t="s">
        <v>3801</v>
      </c>
      <c r="B2005" s="3">
        <v>8</v>
      </c>
      <c r="C2005" s="4" t="str">
        <f t="shared" si="124"/>
        <v>Good</v>
      </c>
      <c r="D2005" s="3" t="s">
        <v>3901</v>
      </c>
      <c r="E2005" s="3" t="s">
        <v>3902</v>
      </c>
      <c r="F2005" s="5" t="s">
        <v>3896</v>
      </c>
      <c r="G2005" s="4" t="str">
        <f t="shared" si="125"/>
        <v>14th</v>
      </c>
      <c r="H2005" s="4" t="str">
        <f t="shared" si="126"/>
        <v>August</v>
      </c>
      <c r="I2005" s="4" t="str">
        <f t="shared" si="127"/>
        <v>2023</v>
      </c>
      <c r="J2005" s="10" t="s">
        <v>9</v>
      </c>
    </row>
    <row r="2006" spans="1:10" x14ac:dyDescent="0.35">
      <c r="A2006" s="9" t="s">
        <v>3801</v>
      </c>
      <c r="B2006" s="3">
        <v>10</v>
      </c>
      <c r="C2006" s="4" t="str">
        <f t="shared" si="124"/>
        <v>Good</v>
      </c>
      <c r="D2006" s="3" t="s">
        <v>3903</v>
      </c>
      <c r="E2006" s="3" t="s">
        <v>3884</v>
      </c>
      <c r="F2006" s="5" t="s">
        <v>3896</v>
      </c>
      <c r="G2006" s="4" t="str">
        <f t="shared" si="125"/>
        <v>14th</v>
      </c>
      <c r="H2006" s="4" t="str">
        <f t="shared" si="126"/>
        <v>August</v>
      </c>
      <c r="I2006" s="4" t="str">
        <f t="shared" si="127"/>
        <v>2023</v>
      </c>
      <c r="J2006" s="10" t="s">
        <v>9</v>
      </c>
    </row>
    <row r="2007" spans="1:10" x14ac:dyDescent="0.35">
      <c r="A2007" s="9" t="s">
        <v>3801</v>
      </c>
      <c r="B2007" s="3">
        <v>8</v>
      </c>
      <c r="C2007" s="4" t="str">
        <f t="shared" si="124"/>
        <v>Good</v>
      </c>
      <c r="D2007" s="3" t="s">
        <v>3904</v>
      </c>
      <c r="E2007" s="3" t="s">
        <v>1243</v>
      </c>
      <c r="F2007" s="5" t="s">
        <v>3896</v>
      </c>
      <c r="G2007" s="4" t="str">
        <f t="shared" si="125"/>
        <v>14th</v>
      </c>
      <c r="H2007" s="4" t="str">
        <f t="shared" si="126"/>
        <v>August</v>
      </c>
      <c r="I2007" s="4" t="str">
        <f t="shared" si="127"/>
        <v>2023</v>
      </c>
      <c r="J2007" s="10" t="s">
        <v>9</v>
      </c>
    </row>
    <row r="2008" spans="1:10" x14ac:dyDescent="0.35">
      <c r="A2008" s="9" t="s">
        <v>3801</v>
      </c>
      <c r="B2008" s="3">
        <v>1</v>
      </c>
      <c r="C2008" s="4" t="str">
        <f t="shared" si="124"/>
        <v>Bad</v>
      </c>
      <c r="D2008" s="3" t="s">
        <v>1677</v>
      </c>
      <c r="E2008" s="3" t="s">
        <v>3905</v>
      </c>
      <c r="F2008" s="5" t="s">
        <v>3896</v>
      </c>
      <c r="G2008" s="4" t="str">
        <f t="shared" si="125"/>
        <v>14th</v>
      </c>
      <c r="H2008" s="4" t="str">
        <f t="shared" si="126"/>
        <v>August</v>
      </c>
      <c r="I2008" s="4" t="str">
        <f t="shared" si="127"/>
        <v>2023</v>
      </c>
      <c r="J2008" s="10" t="s">
        <v>12</v>
      </c>
    </row>
    <row r="2009" spans="1:10" x14ac:dyDescent="0.35">
      <c r="A2009" s="9" t="s">
        <v>3801</v>
      </c>
      <c r="B2009" s="3">
        <v>5</v>
      </c>
      <c r="C2009" s="4" t="str">
        <f t="shared" si="124"/>
        <v>Neutral</v>
      </c>
      <c r="D2009" s="3" t="s">
        <v>3906</v>
      </c>
      <c r="E2009" s="3" t="s">
        <v>3907</v>
      </c>
      <c r="F2009" s="5" t="s">
        <v>3896</v>
      </c>
      <c r="G2009" s="4" t="str">
        <f t="shared" si="125"/>
        <v>14th</v>
      </c>
      <c r="H2009" s="4" t="str">
        <f t="shared" si="126"/>
        <v>August</v>
      </c>
      <c r="I2009" s="4" t="str">
        <f t="shared" si="127"/>
        <v>2023</v>
      </c>
      <c r="J2009" s="10" t="s">
        <v>9</v>
      </c>
    </row>
    <row r="2010" spans="1:10" x14ac:dyDescent="0.35">
      <c r="A2010" s="9" t="s">
        <v>3801</v>
      </c>
      <c r="B2010" s="3">
        <v>1</v>
      </c>
      <c r="C2010" s="4" t="str">
        <f t="shared" si="124"/>
        <v>Bad</v>
      </c>
      <c r="D2010" s="3" t="s">
        <v>3908</v>
      </c>
      <c r="E2010" s="3" t="s">
        <v>3909</v>
      </c>
      <c r="F2010" s="5" t="s">
        <v>3896</v>
      </c>
      <c r="G2010" s="4" t="str">
        <f t="shared" si="125"/>
        <v>14th</v>
      </c>
      <c r="H2010" s="4" t="str">
        <f t="shared" si="126"/>
        <v>August</v>
      </c>
      <c r="I2010" s="4" t="str">
        <f t="shared" si="127"/>
        <v>2023</v>
      </c>
      <c r="J2010" s="10" t="s">
        <v>12</v>
      </c>
    </row>
    <row r="2011" spans="1:10" x14ac:dyDescent="0.35">
      <c r="A2011" s="9" t="s">
        <v>3801</v>
      </c>
      <c r="B2011" s="3">
        <v>10</v>
      </c>
      <c r="C2011" s="4" t="str">
        <f t="shared" si="124"/>
        <v>Good</v>
      </c>
      <c r="D2011" s="3" t="s">
        <v>3910</v>
      </c>
      <c r="E2011" s="3" t="s">
        <v>3911</v>
      </c>
      <c r="F2011" s="5" t="s">
        <v>3896</v>
      </c>
      <c r="G2011" s="4" t="str">
        <f t="shared" si="125"/>
        <v>14th</v>
      </c>
      <c r="H2011" s="4" t="str">
        <f t="shared" si="126"/>
        <v>August</v>
      </c>
      <c r="I2011" s="4" t="str">
        <f t="shared" si="127"/>
        <v>2023</v>
      </c>
      <c r="J2011" s="10" t="s">
        <v>9</v>
      </c>
    </row>
    <row r="2012" spans="1:10" x14ac:dyDescent="0.35">
      <c r="A2012" s="9" t="s">
        <v>3801</v>
      </c>
      <c r="B2012" s="3">
        <v>1</v>
      </c>
      <c r="C2012" s="4" t="str">
        <f t="shared" si="124"/>
        <v>Bad</v>
      </c>
      <c r="D2012" s="3" t="s">
        <v>3912</v>
      </c>
      <c r="E2012" s="3" t="s">
        <v>3913</v>
      </c>
      <c r="F2012" s="5" t="s">
        <v>756</v>
      </c>
      <c r="G2012" s="4" t="str">
        <f t="shared" si="125"/>
        <v>14th</v>
      </c>
      <c r="H2012" s="4" t="str">
        <f t="shared" si="126"/>
        <v>June</v>
      </c>
      <c r="I2012" s="4" t="str">
        <f t="shared" si="127"/>
        <v>2023</v>
      </c>
      <c r="J2012" s="10" t="s">
        <v>12</v>
      </c>
    </row>
    <row r="2013" spans="1:10" x14ac:dyDescent="0.35">
      <c r="A2013" s="9" t="s">
        <v>3801</v>
      </c>
      <c r="B2013" s="3">
        <v>1</v>
      </c>
      <c r="C2013" s="4" t="str">
        <f t="shared" si="124"/>
        <v>Bad</v>
      </c>
      <c r="D2013" s="3" t="s">
        <v>3914</v>
      </c>
      <c r="E2013" s="3" t="s">
        <v>3915</v>
      </c>
      <c r="F2013" s="5" t="s">
        <v>756</v>
      </c>
      <c r="G2013" s="4" t="str">
        <f t="shared" si="125"/>
        <v>14th</v>
      </c>
      <c r="H2013" s="4" t="str">
        <f t="shared" si="126"/>
        <v>June</v>
      </c>
      <c r="I2013" s="4" t="str">
        <f t="shared" si="127"/>
        <v>2023</v>
      </c>
      <c r="J2013" s="10" t="s">
        <v>9</v>
      </c>
    </row>
    <row r="2014" spans="1:10" x14ac:dyDescent="0.35">
      <c r="A2014" s="9" t="s">
        <v>3801</v>
      </c>
      <c r="B2014" s="3">
        <v>9</v>
      </c>
      <c r="C2014" s="4" t="str">
        <f t="shared" si="124"/>
        <v>Good</v>
      </c>
      <c r="D2014" s="3" t="s">
        <v>3916</v>
      </c>
      <c r="E2014" s="3" t="s">
        <v>3917</v>
      </c>
      <c r="F2014" s="5" t="s">
        <v>756</v>
      </c>
      <c r="G2014" s="4" t="str">
        <f t="shared" si="125"/>
        <v>14th</v>
      </c>
      <c r="H2014" s="4" t="str">
        <f t="shared" si="126"/>
        <v>June</v>
      </c>
      <c r="I2014" s="4" t="str">
        <f t="shared" si="127"/>
        <v>2023</v>
      </c>
      <c r="J2014" s="10" t="s">
        <v>9</v>
      </c>
    </row>
    <row r="2015" spans="1:10" x14ac:dyDescent="0.35">
      <c r="A2015" s="9" t="s">
        <v>3801</v>
      </c>
      <c r="B2015" s="3">
        <v>10</v>
      </c>
      <c r="C2015" s="4" t="str">
        <f t="shared" si="124"/>
        <v>Good</v>
      </c>
      <c r="D2015" s="3" t="s">
        <v>3918</v>
      </c>
      <c r="E2015" s="3" t="s">
        <v>3919</v>
      </c>
      <c r="F2015" s="5" t="s">
        <v>756</v>
      </c>
      <c r="G2015" s="4" t="str">
        <f t="shared" si="125"/>
        <v>14th</v>
      </c>
      <c r="H2015" s="4" t="str">
        <f t="shared" si="126"/>
        <v>June</v>
      </c>
      <c r="I2015" s="4" t="str">
        <f t="shared" si="127"/>
        <v>2023</v>
      </c>
      <c r="J2015" s="10" t="s">
        <v>9</v>
      </c>
    </row>
    <row r="2016" spans="1:10" x14ac:dyDescent="0.35">
      <c r="A2016" s="9" t="s">
        <v>3801</v>
      </c>
      <c r="B2016" s="3">
        <v>10</v>
      </c>
      <c r="C2016" s="4" t="str">
        <f t="shared" si="124"/>
        <v>Good</v>
      </c>
      <c r="D2016" s="3" t="s">
        <v>740</v>
      </c>
      <c r="E2016" s="3" t="s">
        <v>3920</v>
      </c>
      <c r="F2016" s="5" t="s">
        <v>756</v>
      </c>
      <c r="G2016" s="4" t="str">
        <f t="shared" si="125"/>
        <v>14th</v>
      </c>
      <c r="H2016" s="4" t="str">
        <f t="shared" si="126"/>
        <v>June</v>
      </c>
      <c r="I2016" s="4" t="str">
        <f t="shared" si="127"/>
        <v>2023</v>
      </c>
      <c r="J2016" s="10" t="s">
        <v>9</v>
      </c>
    </row>
    <row r="2017" spans="1:10" x14ac:dyDescent="0.35">
      <c r="A2017" s="9" t="s">
        <v>3801</v>
      </c>
      <c r="B2017" s="3">
        <v>9</v>
      </c>
      <c r="C2017" s="4" t="str">
        <f t="shared" si="124"/>
        <v>Good</v>
      </c>
      <c r="D2017" s="3" t="s">
        <v>3921</v>
      </c>
      <c r="E2017" s="3" t="s">
        <v>3922</v>
      </c>
      <c r="F2017" s="5" t="s">
        <v>756</v>
      </c>
      <c r="G2017" s="4" t="str">
        <f t="shared" si="125"/>
        <v>14th</v>
      </c>
      <c r="H2017" s="4" t="str">
        <f t="shared" si="126"/>
        <v>June</v>
      </c>
      <c r="I2017" s="4" t="str">
        <f t="shared" si="127"/>
        <v>2023</v>
      </c>
      <c r="J2017" s="10" t="s">
        <v>9</v>
      </c>
    </row>
    <row r="2018" spans="1:10" x14ac:dyDescent="0.35">
      <c r="A2018" s="9" t="s">
        <v>3801</v>
      </c>
      <c r="B2018" s="3">
        <v>10</v>
      </c>
      <c r="C2018" s="4" t="str">
        <f t="shared" si="124"/>
        <v>Good</v>
      </c>
      <c r="D2018" s="3" t="s">
        <v>3923</v>
      </c>
      <c r="E2018" s="3" t="s">
        <v>1611</v>
      </c>
      <c r="F2018" s="5" t="s">
        <v>756</v>
      </c>
      <c r="G2018" s="4" t="str">
        <f t="shared" si="125"/>
        <v>14th</v>
      </c>
      <c r="H2018" s="4" t="str">
        <f t="shared" si="126"/>
        <v>June</v>
      </c>
      <c r="I2018" s="4" t="str">
        <f t="shared" si="127"/>
        <v>2023</v>
      </c>
      <c r="J2018" s="10" t="s">
        <v>9</v>
      </c>
    </row>
    <row r="2019" spans="1:10" x14ac:dyDescent="0.35">
      <c r="A2019" s="9" t="s">
        <v>3801</v>
      </c>
      <c r="B2019" s="3">
        <v>2</v>
      </c>
      <c r="C2019" s="4" t="str">
        <f t="shared" si="124"/>
        <v>Bad</v>
      </c>
      <c r="D2019" s="3" t="s">
        <v>1140</v>
      </c>
      <c r="E2019" s="3" t="s">
        <v>3924</v>
      </c>
      <c r="F2019" s="5" t="s">
        <v>756</v>
      </c>
      <c r="G2019" s="4" t="str">
        <f t="shared" si="125"/>
        <v>14th</v>
      </c>
      <c r="H2019" s="4" t="str">
        <f t="shared" si="126"/>
        <v>June</v>
      </c>
      <c r="I2019" s="4" t="str">
        <f t="shared" si="127"/>
        <v>2023</v>
      </c>
      <c r="J2019" s="10" t="s">
        <v>12</v>
      </c>
    </row>
    <row r="2020" spans="1:10" x14ac:dyDescent="0.35">
      <c r="A2020" s="9" t="s">
        <v>3801</v>
      </c>
      <c r="B2020" s="3">
        <v>10</v>
      </c>
      <c r="C2020" s="4" t="str">
        <f t="shared" si="124"/>
        <v>Good</v>
      </c>
      <c r="D2020" s="3" t="s">
        <v>3925</v>
      </c>
      <c r="E2020" s="3" t="s">
        <v>3926</v>
      </c>
      <c r="F2020" s="5" t="s">
        <v>756</v>
      </c>
      <c r="G2020" s="4" t="str">
        <f t="shared" si="125"/>
        <v>14th</v>
      </c>
      <c r="H2020" s="4" t="str">
        <f t="shared" si="126"/>
        <v>June</v>
      </c>
      <c r="I2020" s="4" t="str">
        <f t="shared" si="127"/>
        <v>2023</v>
      </c>
      <c r="J2020" s="10" t="s">
        <v>9</v>
      </c>
    </row>
    <row r="2021" spans="1:10" x14ac:dyDescent="0.35">
      <c r="A2021" s="9" t="s">
        <v>3801</v>
      </c>
      <c r="B2021" s="3">
        <v>4</v>
      </c>
      <c r="C2021" s="4" t="str">
        <f t="shared" si="124"/>
        <v>Bad</v>
      </c>
      <c r="D2021" s="3" t="s">
        <v>3927</v>
      </c>
      <c r="E2021" s="3" t="s">
        <v>3928</v>
      </c>
      <c r="F2021" s="5" t="s">
        <v>756</v>
      </c>
      <c r="G2021" s="4" t="str">
        <f t="shared" si="125"/>
        <v>14th</v>
      </c>
      <c r="H2021" s="4" t="str">
        <f t="shared" si="126"/>
        <v>June</v>
      </c>
      <c r="I2021" s="4" t="str">
        <f t="shared" si="127"/>
        <v>2023</v>
      </c>
      <c r="J2021" s="10" t="s">
        <v>12</v>
      </c>
    </row>
    <row r="2022" spans="1:10" x14ac:dyDescent="0.35">
      <c r="A2022" s="9" t="s">
        <v>3801</v>
      </c>
      <c r="B2022" s="3">
        <v>10</v>
      </c>
      <c r="C2022" s="4" t="str">
        <f t="shared" si="124"/>
        <v>Good</v>
      </c>
      <c r="D2022" s="3" t="s">
        <v>3929</v>
      </c>
      <c r="E2022" s="3" t="s">
        <v>3930</v>
      </c>
      <c r="F2022" s="5" t="s">
        <v>3931</v>
      </c>
      <c r="G2022" s="4" t="str">
        <f t="shared" si="125"/>
        <v>11th</v>
      </c>
      <c r="H2022" s="4" t="str">
        <f t="shared" si="126"/>
        <v>April</v>
      </c>
      <c r="I2022" s="4" t="str">
        <f t="shared" si="127"/>
        <v>2023</v>
      </c>
      <c r="J2022" s="10" t="s">
        <v>9</v>
      </c>
    </row>
    <row r="2023" spans="1:10" x14ac:dyDescent="0.35">
      <c r="A2023" s="9" t="s">
        <v>3801</v>
      </c>
      <c r="B2023" s="3">
        <v>2</v>
      </c>
      <c r="C2023" s="4" t="str">
        <f t="shared" si="124"/>
        <v>Bad</v>
      </c>
      <c r="D2023" s="3" t="s">
        <v>3932</v>
      </c>
      <c r="E2023" s="3" t="s">
        <v>3933</v>
      </c>
      <c r="F2023" s="5" t="s">
        <v>3931</v>
      </c>
      <c r="G2023" s="4" t="str">
        <f t="shared" si="125"/>
        <v>11th</v>
      </c>
      <c r="H2023" s="4" t="str">
        <f t="shared" si="126"/>
        <v>April</v>
      </c>
      <c r="I2023" s="4" t="str">
        <f t="shared" si="127"/>
        <v>2023</v>
      </c>
      <c r="J2023" s="10" t="s">
        <v>12</v>
      </c>
    </row>
    <row r="2024" spans="1:10" x14ac:dyDescent="0.35">
      <c r="A2024" s="9" t="s">
        <v>3801</v>
      </c>
      <c r="B2024" s="3">
        <v>2</v>
      </c>
      <c r="C2024" s="4" t="str">
        <f t="shared" si="124"/>
        <v>Bad</v>
      </c>
      <c r="D2024" s="3" t="s">
        <v>3934</v>
      </c>
      <c r="E2024" s="3" t="s">
        <v>3935</v>
      </c>
      <c r="F2024" s="5" t="s">
        <v>3931</v>
      </c>
      <c r="G2024" s="4" t="str">
        <f t="shared" si="125"/>
        <v>11th</v>
      </c>
      <c r="H2024" s="4" t="str">
        <f t="shared" si="126"/>
        <v>April</v>
      </c>
      <c r="I2024" s="4" t="str">
        <f t="shared" si="127"/>
        <v>2023</v>
      </c>
      <c r="J2024" s="10" t="s">
        <v>12</v>
      </c>
    </row>
    <row r="2025" spans="1:10" x14ac:dyDescent="0.35">
      <c r="A2025" s="9" t="s">
        <v>3801</v>
      </c>
      <c r="B2025" s="3">
        <v>1</v>
      </c>
      <c r="C2025" s="4" t="str">
        <f t="shared" si="124"/>
        <v>Bad</v>
      </c>
      <c r="D2025" s="3" t="s">
        <v>3936</v>
      </c>
      <c r="E2025" s="3" t="s">
        <v>3937</v>
      </c>
      <c r="F2025" s="5" t="s">
        <v>3931</v>
      </c>
      <c r="G2025" s="4" t="str">
        <f t="shared" si="125"/>
        <v>11th</v>
      </c>
      <c r="H2025" s="4" t="str">
        <f t="shared" si="126"/>
        <v>April</v>
      </c>
      <c r="I2025" s="4" t="str">
        <f t="shared" si="127"/>
        <v>2023</v>
      </c>
      <c r="J2025" s="10" t="s">
        <v>12</v>
      </c>
    </row>
    <row r="2026" spans="1:10" x14ac:dyDescent="0.35">
      <c r="A2026" s="9" t="s">
        <v>3801</v>
      </c>
      <c r="B2026" s="3">
        <v>2</v>
      </c>
      <c r="C2026" s="4" t="str">
        <f t="shared" si="124"/>
        <v>Bad</v>
      </c>
      <c r="D2026" s="3" t="s">
        <v>3938</v>
      </c>
      <c r="E2026" s="3" t="s">
        <v>3939</v>
      </c>
      <c r="F2026" s="5" t="s">
        <v>3931</v>
      </c>
      <c r="G2026" s="4" t="str">
        <f t="shared" si="125"/>
        <v>11th</v>
      </c>
      <c r="H2026" s="4" t="str">
        <f t="shared" si="126"/>
        <v>April</v>
      </c>
      <c r="I2026" s="4" t="str">
        <f t="shared" si="127"/>
        <v>2023</v>
      </c>
      <c r="J2026" s="10" t="s">
        <v>12</v>
      </c>
    </row>
    <row r="2027" spans="1:10" x14ac:dyDescent="0.35">
      <c r="A2027" s="9" t="s">
        <v>3801</v>
      </c>
      <c r="B2027" s="3">
        <v>10</v>
      </c>
      <c r="C2027" s="4" t="str">
        <f t="shared" si="124"/>
        <v>Good</v>
      </c>
      <c r="D2027" s="3" t="s">
        <v>3940</v>
      </c>
      <c r="E2027" s="3" t="s">
        <v>3941</v>
      </c>
      <c r="F2027" s="5" t="s">
        <v>3931</v>
      </c>
      <c r="G2027" s="4" t="str">
        <f t="shared" si="125"/>
        <v>11th</v>
      </c>
      <c r="H2027" s="4" t="str">
        <f t="shared" si="126"/>
        <v>April</v>
      </c>
      <c r="I2027" s="4" t="str">
        <f t="shared" si="127"/>
        <v>2023</v>
      </c>
      <c r="J2027" s="10" t="s">
        <v>9</v>
      </c>
    </row>
    <row r="2028" spans="1:10" x14ac:dyDescent="0.35">
      <c r="A2028" s="9" t="s">
        <v>3801</v>
      </c>
      <c r="B2028" s="3">
        <v>10</v>
      </c>
      <c r="C2028" s="4" t="str">
        <f t="shared" si="124"/>
        <v>Good</v>
      </c>
      <c r="D2028" s="3" t="s">
        <v>3942</v>
      </c>
      <c r="E2028" s="3" t="s">
        <v>2139</v>
      </c>
      <c r="F2028" s="5" t="s">
        <v>3931</v>
      </c>
      <c r="G2028" s="4" t="str">
        <f t="shared" si="125"/>
        <v>11th</v>
      </c>
      <c r="H2028" s="4" t="str">
        <f t="shared" si="126"/>
        <v>April</v>
      </c>
      <c r="I2028" s="4" t="str">
        <f t="shared" si="127"/>
        <v>2023</v>
      </c>
      <c r="J2028" s="10" t="s">
        <v>9</v>
      </c>
    </row>
    <row r="2029" spans="1:10" x14ac:dyDescent="0.35">
      <c r="A2029" s="9" t="s">
        <v>3801</v>
      </c>
      <c r="B2029" s="3">
        <v>10</v>
      </c>
      <c r="C2029" s="4" t="str">
        <f t="shared" si="124"/>
        <v>Good</v>
      </c>
      <c r="D2029" s="3" t="s">
        <v>3943</v>
      </c>
      <c r="E2029" s="3" t="s">
        <v>3944</v>
      </c>
      <c r="F2029" s="5" t="s">
        <v>3931</v>
      </c>
      <c r="G2029" s="4" t="str">
        <f t="shared" si="125"/>
        <v>11th</v>
      </c>
      <c r="H2029" s="4" t="str">
        <f t="shared" si="126"/>
        <v>April</v>
      </c>
      <c r="I2029" s="4" t="str">
        <f t="shared" si="127"/>
        <v>2023</v>
      </c>
      <c r="J2029" s="10" t="s">
        <v>9</v>
      </c>
    </row>
    <row r="2030" spans="1:10" x14ac:dyDescent="0.35">
      <c r="A2030" s="9" t="s">
        <v>3801</v>
      </c>
      <c r="B2030" s="3">
        <v>9</v>
      </c>
      <c r="C2030" s="4" t="str">
        <f t="shared" si="124"/>
        <v>Good</v>
      </c>
      <c r="D2030" s="3" t="s">
        <v>3945</v>
      </c>
      <c r="E2030" s="3" t="s">
        <v>3946</v>
      </c>
      <c r="F2030" s="5" t="s">
        <v>3931</v>
      </c>
      <c r="G2030" s="4" t="str">
        <f t="shared" si="125"/>
        <v>11th</v>
      </c>
      <c r="H2030" s="4" t="str">
        <f t="shared" si="126"/>
        <v>April</v>
      </c>
      <c r="I2030" s="4" t="str">
        <f t="shared" si="127"/>
        <v>2023</v>
      </c>
      <c r="J2030" s="10" t="s">
        <v>9</v>
      </c>
    </row>
    <row r="2031" spans="1:10" x14ac:dyDescent="0.35">
      <c r="A2031" s="9" t="s">
        <v>3801</v>
      </c>
      <c r="B2031" s="3">
        <v>10</v>
      </c>
      <c r="C2031" s="4" t="str">
        <f t="shared" si="124"/>
        <v>Good</v>
      </c>
      <c r="D2031" s="3" t="s">
        <v>3910</v>
      </c>
      <c r="E2031" s="3" t="s">
        <v>3947</v>
      </c>
      <c r="F2031" s="5" t="s">
        <v>3931</v>
      </c>
      <c r="G2031" s="4" t="str">
        <f t="shared" si="125"/>
        <v>11th</v>
      </c>
      <c r="H2031" s="4" t="str">
        <f t="shared" si="126"/>
        <v>April</v>
      </c>
      <c r="I2031" s="4" t="str">
        <f t="shared" si="127"/>
        <v>2023</v>
      </c>
      <c r="J2031" s="10" t="s">
        <v>9</v>
      </c>
    </row>
    <row r="2032" spans="1:10" x14ac:dyDescent="0.35">
      <c r="A2032" s="9" t="s">
        <v>3801</v>
      </c>
      <c r="B2032" s="3">
        <v>7</v>
      </c>
      <c r="C2032" s="4" t="str">
        <f t="shared" si="124"/>
        <v>Neutral</v>
      </c>
      <c r="D2032" s="3" t="s">
        <v>3948</v>
      </c>
      <c r="E2032" s="3" t="s">
        <v>3949</v>
      </c>
      <c r="F2032" s="5" t="s">
        <v>2162</v>
      </c>
      <c r="G2032" s="4" t="str">
        <f t="shared" si="125"/>
        <v>19th</v>
      </c>
      <c r="H2032" s="4" t="str">
        <f t="shared" si="126"/>
        <v>January</v>
      </c>
      <c r="I2032" s="4" t="str">
        <f t="shared" si="127"/>
        <v>2023</v>
      </c>
      <c r="J2032" s="10" t="s">
        <v>9</v>
      </c>
    </row>
    <row r="2033" spans="1:10" x14ac:dyDescent="0.35">
      <c r="A2033" s="9" t="s">
        <v>3801</v>
      </c>
      <c r="B2033" s="3">
        <v>10</v>
      </c>
      <c r="C2033" s="4" t="str">
        <f t="shared" si="124"/>
        <v>Good</v>
      </c>
      <c r="D2033" s="3" t="s">
        <v>3950</v>
      </c>
      <c r="E2033" s="3" t="s">
        <v>3951</v>
      </c>
      <c r="F2033" s="5" t="s">
        <v>2162</v>
      </c>
      <c r="G2033" s="4" t="str">
        <f t="shared" si="125"/>
        <v>19th</v>
      </c>
      <c r="H2033" s="4" t="str">
        <f t="shared" si="126"/>
        <v>January</v>
      </c>
      <c r="I2033" s="4" t="str">
        <f t="shared" si="127"/>
        <v>2023</v>
      </c>
      <c r="J2033" s="10" t="s">
        <v>9</v>
      </c>
    </row>
    <row r="2034" spans="1:10" x14ac:dyDescent="0.35">
      <c r="A2034" s="9" t="s">
        <v>3801</v>
      </c>
      <c r="B2034" s="3">
        <v>10</v>
      </c>
      <c r="C2034" s="4" t="str">
        <f t="shared" si="124"/>
        <v>Good</v>
      </c>
      <c r="D2034" s="3" t="s">
        <v>3952</v>
      </c>
      <c r="E2034" s="3" t="s">
        <v>3953</v>
      </c>
      <c r="F2034" s="5" t="s">
        <v>2162</v>
      </c>
      <c r="G2034" s="4" t="str">
        <f t="shared" si="125"/>
        <v>19th</v>
      </c>
      <c r="H2034" s="4" t="str">
        <f t="shared" si="126"/>
        <v>January</v>
      </c>
      <c r="I2034" s="4" t="str">
        <f t="shared" si="127"/>
        <v>2023</v>
      </c>
      <c r="J2034" s="10" t="s">
        <v>9</v>
      </c>
    </row>
    <row r="2035" spans="1:10" x14ac:dyDescent="0.35">
      <c r="A2035" s="9" t="s">
        <v>3801</v>
      </c>
      <c r="B2035" s="3">
        <v>6</v>
      </c>
      <c r="C2035" s="4" t="str">
        <f t="shared" si="124"/>
        <v>Neutral</v>
      </c>
      <c r="D2035" s="3" t="s">
        <v>3954</v>
      </c>
      <c r="E2035" s="3" t="s">
        <v>35</v>
      </c>
      <c r="F2035" s="5" t="s">
        <v>2162</v>
      </c>
      <c r="G2035" s="4" t="str">
        <f t="shared" si="125"/>
        <v>19th</v>
      </c>
      <c r="H2035" s="4" t="str">
        <f t="shared" si="126"/>
        <v>January</v>
      </c>
      <c r="I2035" s="4" t="str">
        <f t="shared" si="127"/>
        <v>2023</v>
      </c>
      <c r="J2035" s="10" t="s">
        <v>9</v>
      </c>
    </row>
    <row r="2036" spans="1:10" x14ac:dyDescent="0.35">
      <c r="A2036" s="9" t="s">
        <v>3801</v>
      </c>
      <c r="B2036" s="3">
        <v>10</v>
      </c>
      <c r="C2036" s="4" t="str">
        <f t="shared" si="124"/>
        <v>Good</v>
      </c>
      <c r="D2036" s="3" t="s">
        <v>3955</v>
      </c>
      <c r="E2036" s="3" t="s">
        <v>3956</v>
      </c>
      <c r="F2036" s="5" t="s">
        <v>2162</v>
      </c>
      <c r="G2036" s="4" t="str">
        <f t="shared" si="125"/>
        <v>19th</v>
      </c>
      <c r="H2036" s="4" t="str">
        <f t="shared" si="126"/>
        <v>January</v>
      </c>
      <c r="I2036" s="4" t="str">
        <f t="shared" si="127"/>
        <v>2023</v>
      </c>
      <c r="J2036" s="10" t="s">
        <v>9</v>
      </c>
    </row>
    <row r="2037" spans="1:10" x14ac:dyDescent="0.35">
      <c r="A2037" s="9" t="s">
        <v>3801</v>
      </c>
      <c r="B2037" s="3">
        <v>3</v>
      </c>
      <c r="C2037" s="4" t="str">
        <f t="shared" si="124"/>
        <v>Bad</v>
      </c>
      <c r="D2037" s="3" t="s">
        <v>3957</v>
      </c>
      <c r="E2037" s="3" t="s">
        <v>3958</v>
      </c>
      <c r="F2037" s="5" t="s">
        <v>2162</v>
      </c>
      <c r="G2037" s="4" t="str">
        <f t="shared" si="125"/>
        <v>19th</v>
      </c>
      <c r="H2037" s="4" t="str">
        <f t="shared" si="126"/>
        <v>January</v>
      </c>
      <c r="I2037" s="4" t="str">
        <f t="shared" si="127"/>
        <v>2023</v>
      </c>
      <c r="J2037" s="10" t="s">
        <v>12</v>
      </c>
    </row>
    <row r="2038" spans="1:10" x14ac:dyDescent="0.35">
      <c r="A2038" s="9" t="s">
        <v>3801</v>
      </c>
      <c r="B2038" s="3">
        <v>10</v>
      </c>
      <c r="C2038" s="4" t="str">
        <f t="shared" si="124"/>
        <v>Good</v>
      </c>
      <c r="D2038" s="3" t="s">
        <v>3959</v>
      </c>
      <c r="E2038" s="3" t="s">
        <v>3884</v>
      </c>
      <c r="F2038" s="5" t="s">
        <v>2162</v>
      </c>
      <c r="G2038" s="4" t="str">
        <f t="shared" si="125"/>
        <v>19th</v>
      </c>
      <c r="H2038" s="4" t="str">
        <f t="shared" si="126"/>
        <v>January</v>
      </c>
      <c r="I2038" s="4" t="str">
        <f t="shared" si="127"/>
        <v>2023</v>
      </c>
      <c r="J2038" s="10" t="s">
        <v>9</v>
      </c>
    </row>
    <row r="2039" spans="1:10" x14ac:dyDescent="0.35">
      <c r="A2039" s="9" t="s">
        <v>3801</v>
      </c>
      <c r="B2039" s="3">
        <v>10</v>
      </c>
      <c r="C2039" s="4" t="str">
        <f t="shared" si="124"/>
        <v>Good</v>
      </c>
      <c r="D2039" s="3" t="s">
        <v>3960</v>
      </c>
      <c r="E2039" s="3" t="s">
        <v>3884</v>
      </c>
      <c r="F2039" s="5" t="s">
        <v>2162</v>
      </c>
      <c r="G2039" s="4" t="str">
        <f t="shared" si="125"/>
        <v>19th</v>
      </c>
      <c r="H2039" s="4" t="str">
        <f t="shared" si="126"/>
        <v>January</v>
      </c>
      <c r="I2039" s="4" t="str">
        <f t="shared" si="127"/>
        <v>2023</v>
      </c>
      <c r="J2039" s="10" t="s">
        <v>9</v>
      </c>
    </row>
    <row r="2040" spans="1:10" x14ac:dyDescent="0.35">
      <c r="A2040" s="9" t="s">
        <v>3801</v>
      </c>
      <c r="B2040" s="3">
        <v>2</v>
      </c>
      <c r="C2040" s="4" t="str">
        <f t="shared" si="124"/>
        <v>Bad</v>
      </c>
      <c r="D2040" s="3" t="s">
        <v>3961</v>
      </c>
      <c r="E2040" s="3" t="s">
        <v>3962</v>
      </c>
      <c r="F2040" s="5" t="s">
        <v>2162</v>
      </c>
      <c r="G2040" s="4" t="str">
        <f t="shared" si="125"/>
        <v>19th</v>
      </c>
      <c r="H2040" s="4" t="str">
        <f t="shared" si="126"/>
        <v>January</v>
      </c>
      <c r="I2040" s="4" t="str">
        <f t="shared" si="127"/>
        <v>2023</v>
      </c>
      <c r="J2040" s="10" t="s">
        <v>12</v>
      </c>
    </row>
    <row r="2041" spans="1:10" x14ac:dyDescent="0.35">
      <c r="A2041" s="9" t="s">
        <v>3801</v>
      </c>
      <c r="B2041" s="3">
        <v>8</v>
      </c>
      <c r="C2041" s="4" t="str">
        <f t="shared" si="124"/>
        <v>Good</v>
      </c>
      <c r="D2041" s="3" t="s">
        <v>1051</v>
      </c>
      <c r="E2041" s="3" t="s">
        <v>35</v>
      </c>
      <c r="F2041" s="5" t="s">
        <v>2162</v>
      </c>
      <c r="G2041" s="4" t="str">
        <f t="shared" si="125"/>
        <v>19th</v>
      </c>
      <c r="H2041" s="4" t="str">
        <f t="shared" si="126"/>
        <v>January</v>
      </c>
      <c r="I2041" s="4" t="str">
        <f t="shared" si="127"/>
        <v>2023</v>
      </c>
      <c r="J2041" s="10" t="s">
        <v>9</v>
      </c>
    </row>
    <row r="2042" spans="1:10" x14ac:dyDescent="0.35">
      <c r="A2042" s="9" t="s">
        <v>3801</v>
      </c>
      <c r="B2042" s="3">
        <v>4</v>
      </c>
      <c r="C2042" s="4" t="str">
        <f t="shared" si="124"/>
        <v>Bad</v>
      </c>
      <c r="D2042" s="3" t="s">
        <v>3963</v>
      </c>
      <c r="E2042" s="3" t="s">
        <v>3964</v>
      </c>
      <c r="F2042" s="5" t="s">
        <v>3965</v>
      </c>
      <c r="G2042" s="4" t="str">
        <f t="shared" si="125"/>
        <v>4th</v>
      </c>
      <c r="H2042" s="4" t="str">
        <f t="shared" si="126"/>
        <v>October</v>
      </c>
      <c r="I2042" s="4" t="str">
        <f t="shared" si="127"/>
        <v>2022</v>
      </c>
      <c r="J2042" s="10" t="s">
        <v>12</v>
      </c>
    </row>
    <row r="2043" spans="1:10" x14ac:dyDescent="0.35">
      <c r="A2043" s="9" t="s">
        <v>3801</v>
      </c>
      <c r="B2043" s="3">
        <v>8</v>
      </c>
      <c r="C2043" s="4" t="str">
        <f t="shared" si="124"/>
        <v>Good</v>
      </c>
      <c r="D2043" s="3" t="s">
        <v>1051</v>
      </c>
      <c r="E2043" s="3" t="s">
        <v>35</v>
      </c>
      <c r="F2043" s="5" t="s">
        <v>3965</v>
      </c>
      <c r="G2043" s="4" t="str">
        <f t="shared" si="125"/>
        <v>4th</v>
      </c>
      <c r="H2043" s="4" t="str">
        <f t="shared" si="126"/>
        <v>October</v>
      </c>
      <c r="I2043" s="4" t="str">
        <f t="shared" si="127"/>
        <v>2022</v>
      </c>
      <c r="J2043" s="10" t="s">
        <v>9</v>
      </c>
    </row>
    <row r="2044" spans="1:10" x14ac:dyDescent="0.35">
      <c r="A2044" s="9" t="s">
        <v>3801</v>
      </c>
      <c r="B2044" s="3">
        <v>8</v>
      </c>
      <c r="C2044" s="4" t="str">
        <f t="shared" si="124"/>
        <v>Good</v>
      </c>
      <c r="D2044" s="3" t="s">
        <v>3966</v>
      </c>
      <c r="E2044" s="3" t="s">
        <v>35</v>
      </c>
      <c r="F2044" s="5" t="s">
        <v>3965</v>
      </c>
      <c r="G2044" s="4" t="str">
        <f t="shared" si="125"/>
        <v>4th</v>
      </c>
      <c r="H2044" s="4" t="str">
        <f t="shared" si="126"/>
        <v>October</v>
      </c>
      <c r="I2044" s="4" t="str">
        <f t="shared" si="127"/>
        <v>2022</v>
      </c>
      <c r="J2044" s="10" t="s">
        <v>9</v>
      </c>
    </row>
    <row r="2045" spans="1:10" x14ac:dyDescent="0.35">
      <c r="A2045" s="9" t="s">
        <v>3801</v>
      </c>
      <c r="B2045" s="3">
        <v>8</v>
      </c>
      <c r="C2045" s="4" t="str">
        <f t="shared" si="124"/>
        <v>Good</v>
      </c>
      <c r="D2045" s="3" t="s">
        <v>3967</v>
      </c>
      <c r="E2045" s="3" t="s">
        <v>1099</v>
      </c>
      <c r="F2045" s="5" t="s">
        <v>3965</v>
      </c>
      <c r="G2045" s="4" t="str">
        <f t="shared" si="125"/>
        <v>4th</v>
      </c>
      <c r="H2045" s="4" t="str">
        <f t="shared" si="126"/>
        <v>October</v>
      </c>
      <c r="I2045" s="4" t="str">
        <f t="shared" si="127"/>
        <v>2022</v>
      </c>
      <c r="J2045" s="10" t="s">
        <v>9</v>
      </c>
    </row>
    <row r="2046" spans="1:10" x14ac:dyDescent="0.35">
      <c r="A2046" s="9" t="s">
        <v>3801</v>
      </c>
      <c r="B2046" s="3">
        <v>10</v>
      </c>
      <c r="C2046" s="4" t="str">
        <f t="shared" si="124"/>
        <v>Good</v>
      </c>
      <c r="D2046" s="3" t="s">
        <v>3968</v>
      </c>
      <c r="E2046" s="3" t="s">
        <v>35</v>
      </c>
      <c r="F2046" s="5" t="s">
        <v>3965</v>
      </c>
      <c r="G2046" s="4" t="str">
        <f t="shared" si="125"/>
        <v>4th</v>
      </c>
      <c r="H2046" s="4" t="str">
        <f t="shared" si="126"/>
        <v>October</v>
      </c>
      <c r="I2046" s="4" t="str">
        <f t="shared" si="127"/>
        <v>2022</v>
      </c>
      <c r="J2046" s="10" t="s">
        <v>9</v>
      </c>
    </row>
    <row r="2047" spans="1:10" x14ac:dyDescent="0.35">
      <c r="A2047" s="9" t="s">
        <v>3801</v>
      </c>
      <c r="B2047" s="3">
        <v>7</v>
      </c>
      <c r="C2047" s="4" t="str">
        <f t="shared" si="124"/>
        <v>Neutral</v>
      </c>
      <c r="D2047" s="3" t="s">
        <v>1051</v>
      </c>
      <c r="E2047" s="3" t="s">
        <v>35</v>
      </c>
      <c r="F2047" s="5" t="s">
        <v>3965</v>
      </c>
      <c r="G2047" s="4" t="str">
        <f t="shared" si="125"/>
        <v>4th</v>
      </c>
      <c r="H2047" s="4" t="str">
        <f t="shared" si="126"/>
        <v>October</v>
      </c>
      <c r="I2047" s="4" t="str">
        <f t="shared" si="127"/>
        <v>2022</v>
      </c>
      <c r="J2047" s="10" t="s">
        <v>9</v>
      </c>
    </row>
    <row r="2048" spans="1:10" x14ac:dyDescent="0.35">
      <c r="A2048" s="9" t="s">
        <v>3801</v>
      </c>
      <c r="B2048" s="3">
        <v>7</v>
      </c>
      <c r="C2048" s="4" t="str">
        <f t="shared" si="124"/>
        <v>Neutral</v>
      </c>
      <c r="D2048" s="3" t="s">
        <v>2238</v>
      </c>
      <c r="E2048" s="3" t="s">
        <v>35</v>
      </c>
      <c r="F2048" s="5" t="s">
        <v>3965</v>
      </c>
      <c r="G2048" s="4" t="str">
        <f t="shared" si="125"/>
        <v>4th</v>
      </c>
      <c r="H2048" s="4" t="str">
        <f t="shared" si="126"/>
        <v>October</v>
      </c>
      <c r="I2048" s="4" t="str">
        <f t="shared" si="127"/>
        <v>2022</v>
      </c>
      <c r="J2048" s="10" t="s">
        <v>9</v>
      </c>
    </row>
    <row r="2049" spans="1:10" x14ac:dyDescent="0.35">
      <c r="A2049" s="9" t="s">
        <v>3801</v>
      </c>
      <c r="B2049" s="3">
        <v>9</v>
      </c>
      <c r="C2049" s="4" t="str">
        <f t="shared" si="124"/>
        <v>Good</v>
      </c>
      <c r="D2049" s="3" t="s">
        <v>3969</v>
      </c>
      <c r="E2049" s="3" t="s">
        <v>3970</v>
      </c>
      <c r="F2049" s="5" t="s">
        <v>3965</v>
      </c>
      <c r="G2049" s="4" t="str">
        <f t="shared" si="125"/>
        <v>4th</v>
      </c>
      <c r="H2049" s="4" t="str">
        <f t="shared" si="126"/>
        <v>October</v>
      </c>
      <c r="I2049" s="4" t="str">
        <f t="shared" si="127"/>
        <v>2022</v>
      </c>
      <c r="J2049" s="10" t="s">
        <v>9</v>
      </c>
    </row>
    <row r="2050" spans="1:10" x14ac:dyDescent="0.35">
      <c r="A2050" s="9" t="s">
        <v>3801</v>
      </c>
      <c r="B2050" s="3">
        <v>6</v>
      </c>
      <c r="C2050" s="4" t="str">
        <f t="shared" si="124"/>
        <v>Neutral</v>
      </c>
      <c r="D2050" s="3" t="s">
        <v>3971</v>
      </c>
      <c r="E2050" s="3" t="s">
        <v>35</v>
      </c>
      <c r="F2050" s="5" t="s">
        <v>3965</v>
      </c>
      <c r="G2050" s="4" t="str">
        <f t="shared" si="125"/>
        <v>4th</v>
      </c>
      <c r="H2050" s="4" t="str">
        <f t="shared" si="126"/>
        <v>October</v>
      </c>
      <c r="I2050" s="4" t="str">
        <f t="shared" si="127"/>
        <v>2022</v>
      </c>
      <c r="J2050" s="10" t="s">
        <v>9</v>
      </c>
    </row>
    <row r="2051" spans="1:10" x14ac:dyDescent="0.35">
      <c r="A2051" s="9" t="s">
        <v>3801</v>
      </c>
      <c r="B2051" s="3">
        <v>5</v>
      </c>
      <c r="C2051" s="4" t="str">
        <f t="shared" ref="C2051:C2114" si="128">IF(B2051&gt;=8,"Good",IF(B2051&gt;=5,"Neutral","Bad"))</f>
        <v>Neutral</v>
      </c>
      <c r="D2051" s="3" t="s">
        <v>568</v>
      </c>
      <c r="E2051" s="3" t="s">
        <v>35</v>
      </c>
      <c r="F2051" s="5" t="s">
        <v>3965</v>
      </c>
      <c r="G2051" s="4" t="str">
        <f t="shared" ref="G2051:G2114" si="129">LEFT(F2051, FIND(" ", F2051)-1)</f>
        <v>4th</v>
      </c>
      <c r="H2051" s="4" t="str">
        <f t="shared" ref="H2051:H2114" si="130">TRIM(MID(F2051, FIND(" ", F2051)+1, FIND(" ", F2051, FIND(" ", F2051)+1) - FIND(" ", F2051)-1))</f>
        <v>October</v>
      </c>
      <c r="I2051" s="4" t="str">
        <f t="shared" ref="I2051:I2114" si="131">RIGHT(F2051, 4)</f>
        <v>2022</v>
      </c>
      <c r="J2051" s="10" t="s">
        <v>12</v>
      </c>
    </row>
    <row r="2052" spans="1:10" x14ac:dyDescent="0.35">
      <c r="A2052" s="9" t="s">
        <v>3801</v>
      </c>
      <c r="B2052" s="3">
        <v>9</v>
      </c>
      <c r="C2052" s="4" t="str">
        <f t="shared" si="128"/>
        <v>Good</v>
      </c>
      <c r="D2052" s="3" t="s">
        <v>3972</v>
      </c>
      <c r="E2052" s="3" t="s">
        <v>3973</v>
      </c>
      <c r="F2052" s="5" t="s">
        <v>3974</v>
      </c>
      <c r="G2052" s="4" t="str">
        <f t="shared" si="129"/>
        <v>4th</v>
      </c>
      <c r="H2052" s="4" t="str">
        <f t="shared" si="130"/>
        <v>August</v>
      </c>
      <c r="I2052" s="4" t="str">
        <f t="shared" si="131"/>
        <v>2022</v>
      </c>
      <c r="J2052" s="10" t="s">
        <v>9</v>
      </c>
    </row>
    <row r="2053" spans="1:10" x14ac:dyDescent="0.35">
      <c r="A2053" s="9" t="s">
        <v>3801</v>
      </c>
      <c r="B2053" s="3">
        <v>2</v>
      </c>
      <c r="C2053" s="4" t="str">
        <f t="shared" si="128"/>
        <v>Bad</v>
      </c>
      <c r="D2053" s="3" t="s">
        <v>3975</v>
      </c>
      <c r="E2053" s="3" t="s">
        <v>3976</v>
      </c>
      <c r="F2053" s="5" t="s">
        <v>3974</v>
      </c>
      <c r="G2053" s="4" t="str">
        <f t="shared" si="129"/>
        <v>4th</v>
      </c>
      <c r="H2053" s="4" t="str">
        <f t="shared" si="130"/>
        <v>August</v>
      </c>
      <c r="I2053" s="4" t="str">
        <f t="shared" si="131"/>
        <v>2022</v>
      </c>
      <c r="J2053" s="10" t="s">
        <v>12</v>
      </c>
    </row>
    <row r="2054" spans="1:10" x14ac:dyDescent="0.35">
      <c r="A2054" s="9" t="s">
        <v>3801</v>
      </c>
      <c r="B2054" s="3">
        <v>6</v>
      </c>
      <c r="C2054" s="4" t="str">
        <f t="shared" si="128"/>
        <v>Neutral</v>
      </c>
      <c r="D2054" s="3" t="s">
        <v>3977</v>
      </c>
      <c r="E2054" s="3" t="s">
        <v>3978</v>
      </c>
      <c r="F2054" s="5" t="s">
        <v>3974</v>
      </c>
      <c r="G2054" s="4" t="str">
        <f t="shared" si="129"/>
        <v>4th</v>
      </c>
      <c r="H2054" s="4" t="str">
        <f t="shared" si="130"/>
        <v>August</v>
      </c>
      <c r="I2054" s="4" t="str">
        <f t="shared" si="131"/>
        <v>2022</v>
      </c>
      <c r="J2054" s="10" t="s">
        <v>9</v>
      </c>
    </row>
    <row r="2055" spans="1:10" x14ac:dyDescent="0.35">
      <c r="A2055" s="9" t="s">
        <v>3801</v>
      </c>
      <c r="B2055" s="3">
        <v>10</v>
      </c>
      <c r="C2055" s="4" t="str">
        <f t="shared" si="128"/>
        <v>Good</v>
      </c>
      <c r="D2055" s="3" t="s">
        <v>2346</v>
      </c>
      <c r="E2055" s="3" t="s">
        <v>3979</v>
      </c>
      <c r="F2055" s="5" t="s">
        <v>3974</v>
      </c>
      <c r="G2055" s="4" t="str">
        <f t="shared" si="129"/>
        <v>4th</v>
      </c>
      <c r="H2055" s="4" t="str">
        <f t="shared" si="130"/>
        <v>August</v>
      </c>
      <c r="I2055" s="4" t="str">
        <f t="shared" si="131"/>
        <v>2022</v>
      </c>
      <c r="J2055" s="10" t="s">
        <v>9</v>
      </c>
    </row>
    <row r="2056" spans="1:10" x14ac:dyDescent="0.35">
      <c r="A2056" s="9" t="s">
        <v>3801</v>
      </c>
      <c r="B2056" s="3">
        <v>10</v>
      </c>
      <c r="C2056" s="4" t="str">
        <f t="shared" si="128"/>
        <v>Good</v>
      </c>
      <c r="D2056" s="3" t="s">
        <v>3980</v>
      </c>
      <c r="E2056" s="3" t="s">
        <v>3981</v>
      </c>
      <c r="F2056" s="5" t="s">
        <v>3974</v>
      </c>
      <c r="G2056" s="4" t="str">
        <f t="shared" si="129"/>
        <v>4th</v>
      </c>
      <c r="H2056" s="4" t="str">
        <f t="shared" si="130"/>
        <v>August</v>
      </c>
      <c r="I2056" s="4" t="str">
        <f t="shared" si="131"/>
        <v>2022</v>
      </c>
      <c r="J2056" s="10" t="s">
        <v>9</v>
      </c>
    </row>
    <row r="2057" spans="1:10" x14ac:dyDescent="0.35">
      <c r="A2057" s="9" t="s">
        <v>3801</v>
      </c>
      <c r="B2057" s="3">
        <v>1</v>
      </c>
      <c r="C2057" s="4" t="str">
        <f t="shared" si="128"/>
        <v>Bad</v>
      </c>
      <c r="D2057" s="3" t="s">
        <v>3982</v>
      </c>
      <c r="E2057" s="3" t="s">
        <v>3983</v>
      </c>
      <c r="F2057" s="5" t="s">
        <v>3974</v>
      </c>
      <c r="G2057" s="4" t="str">
        <f t="shared" si="129"/>
        <v>4th</v>
      </c>
      <c r="H2057" s="4" t="str">
        <f t="shared" si="130"/>
        <v>August</v>
      </c>
      <c r="I2057" s="4" t="str">
        <f t="shared" si="131"/>
        <v>2022</v>
      </c>
      <c r="J2057" s="10" t="s">
        <v>12</v>
      </c>
    </row>
    <row r="2058" spans="1:10" x14ac:dyDescent="0.35">
      <c r="A2058" s="9" t="s">
        <v>3801</v>
      </c>
      <c r="B2058" s="3">
        <v>2</v>
      </c>
      <c r="C2058" s="4" t="str">
        <f t="shared" si="128"/>
        <v>Bad</v>
      </c>
      <c r="D2058" s="3" t="s">
        <v>3984</v>
      </c>
      <c r="E2058" s="3" t="s">
        <v>3985</v>
      </c>
      <c r="F2058" s="5" t="s">
        <v>3974</v>
      </c>
      <c r="G2058" s="4" t="str">
        <f t="shared" si="129"/>
        <v>4th</v>
      </c>
      <c r="H2058" s="4" t="str">
        <f t="shared" si="130"/>
        <v>August</v>
      </c>
      <c r="I2058" s="4" t="str">
        <f t="shared" si="131"/>
        <v>2022</v>
      </c>
      <c r="J2058" s="10" t="s">
        <v>9</v>
      </c>
    </row>
    <row r="2059" spans="1:10" x14ac:dyDescent="0.35">
      <c r="A2059" s="9" t="s">
        <v>3801</v>
      </c>
      <c r="B2059" s="3">
        <v>2</v>
      </c>
      <c r="C2059" s="4" t="str">
        <f t="shared" si="128"/>
        <v>Bad</v>
      </c>
      <c r="D2059" s="3" t="s">
        <v>3986</v>
      </c>
      <c r="E2059" s="3" t="s">
        <v>3987</v>
      </c>
      <c r="F2059" s="5" t="s">
        <v>3974</v>
      </c>
      <c r="G2059" s="4" t="str">
        <f t="shared" si="129"/>
        <v>4th</v>
      </c>
      <c r="H2059" s="4" t="str">
        <f t="shared" si="130"/>
        <v>August</v>
      </c>
      <c r="I2059" s="4" t="str">
        <f t="shared" si="131"/>
        <v>2022</v>
      </c>
      <c r="J2059" s="10" t="s">
        <v>12</v>
      </c>
    </row>
    <row r="2060" spans="1:10" x14ac:dyDescent="0.35">
      <c r="A2060" s="9" t="s">
        <v>3801</v>
      </c>
      <c r="B2060" s="3">
        <v>1</v>
      </c>
      <c r="C2060" s="4" t="str">
        <f t="shared" si="128"/>
        <v>Bad</v>
      </c>
      <c r="D2060" s="3" t="s">
        <v>3988</v>
      </c>
      <c r="E2060" s="3" t="s">
        <v>3989</v>
      </c>
      <c r="F2060" s="5" t="s">
        <v>3974</v>
      </c>
      <c r="G2060" s="4" t="str">
        <f t="shared" si="129"/>
        <v>4th</v>
      </c>
      <c r="H2060" s="4" t="str">
        <f t="shared" si="130"/>
        <v>August</v>
      </c>
      <c r="I2060" s="4" t="str">
        <f t="shared" si="131"/>
        <v>2022</v>
      </c>
      <c r="J2060" s="10" t="s">
        <v>12</v>
      </c>
    </row>
    <row r="2061" spans="1:10" x14ac:dyDescent="0.35">
      <c r="A2061" s="9" t="s">
        <v>3801</v>
      </c>
      <c r="B2061" s="3">
        <v>10</v>
      </c>
      <c r="C2061" s="4" t="str">
        <f t="shared" si="128"/>
        <v>Good</v>
      </c>
      <c r="D2061" s="3" t="s">
        <v>3990</v>
      </c>
      <c r="E2061" s="3" t="s">
        <v>3991</v>
      </c>
      <c r="F2061" s="5" t="s">
        <v>3974</v>
      </c>
      <c r="G2061" s="4" t="str">
        <f t="shared" si="129"/>
        <v>4th</v>
      </c>
      <c r="H2061" s="4" t="str">
        <f t="shared" si="130"/>
        <v>August</v>
      </c>
      <c r="I2061" s="4" t="str">
        <f t="shared" si="131"/>
        <v>2022</v>
      </c>
      <c r="J2061" s="10" t="s">
        <v>9</v>
      </c>
    </row>
    <row r="2062" spans="1:10" x14ac:dyDescent="0.35">
      <c r="A2062" s="9" t="s">
        <v>3801</v>
      </c>
      <c r="B2062" s="3">
        <v>10</v>
      </c>
      <c r="C2062" s="4" t="str">
        <f t="shared" si="128"/>
        <v>Good</v>
      </c>
      <c r="D2062" s="3" t="s">
        <v>3992</v>
      </c>
      <c r="E2062" s="3" t="s">
        <v>3993</v>
      </c>
      <c r="F2062" s="5" t="s">
        <v>3994</v>
      </c>
      <c r="G2062" s="4" t="str">
        <f t="shared" si="129"/>
        <v>5th</v>
      </c>
      <c r="H2062" s="4" t="str">
        <f t="shared" si="130"/>
        <v>June</v>
      </c>
      <c r="I2062" s="4" t="str">
        <f t="shared" si="131"/>
        <v>2022</v>
      </c>
      <c r="J2062" s="10" t="s">
        <v>9</v>
      </c>
    </row>
    <row r="2063" spans="1:10" x14ac:dyDescent="0.35">
      <c r="A2063" s="9" t="s">
        <v>3801</v>
      </c>
      <c r="B2063" s="3">
        <v>10</v>
      </c>
      <c r="C2063" s="4" t="str">
        <f t="shared" si="128"/>
        <v>Good</v>
      </c>
      <c r="D2063" s="3" t="s">
        <v>3995</v>
      </c>
      <c r="E2063" s="3" t="s">
        <v>3996</v>
      </c>
      <c r="F2063" s="5" t="s">
        <v>3994</v>
      </c>
      <c r="G2063" s="4" t="str">
        <f t="shared" si="129"/>
        <v>5th</v>
      </c>
      <c r="H2063" s="4" t="str">
        <f t="shared" si="130"/>
        <v>June</v>
      </c>
      <c r="I2063" s="4" t="str">
        <f t="shared" si="131"/>
        <v>2022</v>
      </c>
      <c r="J2063" s="10" t="s">
        <v>9</v>
      </c>
    </row>
    <row r="2064" spans="1:10" x14ac:dyDescent="0.35">
      <c r="A2064" s="9" t="s">
        <v>3801</v>
      </c>
      <c r="B2064" s="3">
        <v>6</v>
      </c>
      <c r="C2064" s="4" t="str">
        <f t="shared" si="128"/>
        <v>Neutral</v>
      </c>
      <c r="D2064" s="3" t="s">
        <v>3997</v>
      </c>
      <c r="E2064" s="3" t="s">
        <v>3998</v>
      </c>
      <c r="F2064" s="5" t="s">
        <v>3994</v>
      </c>
      <c r="G2064" s="4" t="str">
        <f t="shared" si="129"/>
        <v>5th</v>
      </c>
      <c r="H2064" s="4" t="str">
        <f t="shared" si="130"/>
        <v>June</v>
      </c>
      <c r="I2064" s="4" t="str">
        <f t="shared" si="131"/>
        <v>2022</v>
      </c>
      <c r="J2064" s="10" t="s">
        <v>12</v>
      </c>
    </row>
    <row r="2065" spans="1:10" x14ac:dyDescent="0.35">
      <c r="A2065" s="9" t="s">
        <v>3801</v>
      </c>
      <c r="B2065" s="3">
        <v>3</v>
      </c>
      <c r="C2065" s="4" t="str">
        <f t="shared" si="128"/>
        <v>Bad</v>
      </c>
      <c r="D2065" s="3" t="s">
        <v>3999</v>
      </c>
      <c r="E2065" s="3" t="s">
        <v>4000</v>
      </c>
      <c r="F2065" s="5" t="s">
        <v>3994</v>
      </c>
      <c r="G2065" s="4" t="str">
        <f t="shared" si="129"/>
        <v>5th</v>
      </c>
      <c r="H2065" s="4" t="str">
        <f t="shared" si="130"/>
        <v>June</v>
      </c>
      <c r="I2065" s="4" t="str">
        <f t="shared" si="131"/>
        <v>2022</v>
      </c>
      <c r="J2065" s="10" t="s">
        <v>12</v>
      </c>
    </row>
    <row r="2066" spans="1:10" x14ac:dyDescent="0.35">
      <c r="A2066" s="9" t="s">
        <v>3801</v>
      </c>
      <c r="B2066" s="3">
        <v>10</v>
      </c>
      <c r="C2066" s="4" t="str">
        <f t="shared" si="128"/>
        <v>Good</v>
      </c>
      <c r="D2066" s="3" t="s">
        <v>4001</v>
      </c>
      <c r="E2066" s="3" t="s">
        <v>4002</v>
      </c>
      <c r="F2066" s="5" t="s">
        <v>3994</v>
      </c>
      <c r="G2066" s="4" t="str">
        <f t="shared" si="129"/>
        <v>5th</v>
      </c>
      <c r="H2066" s="4" t="str">
        <f t="shared" si="130"/>
        <v>June</v>
      </c>
      <c r="I2066" s="4" t="str">
        <f t="shared" si="131"/>
        <v>2022</v>
      </c>
      <c r="J2066" s="10" t="s">
        <v>9</v>
      </c>
    </row>
    <row r="2067" spans="1:10" x14ac:dyDescent="0.35">
      <c r="A2067" s="9" t="s">
        <v>3801</v>
      </c>
      <c r="B2067" s="3">
        <v>9</v>
      </c>
      <c r="C2067" s="4" t="str">
        <f t="shared" si="128"/>
        <v>Good</v>
      </c>
      <c r="D2067" s="3" t="s">
        <v>4003</v>
      </c>
      <c r="E2067" s="3" t="s">
        <v>2012</v>
      </c>
      <c r="F2067" s="5" t="s">
        <v>3994</v>
      </c>
      <c r="G2067" s="4" t="str">
        <f t="shared" si="129"/>
        <v>5th</v>
      </c>
      <c r="H2067" s="4" t="str">
        <f t="shared" si="130"/>
        <v>June</v>
      </c>
      <c r="I2067" s="4" t="str">
        <f t="shared" si="131"/>
        <v>2022</v>
      </c>
      <c r="J2067" s="10" t="s">
        <v>9</v>
      </c>
    </row>
    <row r="2068" spans="1:10" x14ac:dyDescent="0.35">
      <c r="A2068" s="9" t="s">
        <v>3801</v>
      </c>
      <c r="B2068" s="3">
        <v>8</v>
      </c>
      <c r="C2068" s="4" t="str">
        <f t="shared" si="128"/>
        <v>Good</v>
      </c>
      <c r="D2068" s="3" t="s">
        <v>4004</v>
      </c>
      <c r="E2068" s="3" t="s">
        <v>4005</v>
      </c>
      <c r="F2068" s="5" t="s">
        <v>3994</v>
      </c>
      <c r="G2068" s="4" t="str">
        <f t="shared" si="129"/>
        <v>5th</v>
      </c>
      <c r="H2068" s="4" t="str">
        <f t="shared" si="130"/>
        <v>June</v>
      </c>
      <c r="I2068" s="4" t="str">
        <f t="shared" si="131"/>
        <v>2022</v>
      </c>
      <c r="J2068" s="10" t="s">
        <v>9</v>
      </c>
    </row>
    <row r="2069" spans="1:10" x14ac:dyDescent="0.35">
      <c r="A2069" s="9" t="s">
        <v>3801</v>
      </c>
      <c r="B2069" s="3">
        <v>5</v>
      </c>
      <c r="C2069" s="4" t="str">
        <f t="shared" si="128"/>
        <v>Neutral</v>
      </c>
      <c r="D2069" s="3" t="s">
        <v>4006</v>
      </c>
      <c r="E2069" s="3" t="s">
        <v>4007</v>
      </c>
      <c r="F2069" s="5" t="s">
        <v>3994</v>
      </c>
      <c r="G2069" s="4" t="str">
        <f t="shared" si="129"/>
        <v>5th</v>
      </c>
      <c r="H2069" s="4" t="str">
        <f t="shared" si="130"/>
        <v>June</v>
      </c>
      <c r="I2069" s="4" t="str">
        <f t="shared" si="131"/>
        <v>2022</v>
      </c>
      <c r="J2069" s="10" t="s">
        <v>9</v>
      </c>
    </row>
    <row r="2070" spans="1:10" x14ac:dyDescent="0.35">
      <c r="A2070" s="9" t="s">
        <v>3801</v>
      </c>
      <c r="B2070" s="3">
        <v>8</v>
      </c>
      <c r="C2070" s="4" t="str">
        <f t="shared" si="128"/>
        <v>Good</v>
      </c>
      <c r="D2070" s="3" t="s">
        <v>4008</v>
      </c>
      <c r="E2070" s="3" t="s">
        <v>4009</v>
      </c>
      <c r="F2070" s="5" t="s">
        <v>3994</v>
      </c>
      <c r="G2070" s="4" t="str">
        <f t="shared" si="129"/>
        <v>5th</v>
      </c>
      <c r="H2070" s="4" t="str">
        <f t="shared" si="130"/>
        <v>June</v>
      </c>
      <c r="I2070" s="4" t="str">
        <f t="shared" si="131"/>
        <v>2022</v>
      </c>
      <c r="J2070" s="10" t="s">
        <v>9</v>
      </c>
    </row>
    <row r="2071" spans="1:10" x14ac:dyDescent="0.35">
      <c r="A2071" s="9" t="s">
        <v>3801</v>
      </c>
      <c r="B2071" s="3">
        <v>6</v>
      </c>
      <c r="C2071" s="4" t="str">
        <f t="shared" si="128"/>
        <v>Neutral</v>
      </c>
      <c r="D2071" s="3" t="s">
        <v>4010</v>
      </c>
      <c r="E2071" s="3" t="s">
        <v>4011</v>
      </c>
      <c r="F2071" s="5" t="s">
        <v>3994</v>
      </c>
      <c r="G2071" s="4" t="str">
        <f t="shared" si="129"/>
        <v>5th</v>
      </c>
      <c r="H2071" s="4" t="str">
        <f t="shared" si="130"/>
        <v>June</v>
      </c>
      <c r="I2071" s="4" t="str">
        <f t="shared" si="131"/>
        <v>2022</v>
      </c>
      <c r="J2071" s="10" t="s">
        <v>9</v>
      </c>
    </row>
    <row r="2072" spans="1:10" x14ac:dyDescent="0.35">
      <c r="A2072" s="9" t="s">
        <v>3801</v>
      </c>
      <c r="B2072" s="3">
        <v>10</v>
      </c>
      <c r="C2072" s="4" t="str">
        <f t="shared" si="128"/>
        <v>Good</v>
      </c>
      <c r="D2072" s="3" t="s">
        <v>4012</v>
      </c>
      <c r="E2072" s="3" t="s">
        <v>4013</v>
      </c>
      <c r="F2072" s="5" t="s">
        <v>4014</v>
      </c>
      <c r="G2072" s="4" t="str">
        <f t="shared" si="129"/>
        <v>1st</v>
      </c>
      <c r="H2072" s="4" t="str">
        <f t="shared" si="130"/>
        <v>April</v>
      </c>
      <c r="I2072" s="4" t="str">
        <f t="shared" si="131"/>
        <v>2022</v>
      </c>
      <c r="J2072" s="10" t="s">
        <v>9</v>
      </c>
    </row>
    <row r="2073" spans="1:10" x14ac:dyDescent="0.35">
      <c r="A2073" s="9" t="s">
        <v>3801</v>
      </c>
      <c r="B2073" s="3">
        <v>7</v>
      </c>
      <c r="C2073" s="4" t="str">
        <f t="shared" si="128"/>
        <v>Neutral</v>
      </c>
      <c r="D2073" s="3" t="s">
        <v>4015</v>
      </c>
      <c r="E2073" s="3" t="s">
        <v>35</v>
      </c>
      <c r="F2073" s="5" t="s">
        <v>4014</v>
      </c>
      <c r="G2073" s="4" t="str">
        <f t="shared" si="129"/>
        <v>1st</v>
      </c>
      <c r="H2073" s="4" t="str">
        <f t="shared" si="130"/>
        <v>April</v>
      </c>
      <c r="I2073" s="4" t="str">
        <f t="shared" si="131"/>
        <v>2022</v>
      </c>
      <c r="J2073" s="10" t="s">
        <v>9</v>
      </c>
    </row>
    <row r="2074" spans="1:10" x14ac:dyDescent="0.35">
      <c r="A2074" s="9" t="s">
        <v>3801</v>
      </c>
      <c r="B2074" s="3">
        <v>3</v>
      </c>
      <c r="C2074" s="4" t="str">
        <f t="shared" si="128"/>
        <v>Bad</v>
      </c>
      <c r="D2074" s="3" t="s">
        <v>4016</v>
      </c>
      <c r="E2074" s="3" t="s">
        <v>35</v>
      </c>
      <c r="F2074" s="5" t="s">
        <v>4014</v>
      </c>
      <c r="G2074" s="4" t="str">
        <f t="shared" si="129"/>
        <v>1st</v>
      </c>
      <c r="H2074" s="4" t="str">
        <f t="shared" si="130"/>
        <v>April</v>
      </c>
      <c r="I2074" s="4" t="str">
        <f t="shared" si="131"/>
        <v>2022</v>
      </c>
      <c r="J2074" s="10" t="s">
        <v>12</v>
      </c>
    </row>
    <row r="2075" spans="1:10" x14ac:dyDescent="0.35">
      <c r="A2075" s="9" t="s">
        <v>3801</v>
      </c>
      <c r="B2075" s="3">
        <v>10</v>
      </c>
      <c r="C2075" s="4" t="str">
        <f t="shared" si="128"/>
        <v>Good</v>
      </c>
      <c r="D2075" s="3" t="s">
        <v>4017</v>
      </c>
      <c r="E2075" s="3" t="s">
        <v>4018</v>
      </c>
      <c r="F2075" s="5" t="s">
        <v>4014</v>
      </c>
      <c r="G2075" s="4" t="str">
        <f t="shared" si="129"/>
        <v>1st</v>
      </c>
      <c r="H2075" s="4" t="str">
        <f t="shared" si="130"/>
        <v>April</v>
      </c>
      <c r="I2075" s="4" t="str">
        <f t="shared" si="131"/>
        <v>2022</v>
      </c>
      <c r="J2075" s="10" t="s">
        <v>9</v>
      </c>
    </row>
    <row r="2076" spans="1:10" x14ac:dyDescent="0.35">
      <c r="A2076" s="9" t="s">
        <v>3801</v>
      </c>
      <c r="B2076" s="3">
        <v>9</v>
      </c>
      <c r="C2076" s="4" t="str">
        <f t="shared" si="128"/>
        <v>Good</v>
      </c>
      <c r="D2076" s="3" t="s">
        <v>4019</v>
      </c>
      <c r="E2076" s="3" t="s">
        <v>3884</v>
      </c>
      <c r="F2076" s="5" t="s">
        <v>4014</v>
      </c>
      <c r="G2076" s="4" t="str">
        <f t="shared" si="129"/>
        <v>1st</v>
      </c>
      <c r="H2076" s="4" t="str">
        <f t="shared" si="130"/>
        <v>April</v>
      </c>
      <c r="I2076" s="4" t="str">
        <f t="shared" si="131"/>
        <v>2022</v>
      </c>
      <c r="J2076" s="10" t="s">
        <v>9</v>
      </c>
    </row>
    <row r="2077" spans="1:10" x14ac:dyDescent="0.35">
      <c r="A2077" s="9" t="s">
        <v>3801</v>
      </c>
      <c r="B2077" s="3">
        <v>1</v>
      </c>
      <c r="C2077" s="4" t="str">
        <f t="shared" si="128"/>
        <v>Bad</v>
      </c>
      <c r="D2077" s="3" t="s">
        <v>1820</v>
      </c>
      <c r="E2077" s="3" t="s">
        <v>4020</v>
      </c>
      <c r="F2077" s="5" t="s">
        <v>4014</v>
      </c>
      <c r="G2077" s="4" t="str">
        <f t="shared" si="129"/>
        <v>1st</v>
      </c>
      <c r="H2077" s="4" t="str">
        <f t="shared" si="130"/>
        <v>April</v>
      </c>
      <c r="I2077" s="4" t="str">
        <f t="shared" si="131"/>
        <v>2022</v>
      </c>
      <c r="J2077" s="10" t="s">
        <v>12</v>
      </c>
    </row>
    <row r="2078" spans="1:10" x14ac:dyDescent="0.35">
      <c r="A2078" s="9" t="s">
        <v>3801</v>
      </c>
      <c r="B2078" s="3">
        <v>2</v>
      </c>
      <c r="C2078" s="4" t="str">
        <f t="shared" si="128"/>
        <v>Bad</v>
      </c>
      <c r="D2078" s="3" t="s">
        <v>4021</v>
      </c>
      <c r="E2078" s="3" t="s">
        <v>4022</v>
      </c>
      <c r="F2078" s="5" t="s">
        <v>4014</v>
      </c>
      <c r="G2078" s="4" t="str">
        <f t="shared" si="129"/>
        <v>1st</v>
      </c>
      <c r="H2078" s="4" t="str">
        <f t="shared" si="130"/>
        <v>April</v>
      </c>
      <c r="I2078" s="4" t="str">
        <f t="shared" si="131"/>
        <v>2022</v>
      </c>
      <c r="J2078" s="10" t="s">
        <v>12</v>
      </c>
    </row>
    <row r="2079" spans="1:10" x14ac:dyDescent="0.35">
      <c r="A2079" s="9" t="s">
        <v>3801</v>
      </c>
      <c r="B2079" s="3">
        <v>10</v>
      </c>
      <c r="C2079" s="4" t="str">
        <f t="shared" si="128"/>
        <v>Good</v>
      </c>
      <c r="D2079" s="3" t="s">
        <v>4023</v>
      </c>
      <c r="E2079" s="3" t="s">
        <v>4024</v>
      </c>
      <c r="F2079" s="5" t="s">
        <v>4014</v>
      </c>
      <c r="G2079" s="4" t="str">
        <f t="shared" si="129"/>
        <v>1st</v>
      </c>
      <c r="H2079" s="4" t="str">
        <f t="shared" si="130"/>
        <v>April</v>
      </c>
      <c r="I2079" s="4" t="str">
        <f t="shared" si="131"/>
        <v>2022</v>
      </c>
      <c r="J2079" s="10" t="s">
        <v>9</v>
      </c>
    </row>
    <row r="2080" spans="1:10" x14ac:dyDescent="0.35">
      <c r="A2080" s="9" t="s">
        <v>3801</v>
      </c>
      <c r="B2080" s="3">
        <v>9</v>
      </c>
      <c r="C2080" s="4" t="str">
        <f t="shared" si="128"/>
        <v>Good</v>
      </c>
      <c r="D2080" s="3" t="s">
        <v>4025</v>
      </c>
      <c r="E2080" s="3" t="s">
        <v>3884</v>
      </c>
      <c r="F2080" s="5" t="s">
        <v>4014</v>
      </c>
      <c r="G2080" s="4" t="str">
        <f t="shared" si="129"/>
        <v>1st</v>
      </c>
      <c r="H2080" s="4" t="str">
        <f t="shared" si="130"/>
        <v>April</v>
      </c>
      <c r="I2080" s="4" t="str">
        <f t="shared" si="131"/>
        <v>2022</v>
      </c>
      <c r="J2080" s="10" t="s">
        <v>9</v>
      </c>
    </row>
    <row r="2081" spans="1:10" x14ac:dyDescent="0.35">
      <c r="A2081" s="9" t="s">
        <v>3801</v>
      </c>
      <c r="B2081" s="3">
        <v>10</v>
      </c>
      <c r="C2081" s="4" t="str">
        <f t="shared" si="128"/>
        <v>Good</v>
      </c>
      <c r="D2081" s="3" t="s">
        <v>4026</v>
      </c>
      <c r="E2081" s="3" t="s">
        <v>4027</v>
      </c>
      <c r="F2081" s="5" t="s">
        <v>4014</v>
      </c>
      <c r="G2081" s="4" t="str">
        <f t="shared" si="129"/>
        <v>1st</v>
      </c>
      <c r="H2081" s="4" t="str">
        <f t="shared" si="130"/>
        <v>April</v>
      </c>
      <c r="I2081" s="4" t="str">
        <f t="shared" si="131"/>
        <v>2022</v>
      </c>
      <c r="J2081" s="10" t="s">
        <v>9</v>
      </c>
    </row>
    <row r="2082" spans="1:10" x14ac:dyDescent="0.35">
      <c r="A2082" s="9" t="s">
        <v>3801</v>
      </c>
      <c r="B2082" s="3">
        <v>10</v>
      </c>
      <c r="C2082" s="4" t="str">
        <f t="shared" si="128"/>
        <v>Good</v>
      </c>
      <c r="D2082" s="3" t="s">
        <v>4028</v>
      </c>
      <c r="E2082" s="3" t="s">
        <v>4029</v>
      </c>
      <c r="F2082" s="5" t="s">
        <v>4030</v>
      </c>
      <c r="G2082" s="4" t="str">
        <f t="shared" si="129"/>
        <v>26th</v>
      </c>
      <c r="H2082" s="4" t="str">
        <f t="shared" si="130"/>
        <v>November</v>
      </c>
      <c r="I2082" s="4" t="str">
        <f t="shared" si="131"/>
        <v>2021</v>
      </c>
      <c r="J2082" s="10" t="s">
        <v>9</v>
      </c>
    </row>
    <row r="2083" spans="1:10" x14ac:dyDescent="0.35">
      <c r="A2083" s="9" t="s">
        <v>3801</v>
      </c>
      <c r="B2083" s="3">
        <v>1</v>
      </c>
      <c r="C2083" s="4" t="str">
        <f t="shared" si="128"/>
        <v>Bad</v>
      </c>
      <c r="D2083" s="3" t="s">
        <v>4031</v>
      </c>
      <c r="E2083" s="3" t="s">
        <v>4032</v>
      </c>
      <c r="F2083" s="5" t="s">
        <v>4030</v>
      </c>
      <c r="G2083" s="4" t="str">
        <f t="shared" si="129"/>
        <v>26th</v>
      </c>
      <c r="H2083" s="4" t="str">
        <f t="shared" si="130"/>
        <v>November</v>
      </c>
      <c r="I2083" s="4" t="str">
        <f t="shared" si="131"/>
        <v>2021</v>
      </c>
      <c r="J2083" s="10" t="s">
        <v>12</v>
      </c>
    </row>
    <row r="2084" spans="1:10" x14ac:dyDescent="0.35">
      <c r="A2084" s="9" t="s">
        <v>3801</v>
      </c>
      <c r="B2084" s="3">
        <v>9</v>
      </c>
      <c r="C2084" s="4" t="str">
        <f t="shared" si="128"/>
        <v>Good</v>
      </c>
      <c r="D2084" s="3" t="s">
        <v>4033</v>
      </c>
      <c r="E2084" s="3" t="s">
        <v>544</v>
      </c>
      <c r="F2084" s="5" t="s">
        <v>4030</v>
      </c>
      <c r="G2084" s="4" t="str">
        <f t="shared" si="129"/>
        <v>26th</v>
      </c>
      <c r="H2084" s="4" t="str">
        <f t="shared" si="130"/>
        <v>November</v>
      </c>
      <c r="I2084" s="4" t="str">
        <f t="shared" si="131"/>
        <v>2021</v>
      </c>
      <c r="J2084" s="10" t="s">
        <v>9</v>
      </c>
    </row>
    <row r="2085" spans="1:10" x14ac:dyDescent="0.35">
      <c r="A2085" s="9" t="s">
        <v>3801</v>
      </c>
      <c r="B2085" s="3">
        <v>2</v>
      </c>
      <c r="C2085" s="4" t="str">
        <f t="shared" si="128"/>
        <v>Bad</v>
      </c>
      <c r="D2085" s="3" t="s">
        <v>4034</v>
      </c>
      <c r="E2085" s="3" t="s">
        <v>4035</v>
      </c>
      <c r="F2085" s="5" t="s">
        <v>4030</v>
      </c>
      <c r="G2085" s="4" t="str">
        <f t="shared" si="129"/>
        <v>26th</v>
      </c>
      <c r="H2085" s="4" t="str">
        <f t="shared" si="130"/>
        <v>November</v>
      </c>
      <c r="I2085" s="4" t="str">
        <f t="shared" si="131"/>
        <v>2021</v>
      </c>
      <c r="J2085" s="10" t="s">
        <v>12</v>
      </c>
    </row>
    <row r="2086" spans="1:10" x14ac:dyDescent="0.35">
      <c r="A2086" s="9" t="s">
        <v>3801</v>
      </c>
      <c r="B2086" s="3">
        <v>10</v>
      </c>
      <c r="C2086" s="4" t="str">
        <f t="shared" si="128"/>
        <v>Good</v>
      </c>
      <c r="D2086" s="3" t="s">
        <v>4036</v>
      </c>
      <c r="E2086" s="3" t="s">
        <v>4037</v>
      </c>
      <c r="F2086" s="5" t="s">
        <v>4030</v>
      </c>
      <c r="G2086" s="4" t="str">
        <f t="shared" si="129"/>
        <v>26th</v>
      </c>
      <c r="H2086" s="4" t="str">
        <f t="shared" si="130"/>
        <v>November</v>
      </c>
      <c r="I2086" s="4" t="str">
        <f t="shared" si="131"/>
        <v>2021</v>
      </c>
      <c r="J2086" s="10" t="s">
        <v>9</v>
      </c>
    </row>
    <row r="2087" spans="1:10" x14ac:dyDescent="0.35">
      <c r="A2087" s="9" t="s">
        <v>3801</v>
      </c>
      <c r="B2087" s="3">
        <v>10</v>
      </c>
      <c r="C2087" s="4" t="str">
        <f t="shared" si="128"/>
        <v>Good</v>
      </c>
      <c r="D2087" s="3" t="s">
        <v>4038</v>
      </c>
      <c r="E2087" s="3" t="s">
        <v>4039</v>
      </c>
      <c r="F2087" s="5" t="s">
        <v>4030</v>
      </c>
      <c r="G2087" s="4" t="str">
        <f t="shared" si="129"/>
        <v>26th</v>
      </c>
      <c r="H2087" s="4" t="str">
        <f t="shared" si="130"/>
        <v>November</v>
      </c>
      <c r="I2087" s="4" t="str">
        <f t="shared" si="131"/>
        <v>2021</v>
      </c>
      <c r="J2087" s="10" t="s">
        <v>9</v>
      </c>
    </row>
    <row r="2088" spans="1:10" x14ac:dyDescent="0.35">
      <c r="A2088" s="9" t="s">
        <v>3801</v>
      </c>
      <c r="B2088" s="3">
        <v>10</v>
      </c>
      <c r="C2088" s="4" t="str">
        <f t="shared" si="128"/>
        <v>Good</v>
      </c>
      <c r="D2088" s="3" t="s">
        <v>4040</v>
      </c>
      <c r="E2088" s="3" t="s">
        <v>1450</v>
      </c>
      <c r="F2088" s="5" t="s">
        <v>4030</v>
      </c>
      <c r="G2088" s="4" t="str">
        <f t="shared" si="129"/>
        <v>26th</v>
      </c>
      <c r="H2088" s="4" t="str">
        <f t="shared" si="130"/>
        <v>November</v>
      </c>
      <c r="I2088" s="4" t="str">
        <f t="shared" si="131"/>
        <v>2021</v>
      </c>
      <c r="J2088" s="10" t="s">
        <v>9</v>
      </c>
    </row>
    <row r="2089" spans="1:10" x14ac:dyDescent="0.35">
      <c r="A2089" s="9" t="s">
        <v>3801</v>
      </c>
      <c r="B2089" s="3">
        <v>6</v>
      </c>
      <c r="C2089" s="4" t="str">
        <f t="shared" si="128"/>
        <v>Neutral</v>
      </c>
      <c r="D2089" s="3" t="s">
        <v>4041</v>
      </c>
      <c r="E2089" s="3" t="s">
        <v>4042</v>
      </c>
      <c r="F2089" s="5" t="s">
        <v>4030</v>
      </c>
      <c r="G2089" s="4" t="str">
        <f t="shared" si="129"/>
        <v>26th</v>
      </c>
      <c r="H2089" s="4" t="str">
        <f t="shared" si="130"/>
        <v>November</v>
      </c>
      <c r="I2089" s="4" t="str">
        <f t="shared" si="131"/>
        <v>2021</v>
      </c>
      <c r="J2089" s="10" t="s">
        <v>12</v>
      </c>
    </row>
    <row r="2090" spans="1:10" x14ac:dyDescent="0.35">
      <c r="A2090" s="9" t="s">
        <v>3801</v>
      </c>
      <c r="B2090" s="3">
        <v>9</v>
      </c>
      <c r="C2090" s="4" t="str">
        <f t="shared" si="128"/>
        <v>Good</v>
      </c>
      <c r="D2090" s="3" t="s">
        <v>4043</v>
      </c>
      <c r="E2090" s="3" t="s">
        <v>4044</v>
      </c>
      <c r="F2090" s="5" t="s">
        <v>4030</v>
      </c>
      <c r="G2090" s="4" t="str">
        <f t="shared" si="129"/>
        <v>26th</v>
      </c>
      <c r="H2090" s="4" t="str">
        <f t="shared" si="130"/>
        <v>November</v>
      </c>
      <c r="I2090" s="4" t="str">
        <f t="shared" si="131"/>
        <v>2021</v>
      </c>
      <c r="J2090" s="10" t="s">
        <v>9</v>
      </c>
    </row>
    <row r="2091" spans="1:10" x14ac:dyDescent="0.35">
      <c r="A2091" s="9" t="s">
        <v>3801</v>
      </c>
      <c r="B2091" s="3">
        <v>1</v>
      </c>
      <c r="C2091" s="4" t="str">
        <f t="shared" si="128"/>
        <v>Bad</v>
      </c>
      <c r="D2091" s="3" t="s">
        <v>4045</v>
      </c>
      <c r="E2091" s="3" t="s">
        <v>4046</v>
      </c>
      <c r="F2091" s="5" t="s">
        <v>4030</v>
      </c>
      <c r="G2091" s="4" t="str">
        <f t="shared" si="129"/>
        <v>26th</v>
      </c>
      <c r="H2091" s="4" t="str">
        <f t="shared" si="130"/>
        <v>November</v>
      </c>
      <c r="I2091" s="4" t="str">
        <f t="shared" si="131"/>
        <v>2021</v>
      </c>
      <c r="J2091" s="10" t="s">
        <v>12</v>
      </c>
    </row>
    <row r="2092" spans="1:10" x14ac:dyDescent="0.35">
      <c r="A2092" s="9" t="s">
        <v>3801</v>
      </c>
      <c r="B2092" s="3">
        <v>1</v>
      </c>
      <c r="C2092" s="4" t="str">
        <f t="shared" si="128"/>
        <v>Bad</v>
      </c>
      <c r="D2092" s="3" t="s">
        <v>4047</v>
      </c>
      <c r="E2092" s="3" t="s">
        <v>4048</v>
      </c>
      <c r="F2092" s="5" t="s">
        <v>4049</v>
      </c>
      <c r="G2092" s="4" t="str">
        <f t="shared" si="129"/>
        <v>15th</v>
      </c>
      <c r="H2092" s="4" t="str">
        <f t="shared" si="130"/>
        <v>May</v>
      </c>
      <c r="I2092" s="4" t="str">
        <f t="shared" si="131"/>
        <v>2021</v>
      </c>
      <c r="J2092" s="10" t="s">
        <v>12</v>
      </c>
    </row>
    <row r="2093" spans="1:10" x14ac:dyDescent="0.35">
      <c r="A2093" s="9" t="s">
        <v>3801</v>
      </c>
      <c r="B2093" s="3">
        <v>9</v>
      </c>
      <c r="C2093" s="4" t="str">
        <f t="shared" si="128"/>
        <v>Good</v>
      </c>
      <c r="D2093" s="3" t="s">
        <v>4050</v>
      </c>
      <c r="E2093" s="3" t="s">
        <v>4051</v>
      </c>
      <c r="F2093" s="5" t="s">
        <v>4049</v>
      </c>
      <c r="G2093" s="4" t="str">
        <f t="shared" si="129"/>
        <v>15th</v>
      </c>
      <c r="H2093" s="4" t="str">
        <f t="shared" si="130"/>
        <v>May</v>
      </c>
      <c r="I2093" s="4" t="str">
        <f t="shared" si="131"/>
        <v>2021</v>
      </c>
      <c r="J2093" s="10" t="s">
        <v>9</v>
      </c>
    </row>
    <row r="2094" spans="1:10" x14ac:dyDescent="0.35">
      <c r="A2094" s="9" t="s">
        <v>3801</v>
      </c>
      <c r="B2094" s="3">
        <v>2</v>
      </c>
      <c r="C2094" s="4" t="str">
        <f t="shared" si="128"/>
        <v>Bad</v>
      </c>
      <c r="D2094" s="3" t="s">
        <v>4052</v>
      </c>
      <c r="E2094" s="3" t="s">
        <v>4053</v>
      </c>
      <c r="F2094" s="5" t="s">
        <v>4049</v>
      </c>
      <c r="G2094" s="4" t="str">
        <f t="shared" si="129"/>
        <v>15th</v>
      </c>
      <c r="H2094" s="4" t="str">
        <f t="shared" si="130"/>
        <v>May</v>
      </c>
      <c r="I2094" s="4" t="str">
        <f t="shared" si="131"/>
        <v>2021</v>
      </c>
      <c r="J2094" s="10" t="s">
        <v>12</v>
      </c>
    </row>
    <row r="2095" spans="1:10" x14ac:dyDescent="0.35">
      <c r="A2095" s="9" t="s">
        <v>3801</v>
      </c>
      <c r="B2095" s="3">
        <v>9</v>
      </c>
      <c r="C2095" s="4" t="str">
        <f t="shared" si="128"/>
        <v>Good</v>
      </c>
      <c r="D2095" s="3" t="s">
        <v>4054</v>
      </c>
      <c r="E2095" s="3" t="s">
        <v>4055</v>
      </c>
      <c r="F2095" s="5" t="s">
        <v>4049</v>
      </c>
      <c r="G2095" s="4" t="str">
        <f t="shared" si="129"/>
        <v>15th</v>
      </c>
      <c r="H2095" s="4" t="str">
        <f t="shared" si="130"/>
        <v>May</v>
      </c>
      <c r="I2095" s="4" t="str">
        <f t="shared" si="131"/>
        <v>2021</v>
      </c>
      <c r="J2095" s="10" t="s">
        <v>9</v>
      </c>
    </row>
    <row r="2096" spans="1:10" x14ac:dyDescent="0.35">
      <c r="A2096" s="9" t="s">
        <v>3801</v>
      </c>
      <c r="B2096" s="3">
        <v>8</v>
      </c>
      <c r="C2096" s="4" t="str">
        <f t="shared" si="128"/>
        <v>Good</v>
      </c>
      <c r="D2096" s="3" t="s">
        <v>4056</v>
      </c>
      <c r="E2096" s="3" t="s">
        <v>35</v>
      </c>
      <c r="F2096" s="5" t="s">
        <v>4049</v>
      </c>
      <c r="G2096" s="4" t="str">
        <f t="shared" si="129"/>
        <v>15th</v>
      </c>
      <c r="H2096" s="4" t="str">
        <f t="shared" si="130"/>
        <v>May</v>
      </c>
      <c r="I2096" s="4" t="str">
        <f t="shared" si="131"/>
        <v>2021</v>
      </c>
      <c r="J2096" s="10" t="s">
        <v>9</v>
      </c>
    </row>
    <row r="2097" spans="1:10" x14ac:dyDescent="0.35">
      <c r="A2097" s="9" t="s">
        <v>3801</v>
      </c>
      <c r="B2097" s="3">
        <v>9</v>
      </c>
      <c r="C2097" s="4" t="str">
        <f t="shared" si="128"/>
        <v>Good</v>
      </c>
      <c r="D2097" s="3" t="s">
        <v>4057</v>
      </c>
      <c r="E2097" s="3" t="s">
        <v>35</v>
      </c>
      <c r="F2097" s="5" t="s">
        <v>4049</v>
      </c>
      <c r="G2097" s="4" t="str">
        <f t="shared" si="129"/>
        <v>15th</v>
      </c>
      <c r="H2097" s="4" t="str">
        <f t="shared" si="130"/>
        <v>May</v>
      </c>
      <c r="I2097" s="4" t="str">
        <f t="shared" si="131"/>
        <v>2021</v>
      </c>
      <c r="J2097" s="10" t="s">
        <v>9</v>
      </c>
    </row>
    <row r="2098" spans="1:10" x14ac:dyDescent="0.35">
      <c r="A2098" s="9" t="s">
        <v>3801</v>
      </c>
      <c r="B2098" s="3">
        <v>1</v>
      </c>
      <c r="C2098" s="4" t="str">
        <f t="shared" si="128"/>
        <v>Bad</v>
      </c>
      <c r="D2098" s="3" t="s">
        <v>4058</v>
      </c>
      <c r="E2098" s="3" t="s">
        <v>4059</v>
      </c>
      <c r="F2098" s="5" t="s">
        <v>4049</v>
      </c>
      <c r="G2098" s="4" t="str">
        <f t="shared" si="129"/>
        <v>15th</v>
      </c>
      <c r="H2098" s="4" t="str">
        <f t="shared" si="130"/>
        <v>May</v>
      </c>
      <c r="I2098" s="4" t="str">
        <f t="shared" si="131"/>
        <v>2021</v>
      </c>
      <c r="J2098" s="10" t="s">
        <v>12</v>
      </c>
    </row>
    <row r="2099" spans="1:10" x14ac:dyDescent="0.35">
      <c r="A2099" s="9" t="s">
        <v>3801</v>
      </c>
      <c r="B2099" s="3">
        <v>9</v>
      </c>
      <c r="C2099" s="4" t="str">
        <f t="shared" si="128"/>
        <v>Good</v>
      </c>
      <c r="D2099" s="3" t="s">
        <v>4060</v>
      </c>
      <c r="E2099" s="3" t="s">
        <v>3884</v>
      </c>
      <c r="F2099" s="5" t="s">
        <v>4049</v>
      </c>
      <c r="G2099" s="4" t="str">
        <f t="shared" si="129"/>
        <v>15th</v>
      </c>
      <c r="H2099" s="4" t="str">
        <f t="shared" si="130"/>
        <v>May</v>
      </c>
      <c r="I2099" s="4" t="str">
        <f t="shared" si="131"/>
        <v>2021</v>
      </c>
      <c r="J2099" s="10" t="s">
        <v>9</v>
      </c>
    </row>
    <row r="2100" spans="1:10" x14ac:dyDescent="0.35">
      <c r="A2100" s="9" t="s">
        <v>3801</v>
      </c>
      <c r="B2100" s="3">
        <v>8</v>
      </c>
      <c r="C2100" s="4" t="str">
        <f t="shared" si="128"/>
        <v>Good</v>
      </c>
      <c r="D2100" s="3" t="s">
        <v>4061</v>
      </c>
      <c r="E2100" s="3" t="s">
        <v>3884</v>
      </c>
      <c r="F2100" s="5" t="s">
        <v>4049</v>
      </c>
      <c r="G2100" s="4" t="str">
        <f t="shared" si="129"/>
        <v>15th</v>
      </c>
      <c r="H2100" s="4" t="str">
        <f t="shared" si="130"/>
        <v>May</v>
      </c>
      <c r="I2100" s="4" t="str">
        <f t="shared" si="131"/>
        <v>2021</v>
      </c>
      <c r="J2100" s="10" t="s">
        <v>9</v>
      </c>
    </row>
    <row r="2101" spans="1:10" x14ac:dyDescent="0.35">
      <c r="A2101" s="9" t="s">
        <v>3801</v>
      </c>
      <c r="B2101" s="3">
        <v>10</v>
      </c>
      <c r="C2101" s="4" t="str">
        <f t="shared" si="128"/>
        <v>Good</v>
      </c>
      <c r="D2101" s="3" t="s">
        <v>4062</v>
      </c>
      <c r="E2101" s="3" t="s">
        <v>83</v>
      </c>
      <c r="F2101" s="5" t="s">
        <v>4049</v>
      </c>
      <c r="G2101" s="4" t="str">
        <f t="shared" si="129"/>
        <v>15th</v>
      </c>
      <c r="H2101" s="4" t="str">
        <f t="shared" si="130"/>
        <v>May</v>
      </c>
      <c r="I2101" s="4" t="str">
        <f t="shared" si="131"/>
        <v>2021</v>
      </c>
      <c r="J2101" s="10" t="s">
        <v>9</v>
      </c>
    </row>
    <row r="2102" spans="1:10" x14ac:dyDescent="0.35">
      <c r="A2102" s="9" t="s">
        <v>3801</v>
      </c>
      <c r="B2102" s="3">
        <v>2</v>
      </c>
      <c r="C2102" s="4" t="str">
        <f t="shared" si="128"/>
        <v>Bad</v>
      </c>
      <c r="D2102" s="3" t="s">
        <v>4063</v>
      </c>
      <c r="E2102" s="3" t="s">
        <v>4064</v>
      </c>
      <c r="F2102" s="5" t="s">
        <v>4065</v>
      </c>
      <c r="G2102" s="4" t="str">
        <f t="shared" si="129"/>
        <v>29th</v>
      </c>
      <c r="H2102" s="4" t="str">
        <f t="shared" si="130"/>
        <v>November</v>
      </c>
      <c r="I2102" s="4" t="str">
        <f t="shared" si="131"/>
        <v>2020</v>
      </c>
      <c r="J2102" s="10" t="s">
        <v>12</v>
      </c>
    </row>
    <row r="2103" spans="1:10" x14ac:dyDescent="0.35">
      <c r="A2103" s="9" t="s">
        <v>3801</v>
      </c>
      <c r="B2103" s="3">
        <v>1</v>
      </c>
      <c r="C2103" s="4" t="str">
        <f t="shared" si="128"/>
        <v>Bad</v>
      </c>
      <c r="D2103" s="3" t="s">
        <v>4066</v>
      </c>
      <c r="E2103" s="3" t="s">
        <v>4067</v>
      </c>
      <c r="F2103" s="5" t="s">
        <v>4065</v>
      </c>
      <c r="G2103" s="4" t="str">
        <f t="shared" si="129"/>
        <v>29th</v>
      </c>
      <c r="H2103" s="4" t="str">
        <f t="shared" si="130"/>
        <v>November</v>
      </c>
      <c r="I2103" s="4" t="str">
        <f t="shared" si="131"/>
        <v>2020</v>
      </c>
      <c r="J2103" s="10" t="s">
        <v>12</v>
      </c>
    </row>
    <row r="2104" spans="1:10" x14ac:dyDescent="0.35">
      <c r="A2104" s="9" t="s">
        <v>3801</v>
      </c>
      <c r="B2104" s="3">
        <v>10</v>
      </c>
      <c r="C2104" s="4" t="str">
        <f t="shared" si="128"/>
        <v>Good</v>
      </c>
      <c r="D2104" s="3" t="s">
        <v>4068</v>
      </c>
      <c r="E2104" s="3" t="s">
        <v>4069</v>
      </c>
      <c r="F2104" s="5" t="s">
        <v>4065</v>
      </c>
      <c r="G2104" s="4" t="str">
        <f t="shared" si="129"/>
        <v>29th</v>
      </c>
      <c r="H2104" s="4" t="str">
        <f t="shared" si="130"/>
        <v>November</v>
      </c>
      <c r="I2104" s="4" t="str">
        <f t="shared" si="131"/>
        <v>2020</v>
      </c>
      <c r="J2104" s="10" t="s">
        <v>9</v>
      </c>
    </row>
    <row r="2105" spans="1:10" x14ac:dyDescent="0.35">
      <c r="A2105" s="9" t="s">
        <v>3801</v>
      </c>
      <c r="B2105" s="3">
        <v>1</v>
      </c>
      <c r="C2105" s="4" t="str">
        <f t="shared" si="128"/>
        <v>Bad</v>
      </c>
      <c r="D2105" s="3" t="s">
        <v>4070</v>
      </c>
      <c r="E2105" s="3" t="s">
        <v>4071</v>
      </c>
      <c r="F2105" s="5" t="s">
        <v>4065</v>
      </c>
      <c r="G2105" s="4" t="str">
        <f t="shared" si="129"/>
        <v>29th</v>
      </c>
      <c r="H2105" s="4" t="str">
        <f t="shared" si="130"/>
        <v>November</v>
      </c>
      <c r="I2105" s="4" t="str">
        <f t="shared" si="131"/>
        <v>2020</v>
      </c>
      <c r="J2105" s="10" t="s">
        <v>12</v>
      </c>
    </row>
    <row r="2106" spans="1:10" x14ac:dyDescent="0.35">
      <c r="A2106" s="9" t="s">
        <v>3801</v>
      </c>
      <c r="B2106" s="3">
        <v>1</v>
      </c>
      <c r="C2106" s="4" t="str">
        <f t="shared" si="128"/>
        <v>Bad</v>
      </c>
      <c r="D2106" s="3" t="s">
        <v>4072</v>
      </c>
      <c r="E2106" s="3" t="s">
        <v>4073</v>
      </c>
      <c r="F2106" s="5" t="s">
        <v>4065</v>
      </c>
      <c r="G2106" s="4" t="str">
        <f t="shared" si="129"/>
        <v>29th</v>
      </c>
      <c r="H2106" s="4" t="str">
        <f t="shared" si="130"/>
        <v>November</v>
      </c>
      <c r="I2106" s="4" t="str">
        <f t="shared" si="131"/>
        <v>2020</v>
      </c>
      <c r="J2106" s="10" t="s">
        <v>12</v>
      </c>
    </row>
    <row r="2107" spans="1:10" x14ac:dyDescent="0.35">
      <c r="A2107" s="9" t="s">
        <v>3801</v>
      </c>
      <c r="B2107" s="3">
        <v>1</v>
      </c>
      <c r="C2107" s="4" t="str">
        <f t="shared" si="128"/>
        <v>Bad</v>
      </c>
      <c r="D2107" s="3" t="s">
        <v>4074</v>
      </c>
      <c r="E2107" s="3" t="s">
        <v>4075</v>
      </c>
      <c r="F2107" s="5" t="s">
        <v>4065</v>
      </c>
      <c r="G2107" s="4" t="str">
        <f t="shared" si="129"/>
        <v>29th</v>
      </c>
      <c r="H2107" s="4" t="str">
        <f t="shared" si="130"/>
        <v>November</v>
      </c>
      <c r="I2107" s="4" t="str">
        <f t="shared" si="131"/>
        <v>2020</v>
      </c>
      <c r="J2107" s="10" t="s">
        <v>12</v>
      </c>
    </row>
    <row r="2108" spans="1:10" x14ac:dyDescent="0.35">
      <c r="A2108" s="9" t="s">
        <v>3801</v>
      </c>
      <c r="B2108" s="3">
        <v>1</v>
      </c>
      <c r="C2108" s="4" t="str">
        <f t="shared" si="128"/>
        <v>Bad</v>
      </c>
      <c r="D2108" s="3" t="s">
        <v>4076</v>
      </c>
      <c r="E2108" s="3" t="s">
        <v>4077</v>
      </c>
      <c r="F2108" s="5" t="s">
        <v>4065</v>
      </c>
      <c r="G2108" s="4" t="str">
        <f t="shared" si="129"/>
        <v>29th</v>
      </c>
      <c r="H2108" s="4" t="str">
        <f t="shared" si="130"/>
        <v>November</v>
      </c>
      <c r="I2108" s="4" t="str">
        <f t="shared" si="131"/>
        <v>2020</v>
      </c>
      <c r="J2108" s="10" t="s">
        <v>12</v>
      </c>
    </row>
    <row r="2109" spans="1:10" x14ac:dyDescent="0.35">
      <c r="A2109" s="9" t="s">
        <v>3801</v>
      </c>
      <c r="B2109" s="3">
        <v>1</v>
      </c>
      <c r="C2109" s="4" t="str">
        <f t="shared" si="128"/>
        <v>Bad</v>
      </c>
      <c r="D2109" s="3" t="s">
        <v>4078</v>
      </c>
      <c r="E2109" s="3" t="s">
        <v>4079</v>
      </c>
      <c r="F2109" s="5" t="s">
        <v>4065</v>
      </c>
      <c r="G2109" s="4" t="str">
        <f t="shared" si="129"/>
        <v>29th</v>
      </c>
      <c r="H2109" s="4" t="str">
        <f t="shared" si="130"/>
        <v>November</v>
      </c>
      <c r="I2109" s="4" t="str">
        <f t="shared" si="131"/>
        <v>2020</v>
      </c>
      <c r="J2109" s="10" t="s">
        <v>12</v>
      </c>
    </row>
    <row r="2110" spans="1:10" x14ac:dyDescent="0.35">
      <c r="A2110" s="9" t="s">
        <v>3801</v>
      </c>
      <c r="B2110" s="3">
        <v>10</v>
      </c>
      <c r="C2110" s="4" t="str">
        <f t="shared" si="128"/>
        <v>Good</v>
      </c>
      <c r="D2110" s="3" t="s">
        <v>4080</v>
      </c>
      <c r="E2110" s="3" t="s">
        <v>4081</v>
      </c>
      <c r="F2110" s="5" t="s">
        <v>4065</v>
      </c>
      <c r="G2110" s="4" t="str">
        <f t="shared" si="129"/>
        <v>29th</v>
      </c>
      <c r="H2110" s="4" t="str">
        <f t="shared" si="130"/>
        <v>November</v>
      </c>
      <c r="I2110" s="4" t="str">
        <f t="shared" si="131"/>
        <v>2020</v>
      </c>
      <c r="J2110" s="10" t="s">
        <v>9</v>
      </c>
    </row>
    <row r="2111" spans="1:10" x14ac:dyDescent="0.35">
      <c r="A2111" s="9" t="s">
        <v>3801</v>
      </c>
      <c r="B2111" s="3">
        <v>5</v>
      </c>
      <c r="C2111" s="4" t="str">
        <f t="shared" si="128"/>
        <v>Neutral</v>
      </c>
      <c r="D2111" s="3" t="s">
        <v>4082</v>
      </c>
      <c r="E2111" s="3" t="s">
        <v>4083</v>
      </c>
      <c r="F2111" s="5" t="s">
        <v>4065</v>
      </c>
      <c r="G2111" s="4" t="str">
        <f t="shared" si="129"/>
        <v>29th</v>
      </c>
      <c r="H2111" s="4" t="str">
        <f t="shared" si="130"/>
        <v>November</v>
      </c>
      <c r="I2111" s="4" t="str">
        <f t="shared" si="131"/>
        <v>2020</v>
      </c>
      <c r="J2111" s="10" t="s">
        <v>12</v>
      </c>
    </row>
    <row r="2112" spans="1:10" x14ac:dyDescent="0.35">
      <c r="A2112" s="9" t="s">
        <v>3801</v>
      </c>
      <c r="B2112" s="3">
        <v>1</v>
      </c>
      <c r="C2112" s="4" t="str">
        <f t="shared" si="128"/>
        <v>Bad</v>
      </c>
      <c r="D2112" s="3" t="s">
        <v>4084</v>
      </c>
      <c r="E2112" s="3" t="s">
        <v>4085</v>
      </c>
      <c r="F2112" s="5" t="s">
        <v>4086</v>
      </c>
      <c r="G2112" s="4" t="str">
        <f t="shared" si="129"/>
        <v>27th</v>
      </c>
      <c r="H2112" s="4" t="str">
        <f t="shared" si="130"/>
        <v>February</v>
      </c>
      <c r="I2112" s="4" t="str">
        <f t="shared" si="131"/>
        <v>2020</v>
      </c>
      <c r="J2112" s="10" t="s">
        <v>12</v>
      </c>
    </row>
    <row r="2113" spans="1:10" x14ac:dyDescent="0.35">
      <c r="A2113" s="9" t="s">
        <v>3801</v>
      </c>
      <c r="B2113" s="3">
        <v>1</v>
      </c>
      <c r="C2113" s="4" t="str">
        <f t="shared" si="128"/>
        <v>Bad</v>
      </c>
      <c r="D2113" s="3" t="s">
        <v>4087</v>
      </c>
      <c r="E2113" s="3" t="s">
        <v>4088</v>
      </c>
      <c r="F2113" s="5" t="s">
        <v>4086</v>
      </c>
      <c r="G2113" s="4" t="str">
        <f t="shared" si="129"/>
        <v>27th</v>
      </c>
      <c r="H2113" s="4" t="str">
        <f t="shared" si="130"/>
        <v>February</v>
      </c>
      <c r="I2113" s="4" t="str">
        <f t="shared" si="131"/>
        <v>2020</v>
      </c>
      <c r="J2113" s="10" t="s">
        <v>12</v>
      </c>
    </row>
    <row r="2114" spans="1:10" x14ac:dyDescent="0.35">
      <c r="A2114" s="9" t="s">
        <v>3801</v>
      </c>
      <c r="B2114" s="3">
        <v>10</v>
      </c>
      <c r="C2114" s="4" t="str">
        <f t="shared" si="128"/>
        <v>Good</v>
      </c>
      <c r="D2114" s="3" t="s">
        <v>4089</v>
      </c>
      <c r="E2114" s="3" t="s">
        <v>4090</v>
      </c>
      <c r="F2114" s="5" t="s">
        <v>4086</v>
      </c>
      <c r="G2114" s="4" t="str">
        <f t="shared" si="129"/>
        <v>27th</v>
      </c>
      <c r="H2114" s="4" t="str">
        <f t="shared" si="130"/>
        <v>February</v>
      </c>
      <c r="I2114" s="4" t="str">
        <f t="shared" si="131"/>
        <v>2020</v>
      </c>
      <c r="J2114" s="10" t="s">
        <v>9</v>
      </c>
    </row>
    <row r="2115" spans="1:10" x14ac:dyDescent="0.35">
      <c r="A2115" s="9" t="s">
        <v>3801</v>
      </c>
      <c r="B2115" s="3">
        <v>10</v>
      </c>
      <c r="C2115" s="4" t="str">
        <f t="shared" ref="C2115:C2178" si="132">IF(B2115&gt;=8,"Good",IF(B2115&gt;=5,"Neutral","Bad"))</f>
        <v>Good</v>
      </c>
      <c r="D2115" s="3" t="s">
        <v>4091</v>
      </c>
      <c r="E2115" s="3" t="s">
        <v>4092</v>
      </c>
      <c r="F2115" s="5" t="s">
        <v>4086</v>
      </c>
      <c r="G2115" s="4" t="str">
        <f t="shared" ref="G2115:G2178" si="133">LEFT(F2115, FIND(" ", F2115)-1)</f>
        <v>27th</v>
      </c>
      <c r="H2115" s="4" t="str">
        <f t="shared" ref="H2115:H2178" si="134">TRIM(MID(F2115, FIND(" ", F2115)+1, FIND(" ", F2115, FIND(" ", F2115)+1) - FIND(" ", F2115)-1))</f>
        <v>February</v>
      </c>
      <c r="I2115" s="4" t="str">
        <f t="shared" ref="I2115:I2178" si="135">RIGHT(F2115, 4)</f>
        <v>2020</v>
      </c>
      <c r="J2115" s="10" t="s">
        <v>9</v>
      </c>
    </row>
    <row r="2116" spans="1:10" x14ac:dyDescent="0.35">
      <c r="A2116" s="9" t="s">
        <v>3801</v>
      </c>
      <c r="B2116" s="3">
        <v>2</v>
      </c>
      <c r="C2116" s="4" t="str">
        <f t="shared" si="132"/>
        <v>Bad</v>
      </c>
      <c r="D2116" s="3" t="s">
        <v>4093</v>
      </c>
      <c r="E2116" s="3" t="s">
        <v>4094</v>
      </c>
      <c r="F2116" s="5" t="s">
        <v>4086</v>
      </c>
      <c r="G2116" s="4" t="str">
        <f t="shared" si="133"/>
        <v>27th</v>
      </c>
      <c r="H2116" s="4" t="str">
        <f t="shared" si="134"/>
        <v>February</v>
      </c>
      <c r="I2116" s="4" t="str">
        <f t="shared" si="135"/>
        <v>2020</v>
      </c>
      <c r="J2116" s="10" t="s">
        <v>9</v>
      </c>
    </row>
    <row r="2117" spans="1:10" x14ac:dyDescent="0.35">
      <c r="A2117" s="9" t="s">
        <v>3801</v>
      </c>
      <c r="B2117" s="3">
        <v>1</v>
      </c>
      <c r="C2117" s="4" t="str">
        <f t="shared" si="132"/>
        <v>Bad</v>
      </c>
      <c r="D2117" s="3" t="s">
        <v>4095</v>
      </c>
      <c r="E2117" s="3" t="s">
        <v>4096</v>
      </c>
      <c r="F2117" s="5" t="s">
        <v>4086</v>
      </c>
      <c r="G2117" s="4" t="str">
        <f t="shared" si="133"/>
        <v>27th</v>
      </c>
      <c r="H2117" s="4" t="str">
        <f t="shared" si="134"/>
        <v>February</v>
      </c>
      <c r="I2117" s="4" t="str">
        <f t="shared" si="135"/>
        <v>2020</v>
      </c>
      <c r="J2117" s="10" t="s">
        <v>12</v>
      </c>
    </row>
    <row r="2118" spans="1:10" x14ac:dyDescent="0.35">
      <c r="A2118" s="9" t="s">
        <v>3801</v>
      </c>
      <c r="B2118" s="3">
        <v>10</v>
      </c>
      <c r="C2118" s="4" t="str">
        <f t="shared" si="132"/>
        <v>Good</v>
      </c>
      <c r="D2118" s="3" t="s">
        <v>4097</v>
      </c>
      <c r="E2118" s="3" t="s">
        <v>4098</v>
      </c>
      <c r="F2118" s="5" t="s">
        <v>4086</v>
      </c>
      <c r="G2118" s="4" t="str">
        <f t="shared" si="133"/>
        <v>27th</v>
      </c>
      <c r="H2118" s="4" t="str">
        <f t="shared" si="134"/>
        <v>February</v>
      </c>
      <c r="I2118" s="4" t="str">
        <f t="shared" si="135"/>
        <v>2020</v>
      </c>
      <c r="J2118" s="10" t="s">
        <v>9</v>
      </c>
    </row>
    <row r="2119" spans="1:10" x14ac:dyDescent="0.35">
      <c r="A2119" s="9" t="s">
        <v>3801</v>
      </c>
      <c r="B2119" s="3">
        <v>10</v>
      </c>
      <c r="C2119" s="4" t="str">
        <f t="shared" si="132"/>
        <v>Good</v>
      </c>
      <c r="D2119" s="3" t="s">
        <v>4099</v>
      </c>
      <c r="E2119" s="3" t="s">
        <v>4100</v>
      </c>
      <c r="F2119" s="5" t="s">
        <v>4086</v>
      </c>
      <c r="G2119" s="4" t="str">
        <f t="shared" si="133"/>
        <v>27th</v>
      </c>
      <c r="H2119" s="4" t="str">
        <f t="shared" si="134"/>
        <v>February</v>
      </c>
      <c r="I2119" s="4" t="str">
        <f t="shared" si="135"/>
        <v>2020</v>
      </c>
      <c r="J2119" s="10" t="s">
        <v>9</v>
      </c>
    </row>
    <row r="2120" spans="1:10" x14ac:dyDescent="0.35">
      <c r="A2120" s="9" t="s">
        <v>3801</v>
      </c>
      <c r="B2120" s="3">
        <v>9</v>
      </c>
      <c r="C2120" s="4" t="str">
        <f t="shared" si="132"/>
        <v>Good</v>
      </c>
      <c r="D2120" s="3" t="s">
        <v>4101</v>
      </c>
      <c r="E2120" s="3" t="s">
        <v>4102</v>
      </c>
      <c r="F2120" s="5" t="s">
        <v>4086</v>
      </c>
      <c r="G2120" s="4" t="str">
        <f t="shared" si="133"/>
        <v>27th</v>
      </c>
      <c r="H2120" s="4" t="str">
        <f t="shared" si="134"/>
        <v>February</v>
      </c>
      <c r="I2120" s="4" t="str">
        <f t="shared" si="135"/>
        <v>2020</v>
      </c>
      <c r="J2120" s="10" t="s">
        <v>9</v>
      </c>
    </row>
    <row r="2121" spans="1:10" x14ac:dyDescent="0.35">
      <c r="A2121" s="9" t="s">
        <v>3801</v>
      </c>
      <c r="B2121" s="3">
        <v>1</v>
      </c>
      <c r="C2121" s="4" t="str">
        <f t="shared" si="132"/>
        <v>Bad</v>
      </c>
      <c r="D2121" s="3" t="s">
        <v>4103</v>
      </c>
      <c r="E2121" s="3" t="s">
        <v>4104</v>
      </c>
      <c r="F2121" s="5" t="s">
        <v>4086</v>
      </c>
      <c r="G2121" s="4" t="str">
        <f t="shared" si="133"/>
        <v>27th</v>
      </c>
      <c r="H2121" s="4" t="str">
        <f t="shared" si="134"/>
        <v>February</v>
      </c>
      <c r="I2121" s="4" t="str">
        <f t="shared" si="135"/>
        <v>2020</v>
      </c>
      <c r="J2121" s="10" t="s">
        <v>12</v>
      </c>
    </row>
    <row r="2122" spans="1:10" x14ac:dyDescent="0.35">
      <c r="A2122" s="9" t="s">
        <v>3801</v>
      </c>
      <c r="B2122" s="3">
        <v>1</v>
      </c>
      <c r="C2122" s="4" t="str">
        <f t="shared" si="132"/>
        <v>Bad</v>
      </c>
      <c r="D2122" s="3" t="s">
        <v>4105</v>
      </c>
      <c r="E2122" s="3" t="s">
        <v>4106</v>
      </c>
      <c r="F2122" s="5" t="s">
        <v>4107</v>
      </c>
      <c r="G2122" s="4" t="str">
        <f t="shared" si="133"/>
        <v>10th</v>
      </c>
      <c r="H2122" s="4" t="str">
        <f t="shared" si="134"/>
        <v>November</v>
      </c>
      <c r="I2122" s="4" t="str">
        <f t="shared" si="135"/>
        <v>2019</v>
      </c>
      <c r="J2122" s="10" t="s">
        <v>12</v>
      </c>
    </row>
    <row r="2123" spans="1:10" x14ac:dyDescent="0.35">
      <c r="A2123" s="9" t="s">
        <v>3801</v>
      </c>
      <c r="B2123" s="3">
        <v>10</v>
      </c>
      <c r="C2123" s="4" t="str">
        <f t="shared" si="132"/>
        <v>Good</v>
      </c>
      <c r="D2123" s="3" t="s">
        <v>4108</v>
      </c>
      <c r="E2123" s="3" t="s">
        <v>4109</v>
      </c>
      <c r="F2123" s="5" t="s">
        <v>4107</v>
      </c>
      <c r="G2123" s="4" t="str">
        <f t="shared" si="133"/>
        <v>10th</v>
      </c>
      <c r="H2123" s="4" t="str">
        <f t="shared" si="134"/>
        <v>November</v>
      </c>
      <c r="I2123" s="4" t="str">
        <f t="shared" si="135"/>
        <v>2019</v>
      </c>
      <c r="J2123" s="10" t="s">
        <v>9</v>
      </c>
    </row>
    <row r="2124" spans="1:10" x14ac:dyDescent="0.35">
      <c r="A2124" s="9" t="s">
        <v>3801</v>
      </c>
      <c r="B2124" s="3">
        <v>1</v>
      </c>
      <c r="C2124" s="4" t="str">
        <f t="shared" si="132"/>
        <v>Bad</v>
      </c>
      <c r="D2124" s="3" t="s">
        <v>4110</v>
      </c>
      <c r="E2124" s="3" t="s">
        <v>4111</v>
      </c>
      <c r="F2124" s="5" t="s">
        <v>4107</v>
      </c>
      <c r="G2124" s="4" t="str">
        <f t="shared" si="133"/>
        <v>10th</v>
      </c>
      <c r="H2124" s="4" t="str">
        <f t="shared" si="134"/>
        <v>November</v>
      </c>
      <c r="I2124" s="4" t="str">
        <f t="shared" si="135"/>
        <v>2019</v>
      </c>
      <c r="J2124" s="10" t="s">
        <v>12</v>
      </c>
    </row>
    <row r="2125" spans="1:10" x14ac:dyDescent="0.35">
      <c r="A2125" s="9" t="s">
        <v>3801</v>
      </c>
      <c r="B2125" s="3">
        <v>10</v>
      </c>
      <c r="C2125" s="4" t="str">
        <f t="shared" si="132"/>
        <v>Good</v>
      </c>
      <c r="D2125" s="3" t="s">
        <v>4112</v>
      </c>
      <c r="E2125" s="3" t="s">
        <v>4113</v>
      </c>
      <c r="F2125" s="5" t="s">
        <v>4107</v>
      </c>
      <c r="G2125" s="4" t="str">
        <f t="shared" si="133"/>
        <v>10th</v>
      </c>
      <c r="H2125" s="4" t="str">
        <f t="shared" si="134"/>
        <v>November</v>
      </c>
      <c r="I2125" s="4" t="str">
        <f t="shared" si="135"/>
        <v>2019</v>
      </c>
      <c r="J2125" s="10" t="s">
        <v>9</v>
      </c>
    </row>
    <row r="2126" spans="1:10" x14ac:dyDescent="0.35">
      <c r="A2126" s="9" t="s">
        <v>3801</v>
      </c>
      <c r="B2126" s="3">
        <v>10</v>
      </c>
      <c r="C2126" s="4" t="str">
        <f t="shared" si="132"/>
        <v>Good</v>
      </c>
      <c r="D2126" s="3" t="s">
        <v>3859</v>
      </c>
      <c r="E2126" s="3" t="s">
        <v>4114</v>
      </c>
      <c r="F2126" s="5" t="s">
        <v>4107</v>
      </c>
      <c r="G2126" s="4" t="str">
        <f t="shared" si="133"/>
        <v>10th</v>
      </c>
      <c r="H2126" s="4" t="str">
        <f t="shared" si="134"/>
        <v>November</v>
      </c>
      <c r="I2126" s="4" t="str">
        <f t="shared" si="135"/>
        <v>2019</v>
      </c>
      <c r="J2126" s="10" t="s">
        <v>9</v>
      </c>
    </row>
    <row r="2127" spans="1:10" x14ac:dyDescent="0.35">
      <c r="A2127" s="9" t="s">
        <v>3801</v>
      </c>
      <c r="B2127" s="3">
        <v>9</v>
      </c>
      <c r="C2127" s="4" t="str">
        <f t="shared" si="132"/>
        <v>Good</v>
      </c>
      <c r="D2127" s="3" t="s">
        <v>4115</v>
      </c>
      <c r="E2127" s="3" t="s">
        <v>4116</v>
      </c>
      <c r="F2127" s="5" t="s">
        <v>4107</v>
      </c>
      <c r="G2127" s="4" t="str">
        <f t="shared" si="133"/>
        <v>10th</v>
      </c>
      <c r="H2127" s="4" t="str">
        <f t="shared" si="134"/>
        <v>November</v>
      </c>
      <c r="I2127" s="4" t="str">
        <f t="shared" si="135"/>
        <v>2019</v>
      </c>
      <c r="J2127" s="10" t="s">
        <v>9</v>
      </c>
    </row>
    <row r="2128" spans="1:10" x14ac:dyDescent="0.35">
      <c r="A2128" s="9" t="s">
        <v>3801</v>
      </c>
      <c r="B2128" s="3">
        <v>10</v>
      </c>
      <c r="C2128" s="4" t="str">
        <f t="shared" si="132"/>
        <v>Good</v>
      </c>
      <c r="D2128" s="3" t="s">
        <v>4117</v>
      </c>
      <c r="E2128" s="3" t="s">
        <v>4118</v>
      </c>
      <c r="F2128" s="5" t="s">
        <v>4107</v>
      </c>
      <c r="G2128" s="4" t="str">
        <f t="shared" si="133"/>
        <v>10th</v>
      </c>
      <c r="H2128" s="4" t="str">
        <f t="shared" si="134"/>
        <v>November</v>
      </c>
      <c r="I2128" s="4" t="str">
        <f t="shared" si="135"/>
        <v>2019</v>
      </c>
      <c r="J2128" s="10" t="s">
        <v>9</v>
      </c>
    </row>
    <row r="2129" spans="1:10" x14ac:dyDescent="0.35">
      <c r="A2129" s="9" t="s">
        <v>3801</v>
      </c>
      <c r="B2129" s="3">
        <v>10</v>
      </c>
      <c r="C2129" s="4" t="str">
        <f t="shared" si="132"/>
        <v>Good</v>
      </c>
      <c r="D2129" s="3" t="s">
        <v>2643</v>
      </c>
      <c r="E2129" s="3" t="s">
        <v>4119</v>
      </c>
      <c r="F2129" s="5" t="s">
        <v>4107</v>
      </c>
      <c r="G2129" s="4" t="str">
        <f t="shared" si="133"/>
        <v>10th</v>
      </c>
      <c r="H2129" s="4" t="str">
        <f t="shared" si="134"/>
        <v>November</v>
      </c>
      <c r="I2129" s="4" t="str">
        <f t="shared" si="135"/>
        <v>2019</v>
      </c>
      <c r="J2129" s="10" t="s">
        <v>9</v>
      </c>
    </row>
    <row r="2130" spans="1:10" x14ac:dyDescent="0.35">
      <c r="A2130" s="9" t="s">
        <v>3801</v>
      </c>
      <c r="B2130" s="3">
        <v>1</v>
      </c>
      <c r="C2130" s="4" t="str">
        <f t="shared" si="132"/>
        <v>Bad</v>
      </c>
      <c r="D2130" s="3" t="s">
        <v>4120</v>
      </c>
      <c r="E2130" s="3" t="s">
        <v>4121</v>
      </c>
      <c r="F2130" s="5" t="s">
        <v>4107</v>
      </c>
      <c r="G2130" s="4" t="str">
        <f t="shared" si="133"/>
        <v>10th</v>
      </c>
      <c r="H2130" s="4" t="str">
        <f t="shared" si="134"/>
        <v>November</v>
      </c>
      <c r="I2130" s="4" t="str">
        <f t="shared" si="135"/>
        <v>2019</v>
      </c>
      <c r="J2130" s="10" t="s">
        <v>12</v>
      </c>
    </row>
    <row r="2131" spans="1:10" x14ac:dyDescent="0.35">
      <c r="A2131" s="9" t="s">
        <v>3801</v>
      </c>
      <c r="B2131" s="3">
        <v>10</v>
      </c>
      <c r="C2131" s="4" t="str">
        <f t="shared" si="132"/>
        <v>Good</v>
      </c>
      <c r="D2131" s="3" t="s">
        <v>4122</v>
      </c>
      <c r="E2131" s="3" t="s">
        <v>2420</v>
      </c>
      <c r="F2131" s="5" t="s">
        <v>4107</v>
      </c>
      <c r="G2131" s="4" t="str">
        <f t="shared" si="133"/>
        <v>10th</v>
      </c>
      <c r="H2131" s="4" t="str">
        <f t="shared" si="134"/>
        <v>November</v>
      </c>
      <c r="I2131" s="4" t="str">
        <f t="shared" si="135"/>
        <v>2019</v>
      </c>
      <c r="J2131" s="10" t="s">
        <v>9</v>
      </c>
    </row>
    <row r="2132" spans="1:10" x14ac:dyDescent="0.35">
      <c r="A2132" s="9" t="s">
        <v>3801</v>
      </c>
      <c r="B2132" s="3">
        <v>10</v>
      </c>
      <c r="C2132" s="4" t="str">
        <f t="shared" si="132"/>
        <v>Good</v>
      </c>
      <c r="D2132" s="3" t="s">
        <v>4123</v>
      </c>
      <c r="E2132" s="3" t="s">
        <v>4124</v>
      </c>
      <c r="F2132" s="5" t="s">
        <v>4125</v>
      </c>
      <c r="G2132" s="4" t="str">
        <f t="shared" si="133"/>
        <v>5th</v>
      </c>
      <c r="H2132" s="4" t="str">
        <f t="shared" si="134"/>
        <v>August</v>
      </c>
      <c r="I2132" s="4" t="str">
        <f t="shared" si="135"/>
        <v>2019</v>
      </c>
      <c r="J2132" s="10" t="s">
        <v>9</v>
      </c>
    </row>
    <row r="2133" spans="1:10" x14ac:dyDescent="0.35">
      <c r="A2133" s="9" t="s">
        <v>3801</v>
      </c>
      <c r="B2133" s="3">
        <v>10</v>
      </c>
      <c r="C2133" s="4" t="str">
        <f t="shared" si="132"/>
        <v>Good</v>
      </c>
      <c r="D2133" s="3" t="s">
        <v>4126</v>
      </c>
      <c r="E2133" s="3" t="s">
        <v>4127</v>
      </c>
      <c r="F2133" s="5" t="s">
        <v>4125</v>
      </c>
      <c r="G2133" s="4" t="str">
        <f t="shared" si="133"/>
        <v>5th</v>
      </c>
      <c r="H2133" s="4" t="str">
        <f t="shared" si="134"/>
        <v>August</v>
      </c>
      <c r="I2133" s="4" t="str">
        <f t="shared" si="135"/>
        <v>2019</v>
      </c>
      <c r="J2133" s="10" t="s">
        <v>9</v>
      </c>
    </row>
    <row r="2134" spans="1:10" x14ac:dyDescent="0.35">
      <c r="A2134" s="9" t="s">
        <v>3801</v>
      </c>
      <c r="B2134" s="3">
        <v>9</v>
      </c>
      <c r="C2134" s="4" t="str">
        <f t="shared" si="132"/>
        <v>Good</v>
      </c>
      <c r="D2134" s="3" t="s">
        <v>4128</v>
      </c>
      <c r="E2134" s="3" t="s">
        <v>4129</v>
      </c>
      <c r="F2134" s="5" t="s">
        <v>4125</v>
      </c>
      <c r="G2134" s="4" t="str">
        <f t="shared" si="133"/>
        <v>5th</v>
      </c>
      <c r="H2134" s="4" t="str">
        <f t="shared" si="134"/>
        <v>August</v>
      </c>
      <c r="I2134" s="4" t="str">
        <f t="shared" si="135"/>
        <v>2019</v>
      </c>
      <c r="J2134" s="10" t="s">
        <v>9</v>
      </c>
    </row>
    <row r="2135" spans="1:10" x14ac:dyDescent="0.35">
      <c r="A2135" s="9" t="s">
        <v>3801</v>
      </c>
      <c r="B2135" s="3">
        <v>9</v>
      </c>
      <c r="C2135" s="4" t="str">
        <f t="shared" si="132"/>
        <v>Good</v>
      </c>
      <c r="D2135" s="3" t="s">
        <v>4130</v>
      </c>
      <c r="E2135" s="3" t="s">
        <v>4131</v>
      </c>
      <c r="F2135" s="5" t="s">
        <v>4125</v>
      </c>
      <c r="G2135" s="4" t="str">
        <f t="shared" si="133"/>
        <v>5th</v>
      </c>
      <c r="H2135" s="4" t="str">
        <f t="shared" si="134"/>
        <v>August</v>
      </c>
      <c r="I2135" s="4" t="str">
        <f t="shared" si="135"/>
        <v>2019</v>
      </c>
      <c r="J2135" s="10" t="s">
        <v>9</v>
      </c>
    </row>
    <row r="2136" spans="1:10" x14ac:dyDescent="0.35">
      <c r="A2136" s="9" t="s">
        <v>3801</v>
      </c>
      <c r="B2136" s="3">
        <v>10</v>
      </c>
      <c r="C2136" s="4" t="str">
        <f t="shared" si="132"/>
        <v>Good</v>
      </c>
      <c r="D2136" s="3" t="s">
        <v>4132</v>
      </c>
      <c r="E2136" s="3" t="s">
        <v>4133</v>
      </c>
      <c r="F2136" s="5" t="s">
        <v>4125</v>
      </c>
      <c r="G2136" s="4" t="str">
        <f t="shared" si="133"/>
        <v>5th</v>
      </c>
      <c r="H2136" s="4" t="str">
        <f t="shared" si="134"/>
        <v>August</v>
      </c>
      <c r="I2136" s="4" t="str">
        <f t="shared" si="135"/>
        <v>2019</v>
      </c>
      <c r="J2136" s="10" t="s">
        <v>9</v>
      </c>
    </row>
    <row r="2137" spans="1:10" x14ac:dyDescent="0.35">
      <c r="A2137" s="9" t="s">
        <v>3801</v>
      </c>
      <c r="B2137" s="3">
        <v>2</v>
      </c>
      <c r="C2137" s="4" t="str">
        <f t="shared" si="132"/>
        <v>Bad</v>
      </c>
      <c r="D2137" s="3" t="s">
        <v>4134</v>
      </c>
      <c r="E2137" s="3" t="s">
        <v>4135</v>
      </c>
      <c r="F2137" s="5" t="s">
        <v>4125</v>
      </c>
      <c r="G2137" s="4" t="str">
        <f t="shared" si="133"/>
        <v>5th</v>
      </c>
      <c r="H2137" s="4" t="str">
        <f t="shared" si="134"/>
        <v>August</v>
      </c>
      <c r="I2137" s="4" t="str">
        <f t="shared" si="135"/>
        <v>2019</v>
      </c>
      <c r="J2137" s="10" t="s">
        <v>12</v>
      </c>
    </row>
    <row r="2138" spans="1:10" x14ac:dyDescent="0.35">
      <c r="A2138" s="9" t="s">
        <v>3801</v>
      </c>
      <c r="B2138" s="3">
        <v>10</v>
      </c>
      <c r="C2138" s="4" t="str">
        <f t="shared" si="132"/>
        <v>Good</v>
      </c>
      <c r="D2138" s="3" t="s">
        <v>4136</v>
      </c>
      <c r="E2138" s="3" t="s">
        <v>4137</v>
      </c>
      <c r="F2138" s="5" t="s">
        <v>4125</v>
      </c>
      <c r="G2138" s="4" t="str">
        <f t="shared" si="133"/>
        <v>5th</v>
      </c>
      <c r="H2138" s="4" t="str">
        <f t="shared" si="134"/>
        <v>August</v>
      </c>
      <c r="I2138" s="4" t="str">
        <f t="shared" si="135"/>
        <v>2019</v>
      </c>
      <c r="J2138" s="10" t="s">
        <v>9</v>
      </c>
    </row>
    <row r="2139" spans="1:10" x14ac:dyDescent="0.35">
      <c r="A2139" s="9" t="s">
        <v>3801</v>
      </c>
      <c r="B2139" s="3">
        <v>9</v>
      </c>
      <c r="C2139" s="4" t="str">
        <f t="shared" si="132"/>
        <v>Good</v>
      </c>
      <c r="D2139" s="3" t="s">
        <v>4138</v>
      </c>
      <c r="E2139" s="3" t="s">
        <v>3218</v>
      </c>
      <c r="F2139" s="5" t="s">
        <v>4125</v>
      </c>
      <c r="G2139" s="4" t="str">
        <f t="shared" si="133"/>
        <v>5th</v>
      </c>
      <c r="H2139" s="4" t="str">
        <f t="shared" si="134"/>
        <v>August</v>
      </c>
      <c r="I2139" s="4" t="str">
        <f t="shared" si="135"/>
        <v>2019</v>
      </c>
      <c r="J2139" s="10" t="s">
        <v>9</v>
      </c>
    </row>
    <row r="2140" spans="1:10" x14ac:dyDescent="0.35">
      <c r="A2140" s="9" t="s">
        <v>3801</v>
      </c>
      <c r="B2140" s="3">
        <v>10</v>
      </c>
      <c r="C2140" s="4" t="str">
        <f t="shared" si="132"/>
        <v>Good</v>
      </c>
      <c r="D2140" s="3" t="s">
        <v>4139</v>
      </c>
      <c r="E2140" s="3" t="s">
        <v>4140</v>
      </c>
      <c r="F2140" s="5" t="s">
        <v>4125</v>
      </c>
      <c r="G2140" s="4" t="str">
        <f t="shared" si="133"/>
        <v>5th</v>
      </c>
      <c r="H2140" s="4" t="str">
        <f t="shared" si="134"/>
        <v>August</v>
      </c>
      <c r="I2140" s="4" t="str">
        <f t="shared" si="135"/>
        <v>2019</v>
      </c>
      <c r="J2140" s="10" t="s">
        <v>9</v>
      </c>
    </row>
    <row r="2141" spans="1:10" x14ac:dyDescent="0.35">
      <c r="A2141" s="9" t="s">
        <v>3801</v>
      </c>
      <c r="B2141" s="3">
        <v>10</v>
      </c>
      <c r="C2141" s="4" t="str">
        <f t="shared" si="132"/>
        <v>Good</v>
      </c>
      <c r="D2141" s="3" t="s">
        <v>4141</v>
      </c>
      <c r="E2141" s="3" t="s">
        <v>4142</v>
      </c>
      <c r="F2141" s="5" t="s">
        <v>4125</v>
      </c>
      <c r="G2141" s="4" t="str">
        <f t="shared" si="133"/>
        <v>5th</v>
      </c>
      <c r="H2141" s="4" t="str">
        <f t="shared" si="134"/>
        <v>August</v>
      </c>
      <c r="I2141" s="4" t="str">
        <f t="shared" si="135"/>
        <v>2019</v>
      </c>
      <c r="J2141" s="10" t="s">
        <v>9</v>
      </c>
    </row>
    <row r="2142" spans="1:10" x14ac:dyDescent="0.35">
      <c r="A2142" s="9" t="s">
        <v>3801</v>
      </c>
      <c r="B2142" s="3">
        <v>10</v>
      </c>
      <c r="C2142" s="4" t="str">
        <f t="shared" si="132"/>
        <v>Good</v>
      </c>
      <c r="D2142" s="3" t="s">
        <v>4143</v>
      </c>
      <c r="E2142" s="3" t="s">
        <v>4144</v>
      </c>
      <c r="F2142" s="5" t="s">
        <v>4145</v>
      </c>
      <c r="G2142" s="4" t="str">
        <f t="shared" si="133"/>
        <v>22nd</v>
      </c>
      <c r="H2142" s="4" t="str">
        <f t="shared" si="134"/>
        <v>March</v>
      </c>
      <c r="I2142" s="4" t="str">
        <f t="shared" si="135"/>
        <v>2019</v>
      </c>
      <c r="J2142" s="10" t="s">
        <v>9</v>
      </c>
    </row>
    <row r="2143" spans="1:10" x14ac:dyDescent="0.35">
      <c r="A2143" s="9" t="s">
        <v>3801</v>
      </c>
      <c r="B2143" s="3">
        <v>9</v>
      </c>
      <c r="C2143" s="4" t="str">
        <f t="shared" si="132"/>
        <v>Good</v>
      </c>
      <c r="D2143" s="3" t="s">
        <v>4146</v>
      </c>
      <c r="E2143" s="3" t="s">
        <v>4147</v>
      </c>
      <c r="F2143" s="5" t="s">
        <v>4145</v>
      </c>
      <c r="G2143" s="4" t="str">
        <f t="shared" si="133"/>
        <v>22nd</v>
      </c>
      <c r="H2143" s="4" t="str">
        <f t="shared" si="134"/>
        <v>March</v>
      </c>
      <c r="I2143" s="4" t="str">
        <f t="shared" si="135"/>
        <v>2019</v>
      </c>
      <c r="J2143" s="10" t="s">
        <v>9</v>
      </c>
    </row>
    <row r="2144" spans="1:10" x14ac:dyDescent="0.35">
      <c r="A2144" s="9" t="s">
        <v>3801</v>
      </c>
      <c r="B2144" s="3">
        <v>3</v>
      </c>
      <c r="C2144" s="4" t="str">
        <f t="shared" si="132"/>
        <v>Bad</v>
      </c>
      <c r="D2144" s="3" t="s">
        <v>4148</v>
      </c>
      <c r="E2144" s="3" t="s">
        <v>4149</v>
      </c>
      <c r="F2144" s="5" t="s">
        <v>4145</v>
      </c>
      <c r="G2144" s="4" t="str">
        <f t="shared" si="133"/>
        <v>22nd</v>
      </c>
      <c r="H2144" s="4" t="str">
        <f t="shared" si="134"/>
        <v>March</v>
      </c>
      <c r="I2144" s="4" t="str">
        <f t="shared" si="135"/>
        <v>2019</v>
      </c>
      <c r="J2144" s="10" t="s">
        <v>12</v>
      </c>
    </row>
    <row r="2145" spans="1:10" x14ac:dyDescent="0.35">
      <c r="A2145" s="9" t="s">
        <v>3801</v>
      </c>
      <c r="B2145" s="3">
        <v>1</v>
      </c>
      <c r="C2145" s="4" t="str">
        <f t="shared" si="132"/>
        <v>Bad</v>
      </c>
      <c r="D2145" s="3" t="s">
        <v>4150</v>
      </c>
      <c r="E2145" s="3" t="s">
        <v>4151</v>
      </c>
      <c r="F2145" s="5" t="s">
        <v>4145</v>
      </c>
      <c r="G2145" s="4" t="str">
        <f t="shared" si="133"/>
        <v>22nd</v>
      </c>
      <c r="H2145" s="4" t="str">
        <f t="shared" si="134"/>
        <v>March</v>
      </c>
      <c r="I2145" s="4" t="str">
        <f t="shared" si="135"/>
        <v>2019</v>
      </c>
      <c r="J2145" s="10" t="s">
        <v>12</v>
      </c>
    </row>
    <row r="2146" spans="1:10" x14ac:dyDescent="0.35">
      <c r="A2146" s="9" t="s">
        <v>3801</v>
      </c>
      <c r="B2146" s="3">
        <v>2</v>
      </c>
      <c r="C2146" s="4" t="str">
        <f t="shared" si="132"/>
        <v>Bad</v>
      </c>
      <c r="D2146" s="3" t="s">
        <v>4152</v>
      </c>
      <c r="E2146" s="3" t="s">
        <v>4153</v>
      </c>
      <c r="F2146" s="5" t="s">
        <v>4145</v>
      </c>
      <c r="G2146" s="4" t="str">
        <f t="shared" si="133"/>
        <v>22nd</v>
      </c>
      <c r="H2146" s="4" t="str">
        <f t="shared" si="134"/>
        <v>March</v>
      </c>
      <c r="I2146" s="4" t="str">
        <f t="shared" si="135"/>
        <v>2019</v>
      </c>
      <c r="J2146" s="10" t="s">
        <v>12</v>
      </c>
    </row>
    <row r="2147" spans="1:10" x14ac:dyDescent="0.35">
      <c r="A2147" s="9" t="s">
        <v>3801</v>
      </c>
      <c r="B2147" s="3">
        <v>10</v>
      </c>
      <c r="C2147" s="4" t="str">
        <f t="shared" si="132"/>
        <v>Good</v>
      </c>
      <c r="D2147" s="3" t="s">
        <v>4154</v>
      </c>
      <c r="E2147" s="3" t="s">
        <v>4155</v>
      </c>
      <c r="F2147" s="5" t="s">
        <v>4145</v>
      </c>
      <c r="G2147" s="4" t="str">
        <f t="shared" si="133"/>
        <v>22nd</v>
      </c>
      <c r="H2147" s="4" t="str">
        <f t="shared" si="134"/>
        <v>March</v>
      </c>
      <c r="I2147" s="4" t="str">
        <f t="shared" si="135"/>
        <v>2019</v>
      </c>
      <c r="J2147" s="10" t="s">
        <v>9</v>
      </c>
    </row>
    <row r="2148" spans="1:10" x14ac:dyDescent="0.35">
      <c r="A2148" s="9" t="s">
        <v>3801</v>
      </c>
      <c r="B2148" s="3">
        <v>3</v>
      </c>
      <c r="C2148" s="4" t="str">
        <f t="shared" si="132"/>
        <v>Bad</v>
      </c>
      <c r="D2148" s="3" t="s">
        <v>4156</v>
      </c>
      <c r="E2148" s="3" t="s">
        <v>4157</v>
      </c>
      <c r="F2148" s="5" t="s">
        <v>4145</v>
      </c>
      <c r="G2148" s="4" t="str">
        <f t="shared" si="133"/>
        <v>22nd</v>
      </c>
      <c r="H2148" s="4" t="str">
        <f t="shared" si="134"/>
        <v>March</v>
      </c>
      <c r="I2148" s="4" t="str">
        <f t="shared" si="135"/>
        <v>2019</v>
      </c>
      <c r="J2148" s="10" t="s">
        <v>12</v>
      </c>
    </row>
    <row r="2149" spans="1:10" x14ac:dyDescent="0.35">
      <c r="A2149" s="9" t="s">
        <v>3801</v>
      </c>
      <c r="B2149" s="3">
        <v>10</v>
      </c>
      <c r="C2149" s="4" t="str">
        <f t="shared" si="132"/>
        <v>Good</v>
      </c>
      <c r="D2149" s="3" t="s">
        <v>4158</v>
      </c>
      <c r="E2149" s="3" t="s">
        <v>4159</v>
      </c>
      <c r="F2149" s="5" t="s">
        <v>4145</v>
      </c>
      <c r="G2149" s="4" t="str">
        <f t="shared" si="133"/>
        <v>22nd</v>
      </c>
      <c r="H2149" s="4" t="str">
        <f t="shared" si="134"/>
        <v>March</v>
      </c>
      <c r="I2149" s="4" t="str">
        <f t="shared" si="135"/>
        <v>2019</v>
      </c>
      <c r="J2149" s="10" t="s">
        <v>9</v>
      </c>
    </row>
    <row r="2150" spans="1:10" x14ac:dyDescent="0.35">
      <c r="A2150" s="9" t="s">
        <v>3801</v>
      </c>
      <c r="B2150" s="3">
        <v>10</v>
      </c>
      <c r="C2150" s="4" t="str">
        <f t="shared" si="132"/>
        <v>Good</v>
      </c>
      <c r="D2150" s="3" t="s">
        <v>4160</v>
      </c>
      <c r="E2150" s="3" t="s">
        <v>4161</v>
      </c>
      <c r="F2150" s="5" t="s">
        <v>4145</v>
      </c>
      <c r="G2150" s="4" t="str">
        <f t="shared" si="133"/>
        <v>22nd</v>
      </c>
      <c r="H2150" s="4" t="str">
        <f t="shared" si="134"/>
        <v>March</v>
      </c>
      <c r="I2150" s="4" t="str">
        <f t="shared" si="135"/>
        <v>2019</v>
      </c>
      <c r="J2150" s="10" t="s">
        <v>9</v>
      </c>
    </row>
    <row r="2151" spans="1:10" x14ac:dyDescent="0.35">
      <c r="A2151" s="9" t="s">
        <v>3801</v>
      </c>
      <c r="B2151" s="3">
        <v>10</v>
      </c>
      <c r="C2151" s="4" t="str">
        <f t="shared" si="132"/>
        <v>Good</v>
      </c>
      <c r="D2151" s="3" t="s">
        <v>4162</v>
      </c>
      <c r="E2151" s="3" t="s">
        <v>2740</v>
      </c>
      <c r="F2151" s="5" t="s">
        <v>4145</v>
      </c>
      <c r="G2151" s="4" t="str">
        <f t="shared" si="133"/>
        <v>22nd</v>
      </c>
      <c r="H2151" s="4" t="str">
        <f t="shared" si="134"/>
        <v>March</v>
      </c>
      <c r="I2151" s="4" t="str">
        <f t="shared" si="135"/>
        <v>2019</v>
      </c>
      <c r="J2151" s="10" t="s">
        <v>9</v>
      </c>
    </row>
    <row r="2152" spans="1:10" x14ac:dyDescent="0.35">
      <c r="A2152" s="9" t="s">
        <v>3801</v>
      </c>
      <c r="B2152" s="3">
        <v>9</v>
      </c>
      <c r="C2152" s="4" t="str">
        <f t="shared" si="132"/>
        <v>Good</v>
      </c>
      <c r="D2152" s="3" t="s">
        <v>4163</v>
      </c>
      <c r="E2152" s="3" t="s">
        <v>4164</v>
      </c>
      <c r="F2152" s="5" t="s">
        <v>4165</v>
      </c>
      <c r="G2152" s="4" t="str">
        <f t="shared" si="133"/>
        <v>13th</v>
      </c>
      <c r="H2152" s="4" t="str">
        <f t="shared" si="134"/>
        <v>September</v>
      </c>
      <c r="I2152" s="4" t="str">
        <f t="shared" si="135"/>
        <v>2018</v>
      </c>
      <c r="J2152" s="10" t="s">
        <v>9</v>
      </c>
    </row>
    <row r="2153" spans="1:10" x14ac:dyDescent="0.35">
      <c r="A2153" s="9" t="s">
        <v>3801</v>
      </c>
      <c r="B2153" s="3">
        <v>7</v>
      </c>
      <c r="C2153" s="4" t="str">
        <f t="shared" si="132"/>
        <v>Neutral</v>
      </c>
      <c r="D2153" s="3" t="s">
        <v>2015</v>
      </c>
      <c r="E2153" s="3" t="s">
        <v>4166</v>
      </c>
      <c r="F2153" s="5" t="s">
        <v>4165</v>
      </c>
      <c r="G2153" s="4" t="str">
        <f t="shared" si="133"/>
        <v>13th</v>
      </c>
      <c r="H2153" s="4" t="str">
        <f t="shared" si="134"/>
        <v>September</v>
      </c>
      <c r="I2153" s="4" t="str">
        <f t="shared" si="135"/>
        <v>2018</v>
      </c>
      <c r="J2153" s="10" t="s">
        <v>9</v>
      </c>
    </row>
    <row r="2154" spans="1:10" x14ac:dyDescent="0.35">
      <c r="A2154" s="9" t="s">
        <v>3801</v>
      </c>
      <c r="B2154" s="3">
        <v>9</v>
      </c>
      <c r="C2154" s="4" t="str">
        <f t="shared" si="132"/>
        <v>Good</v>
      </c>
      <c r="D2154" s="3" t="s">
        <v>4167</v>
      </c>
      <c r="E2154" s="3" t="s">
        <v>4168</v>
      </c>
      <c r="F2154" s="5" t="s">
        <v>4165</v>
      </c>
      <c r="G2154" s="4" t="str">
        <f t="shared" si="133"/>
        <v>13th</v>
      </c>
      <c r="H2154" s="4" t="str">
        <f t="shared" si="134"/>
        <v>September</v>
      </c>
      <c r="I2154" s="4" t="str">
        <f t="shared" si="135"/>
        <v>2018</v>
      </c>
      <c r="J2154" s="10" t="s">
        <v>9</v>
      </c>
    </row>
    <row r="2155" spans="1:10" x14ac:dyDescent="0.35">
      <c r="A2155" s="9" t="s">
        <v>3801</v>
      </c>
      <c r="B2155" s="3">
        <v>10</v>
      </c>
      <c r="C2155" s="4" t="str">
        <f t="shared" si="132"/>
        <v>Good</v>
      </c>
      <c r="D2155" s="3" t="s">
        <v>4169</v>
      </c>
      <c r="E2155" s="3" t="s">
        <v>2775</v>
      </c>
      <c r="F2155" s="5" t="s">
        <v>4165</v>
      </c>
      <c r="G2155" s="4" t="str">
        <f t="shared" si="133"/>
        <v>13th</v>
      </c>
      <c r="H2155" s="4" t="str">
        <f t="shared" si="134"/>
        <v>September</v>
      </c>
      <c r="I2155" s="4" t="str">
        <f t="shared" si="135"/>
        <v>2018</v>
      </c>
      <c r="J2155" s="10" t="s">
        <v>9</v>
      </c>
    </row>
    <row r="2156" spans="1:10" x14ac:dyDescent="0.35">
      <c r="A2156" s="9" t="s">
        <v>3801</v>
      </c>
      <c r="B2156" s="3">
        <v>8</v>
      </c>
      <c r="C2156" s="4" t="str">
        <f t="shared" si="132"/>
        <v>Good</v>
      </c>
      <c r="D2156" s="3" t="s">
        <v>4170</v>
      </c>
      <c r="E2156" s="3" t="s">
        <v>4171</v>
      </c>
      <c r="F2156" s="5" t="s">
        <v>4165</v>
      </c>
      <c r="G2156" s="4" t="str">
        <f t="shared" si="133"/>
        <v>13th</v>
      </c>
      <c r="H2156" s="4" t="str">
        <f t="shared" si="134"/>
        <v>September</v>
      </c>
      <c r="I2156" s="4" t="str">
        <f t="shared" si="135"/>
        <v>2018</v>
      </c>
      <c r="J2156" s="10" t="s">
        <v>9</v>
      </c>
    </row>
    <row r="2157" spans="1:10" x14ac:dyDescent="0.35">
      <c r="A2157" s="9" t="s">
        <v>3801</v>
      </c>
      <c r="B2157" s="3">
        <v>10</v>
      </c>
      <c r="C2157" s="4" t="str">
        <f t="shared" si="132"/>
        <v>Good</v>
      </c>
      <c r="D2157" s="3" t="s">
        <v>4172</v>
      </c>
      <c r="E2157" s="3" t="s">
        <v>4173</v>
      </c>
      <c r="F2157" s="5" t="s">
        <v>4165</v>
      </c>
      <c r="G2157" s="4" t="str">
        <f t="shared" si="133"/>
        <v>13th</v>
      </c>
      <c r="H2157" s="4" t="str">
        <f t="shared" si="134"/>
        <v>September</v>
      </c>
      <c r="I2157" s="4" t="str">
        <f t="shared" si="135"/>
        <v>2018</v>
      </c>
      <c r="J2157" s="10" t="s">
        <v>9</v>
      </c>
    </row>
    <row r="2158" spans="1:10" x14ac:dyDescent="0.35">
      <c r="A2158" s="9" t="s">
        <v>3801</v>
      </c>
      <c r="B2158" s="3">
        <v>3</v>
      </c>
      <c r="C2158" s="4" t="str">
        <f t="shared" si="132"/>
        <v>Bad</v>
      </c>
      <c r="D2158" s="3" t="s">
        <v>1670</v>
      </c>
      <c r="E2158" s="3" t="s">
        <v>4174</v>
      </c>
      <c r="F2158" s="5" t="s">
        <v>4165</v>
      </c>
      <c r="G2158" s="4" t="str">
        <f t="shared" si="133"/>
        <v>13th</v>
      </c>
      <c r="H2158" s="4" t="str">
        <f t="shared" si="134"/>
        <v>September</v>
      </c>
      <c r="I2158" s="4" t="str">
        <f t="shared" si="135"/>
        <v>2018</v>
      </c>
      <c r="J2158" s="10" t="s">
        <v>12</v>
      </c>
    </row>
    <row r="2159" spans="1:10" x14ac:dyDescent="0.35">
      <c r="A2159" s="9" t="s">
        <v>3801</v>
      </c>
      <c r="B2159" s="3">
        <v>9</v>
      </c>
      <c r="C2159" s="4" t="str">
        <f t="shared" si="132"/>
        <v>Good</v>
      </c>
      <c r="D2159" s="3" t="s">
        <v>4175</v>
      </c>
      <c r="E2159" s="3" t="s">
        <v>191</v>
      </c>
      <c r="F2159" s="5" t="s">
        <v>4165</v>
      </c>
      <c r="G2159" s="4" t="str">
        <f t="shared" si="133"/>
        <v>13th</v>
      </c>
      <c r="H2159" s="4" t="str">
        <f t="shared" si="134"/>
        <v>September</v>
      </c>
      <c r="I2159" s="4" t="str">
        <f t="shared" si="135"/>
        <v>2018</v>
      </c>
      <c r="J2159" s="10" t="s">
        <v>9</v>
      </c>
    </row>
    <row r="2160" spans="1:10" x14ac:dyDescent="0.35">
      <c r="A2160" s="9" t="s">
        <v>3801</v>
      </c>
      <c r="B2160" s="3">
        <v>10</v>
      </c>
      <c r="C2160" s="4" t="str">
        <f t="shared" si="132"/>
        <v>Good</v>
      </c>
      <c r="D2160" s="3" t="s">
        <v>4176</v>
      </c>
      <c r="E2160" s="3" t="s">
        <v>4177</v>
      </c>
      <c r="F2160" s="5" t="s">
        <v>4165</v>
      </c>
      <c r="G2160" s="4" t="str">
        <f t="shared" si="133"/>
        <v>13th</v>
      </c>
      <c r="H2160" s="4" t="str">
        <f t="shared" si="134"/>
        <v>September</v>
      </c>
      <c r="I2160" s="4" t="str">
        <f t="shared" si="135"/>
        <v>2018</v>
      </c>
      <c r="J2160" s="10" t="s">
        <v>9</v>
      </c>
    </row>
    <row r="2161" spans="1:10" x14ac:dyDescent="0.35">
      <c r="A2161" s="9" t="s">
        <v>3801</v>
      </c>
      <c r="B2161" s="3">
        <v>10</v>
      </c>
      <c r="C2161" s="4" t="str">
        <f t="shared" si="132"/>
        <v>Good</v>
      </c>
      <c r="D2161" s="3" t="s">
        <v>4178</v>
      </c>
      <c r="E2161" s="3" t="s">
        <v>4179</v>
      </c>
      <c r="F2161" s="5" t="s">
        <v>4165</v>
      </c>
      <c r="G2161" s="4" t="str">
        <f t="shared" si="133"/>
        <v>13th</v>
      </c>
      <c r="H2161" s="4" t="str">
        <f t="shared" si="134"/>
        <v>September</v>
      </c>
      <c r="I2161" s="4" t="str">
        <f t="shared" si="135"/>
        <v>2018</v>
      </c>
      <c r="J2161" s="10" t="s">
        <v>9</v>
      </c>
    </row>
    <row r="2162" spans="1:10" x14ac:dyDescent="0.35">
      <c r="A2162" s="9" t="s">
        <v>3801</v>
      </c>
      <c r="B2162" s="3">
        <v>10</v>
      </c>
      <c r="C2162" s="4" t="str">
        <f t="shared" si="132"/>
        <v>Good</v>
      </c>
      <c r="D2162" s="3" t="s">
        <v>4180</v>
      </c>
      <c r="E2162" s="3" t="s">
        <v>4181</v>
      </c>
      <c r="F2162" s="5" t="s">
        <v>4182</v>
      </c>
      <c r="G2162" s="4" t="str">
        <f t="shared" si="133"/>
        <v>24th</v>
      </c>
      <c r="H2162" s="4" t="str">
        <f t="shared" si="134"/>
        <v>March</v>
      </c>
      <c r="I2162" s="4" t="str">
        <f t="shared" si="135"/>
        <v>2018</v>
      </c>
      <c r="J2162" s="10" t="s">
        <v>9</v>
      </c>
    </row>
    <row r="2163" spans="1:10" x14ac:dyDescent="0.35">
      <c r="A2163" s="9" t="s">
        <v>3801</v>
      </c>
      <c r="B2163" s="3">
        <v>10</v>
      </c>
      <c r="C2163" s="4" t="str">
        <f t="shared" si="132"/>
        <v>Good</v>
      </c>
      <c r="D2163" s="3" t="s">
        <v>4183</v>
      </c>
      <c r="E2163" s="3" t="s">
        <v>4184</v>
      </c>
      <c r="F2163" s="5" t="s">
        <v>4182</v>
      </c>
      <c r="G2163" s="4" t="str">
        <f t="shared" si="133"/>
        <v>24th</v>
      </c>
      <c r="H2163" s="4" t="str">
        <f t="shared" si="134"/>
        <v>March</v>
      </c>
      <c r="I2163" s="4" t="str">
        <f t="shared" si="135"/>
        <v>2018</v>
      </c>
      <c r="J2163" s="10" t="s">
        <v>9</v>
      </c>
    </row>
    <row r="2164" spans="1:10" x14ac:dyDescent="0.35">
      <c r="A2164" s="9" t="s">
        <v>3801</v>
      </c>
      <c r="B2164" s="3">
        <v>10</v>
      </c>
      <c r="C2164" s="4" t="str">
        <f t="shared" si="132"/>
        <v>Good</v>
      </c>
      <c r="D2164" s="3" t="s">
        <v>4185</v>
      </c>
      <c r="E2164" s="3" t="s">
        <v>4186</v>
      </c>
      <c r="F2164" s="5" t="s">
        <v>4182</v>
      </c>
      <c r="G2164" s="4" t="str">
        <f t="shared" si="133"/>
        <v>24th</v>
      </c>
      <c r="H2164" s="4" t="str">
        <f t="shared" si="134"/>
        <v>March</v>
      </c>
      <c r="I2164" s="4" t="str">
        <f t="shared" si="135"/>
        <v>2018</v>
      </c>
      <c r="J2164" s="10" t="s">
        <v>9</v>
      </c>
    </row>
    <row r="2165" spans="1:10" x14ac:dyDescent="0.35">
      <c r="A2165" s="9" t="s">
        <v>3801</v>
      </c>
      <c r="B2165" s="3">
        <v>9</v>
      </c>
      <c r="C2165" s="4" t="str">
        <f t="shared" si="132"/>
        <v>Good</v>
      </c>
      <c r="D2165" s="3" t="s">
        <v>4187</v>
      </c>
      <c r="E2165" s="3" t="s">
        <v>4188</v>
      </c>
      <c r="F2165" s="5" t="s">
        <v>4182</v>
      </c>
      <c r="G2165" s="4" t="str">
        <f t="shared" si="133"/>
        <v>24th</v>
      </c>
      <c r="H2165" s="4" t="str">
        <f t="shared" si="134"/>
        <v>March</v>
      </c>
      <c r="I2165" s="4" t="str">
        <f t="shared" si="135"/>
        <v>2018</v>
      </c>
      <c r="J2165" s="10" t="s">
        <v>9</v>
      </c>
    </row>
    <row r="2166" spans="1:10" x14ac:dyDescent="0.35">
      <c r="A2166" s="9" t="s">
        <v>3801</v>
      </c>
      <c r="B2166" s="3">
        <v>8</v>
      </c>
      <c r="C2166" s="4" t="str">
        <f t="shared" si="132"/>
        <v>Good</v>
      </c>
      <c r="D2166" s="3" t="s">
        <v>4189</v>
      </c>
      <c r="E2166" s="3" t="s">
        <v>4190</v>
      </c>
      <c r="F2166" s="5" t="s">
        <v>4182</v>
      </c>
      <c r="G2166" s="4" t="str">
        <f t="shared" si="133"/>
        <v>24th</v>
      </c>
      <c r="H2166" s="4" t="str">
        <f t="shared" si="134"/>
        <v>March</v>
      </c>
      <c r="I2166" s="4" t="str">
        <f t="shared" si="135"/>
        <v>2018</v>
      </c>
      <c r="J2166" s="10" t="s">
        <v>9</v>
      </c>
    </row>
    <row r="2167" spans="1:10" x14ac:dyDescent="0.35">
      <c r="A2167" s="9" t="s">
        <v>3801</v>
      </c>
      <c r="B2167" s="3">
        <v>10</v>
      </c>
      <c r="C2167" s="4" t="str">
        <f t="shared" si="132"/>
        <v>Good</v>
      </c>
      <c r="D2167" s="3" t="s">
        <v>4191</v>
      </c>
      <c r="E2167" s="3" t="s">
        <v>4192</v>
      </c>
      <c r="F2167" s="5" t="s">
        <v>4182</v>
      </c>
      <c r="G2167" s="4" t="str">
        <f t="shared" si="133"/>
        <v>24th</v>
      </c>
      <c r="H2167" s="4" t="str">
        <f t="shared" si="134"/>
        <v>March</v>
      </c>
      <c r="I2167" s="4" t="str">
        <f t="shared" si="135"/>
        <v>2018</v>
      </c>
      <c r="J2167" s="10" t="s">
        <v>9</v>
      </c>
    </row>
    <row r="2168" spans="1:10" x14ac:dyDescent="0.35">
      <c r="A2168" s="9" t="s">
        <v>3801</v>
      </c>
      <c r="B2168" s="3">
        <v>10</v>
      </c>
      <c r="C2168" s="4" t="str">
        <f t="shared" si="132"/>
        <v>Good</v>
      </c>
      <c r="D2168" s="3" t="s">
        <v>4193</v>
      </c>
      <c r="E2168" s="3" t="s">
        <v>4194</v>
      </c>
      <c r="F2168" s="5" t="s">
        <v>4182</v>
      </c>
      <c r="G2168" s="4" t="str">
        <f t="shared" si="133"/>
        <v>24th</v>
      </c>
      <c r="H2168" s="4" t="str">
        <f t="shared" si="134"/>
        <v>March</v>
      </c>
      <c r="I2168" s="4" t="str">
        <f t="shared" si="135"/>
        <v>2018</v>
      </c>
      <c r="J2168" s="10" t="s">
        <v>9</v>
      </c>
    </row>
    <row r="2169" spans="1:10" x14ac:dyDescent="0.35">
      <c r="A2169" s="9" t="s">
        <v>3801</v>
      </c>
      <c r="B2169" s="3">
        <v>10</v>
      </c>
      <c r="C2169" s="4" t="str">
        <f t="shared" si="132"/>
        <v>Good</v>
      </c>
      <c r="D2169" s="3" t="s">
        <v>4195</v>
      </c>
      <c r="E2169" s="3" t="s">
        <v>4196</v>
      </c>
      <c r="F2169" s="5" t="s">
        <v>4182</v>
      </c>
      <c r="G2169" s="4" t="str">
        <f t="shared" si="133"/>
        <v>24th</v>
      </c>
      <c r="H2169" s="4" t="str">
        <f t="shared" si="134"/>
        <v>March</v>
      </c>
      <c r="I2169" s="4" t="str">
        <f t="shared" si="135"/>
        <v>2018</v>
      </c>
      <c r="J2169" s="10" t="s">
        <v>9</v>
      </c>
    </row>
    <row r="2170" spans="1:10" x14ac:dyDescent="0.35">
      <c r="A2170" s="9" t="s">
        <v>3801</v>
      </c>
      <c r="B2170" s="3">
        <v>8</v>
      </c>
      <c r="C2170" s="4" t="str">
        <f t="shared" si="132"/>
        <v>Good</v>
      </c>
      <c r="D2170" s="3" t="s">
        <v>3805</v>
      </c>
      <c r="E2170" s="3" t="s">
        <v>4197</v>
      </c>
      <c r="F2170" s="5" t="s">
        <v>4182</v>
      </c>
      <c r="G2170" s="4" t="str">
        <f t="shared" si="133"/>
        <v>24th</v>
      </c>
      <c r="H2170" s="4" t="str">
        <f t="shared" si="134"/>
        <v>March</v>
      </c>
      <c r="I2170" s="4" t="str">
        <f t="shared" si="135"/>
        <v>2018</v>
      </c>
      <c r="J2170" s="10" t="s">
        <v>9</v>
      </c>
    </row>
    <row r="2171" spans="1:10" x14ac:dyDescent="0.35">
      <c r="A2171" s="9" t="s">
        <v>3801</v>
      </c>
      <c r="B2171" s="3">
        <v>10</v>
      </c>
      <c r="C2171" s="4" t="str">
        <f t="shared" si="132"/>
        <v>Good</v>
      </c>
      <c r="D2171" s="3" t="s">
        <v>4198</v>
      </c>
      <c r="E2171" s="3" t="s">
        <v>4199</v>
      </c>
      <c r="F2171" s="5" t="s">
        <v>4182</v>
      </c>
      <c r="G2171" s="4" t="str">
        <f t="shared" si="133"/>
        <v>24th</v>
      </c>
      <c r="H2171" s="4" t="str">
        <f t="shared" si="134"/>
        <v>March</v>
      </c>
      <c r="I2171" s="4" t="str">
        <f t="shared" si="135"/>
        <v>2018</v>
      </c>
      <c r="J2171" s="10" t="s">
        <v>9</v>
      </c>
    </row>
    <row r="2172" spans="1:10" x14ac:dyDescent="0.35">
      <c r="A2172" s="9" t="s">
        <v>3801</v>
      </c>
      <c r="B2172" s="3">
        <v>7</v>
      </c>
      <c r="C2172" s="4" t="str">
        <f t="shared" si="132"/>
        <v>Neutral</v>
      </c>
      <c r="D2172" s="3" t="s">
        <v>4200</v>
      </c>
      <c r="E2172" s="3" t="s">
        <v>4201</v>
      </c>
      <c r="F2172" s="5" t="s">
        <v>4202</v>
      </c>
      <c r="G2172" s="4" t="str">
        <f t="shared" si="133"/>
        <v>19th</v>
      </c>
      <c r="H2172" s="4" t="str">
        <f t="shared" si="134"/>
        <v>October</v>
      </c>
      <c r="I2172" s="4" t="str">
        <f t="shared" si="135"/>
        <v>2017</v>
      </c>
      <c r="J2172" s="10" t="s">
        <v>9</v>
      </c>
    </row>
    <row r="2173" spans="1:10" x14ac:dyDescent="0.35">
      <c r="A2173" s="9" t="s">
        <v>3801</v>
      </c>
      <c r="B2173" s="3">
        <v>2</v>
      </c>
      <c r="C2173" s="4" t="str">
        <f t="shared" si="132"/>
        <v>Bad</v>
      </c>
      <c r="D2173" s="3" t="s">
        <v>4203</v>
      </c>
      <c r="E2173" s="3" t="s">
        <v>4204</v>
      </c>
      <c r="F2173" s="5" t="s">
        <v>4202</v>
      </c>
      <c r="G2173" s="4" t="str">
        <f t="shared" si="133"/>
        <v>19th</v>
      </c>
      <c r="H2173" s="4" t="str">
        <f t="shared" si="134"/>
        <v>October</v>
      </c>
      <c r="I2173" s="4" t="str">
        <f t="shared" si="135"/>
        <v>2017</v>
      </c>
      <c r="J2173" s="10" t="s">
        <v>12</v>
      </c>
    </row>
    <row r="2174" spans="1:10" x14ac:dyDescent="0.35">
      <c r="A2174" s="9" t="s">
        <v>3801</v>
      </c>
      <c r="B2174" s="3">
        <v>10</v>
      </c>
      <c r="C2174" s="4" t="str">
        <f t="shared" si="132"/>
        <v>Good</v>
      </c>
      <c r="D2174" s="3" t="s">
        <v>4205</v>
      </c>
      <c r="E2174" s="3" t="s">
        <v>4206</v>
      </c>
      <c r="F2174" s="5" t="s">
        <v>4202</v>
      </c>
      <c r="G2174" s="4" t="str">
        <f t="shared" si="133"/>
        <v>19th</v>
      </c>
      <c r="H2174" s="4" t="str">
        <f t="shared" si="134"/>
        <v>October</v>
      </c>
      <c r="I2174" s="4" t="str">
        <f t="shared" si="135"/>
        <v>2017</v>
      </c>
      <c r="J2174" s="10" t="s">
        <v>9</v>
      </c>
    </row>
    <row r="2175" spans="1:10" x14ac:dyDescent="0.35">
      <c r="A2175" s="9" t="s">
        <v>3801</v>
      </c>
      <c r="B2175" s="3">
        <v>10</v>
      </c>
      <c r="C2175" s="4" t="str">
        <f t="shared" si="132"/>
        <v>Good</v>
      </c>
      <c r="D2175" s="3" t="s">
        <v>4207</v>
      </c>
      <c r="E2175" s="3" t="s">
        <v>4208</v>
      </c>
      <c r="F2175" s="5" t="s">
        <v>4202</v>
      </c>
      <c r="G2175" s="4" t="str">
        <f t="shared" si="133"/>
        <v>19th</v>
      </c>
      <c r="H2175" s="4" t="str">
        <f t="shared" si="134"/>
        <v>October</v>
      </c>
      <c r="I2175" s="4" t="str">
        <f t="shared" si="135"/>
        <v>2017</v>
      </c>
      <c r="J2175" s="10" t="s">
        <v>9</v>
      </c>
    </row>
    <row r="2176" spans="1:10" x14ac:dyDescent="0.35">
      <c r="A2176" s="9" t="s">
        <v>3801</v>
      </c>
      <c r="B2176" s="3">
        <v>7</v>
      </c>
      <c r="C2176" s="4" t="str">
        <f t="shared" si="132"/>
        <v>Neutral</v>
      </c>
      <c r="D2176" s="3" t="s">
        <v>2015</v>
      </c>
      <c r="E2176" s="3" t="s">
        <v>4209</v>
      </c>
      <c r="F2176" s="5" t="s">
        <v>4202</v>
      </c>
      <c r="G2176" s="4" t="str">
        <f t="shared" si="133"/>
        <v>19th</v>
      </c>
      <c r="H2176" s="4" t="str">
        <f t="shared" si="134"/>
        <v>October</v>
      </c>
      <c r="I2176" s="4" t="str">
        <f t="shared" si="135"/>
        <v>2017</v>
      </c>
      <c r="J2176" s="10" t="s">
        <v>9</v>
      </c>
    </row>
    <row r="2177" spans="1:10" x14ac:dyDescent="0.35">
      <c r="A2177" s="9" t="s">
        <v>3801</v>
      </c>
      <c r="B2177" s="3">
        <v>1</v>
      </c>
      <c r="C2177" s="4" t="str">
        <f t="shared" si="132"/>
        <v>Bad</v>
      </c>
      <c r="D2177" s="3" t="s">
        <v>4210</v>
      </c>
      <c r="E2177" s="3" t="s">
        <v>4211</v>
      </c>
      <c r="F2177" s="5" t="s">
        <v>4202</v>
      </c>
      <c r="G2177" s="4" t="str">
        <f t="shared" si="133"/>
        <v>19th</v>
      </c>
      <c r="H2177" s="4" t="str">
        <f t="shared" si="134"/>
        <v>October</v>
      </c>
      <c r="I2177" s="4" t="str">
        <f t="shared" si="135"/>
        <v>2017</v>
      </c>
      <c r="J2177" s="10" t="s">
        <v>12</v>
      </c>
    </row>
    <row r="2178" spans="1:10" x14ac:dyDescent="0.35">
      <c r="A2178" s="9" t="s">
        <v>3801</v>
      </c>
      <c r="B2178" s="3">
        <v>5</v>
      </c>
      <c r="C2178" s="4" t="str">
        <f t="shared" si="132"/>
        <v>Neutral</v>
      </c>
      <c r="D2178" s="3" t="s">
        <v>4212</v>
      </c>
      <c r="E2178" s="3" t="s">
        <v>4213</v>
      </c>
      <c r="F2178" s="5" t="s">
        <v>4202</v>
      </c>
      <c r="G2178" s="4" t="str">
        <f t="shared" si="133"/>
        <v>19th</v>
      </c>
      <c r="H2178" s="4" t="str">
        <f t="shared" si="134"/>
        <v>October</v>
      </c>
      <c r="I2178" s="4" t="str">
        <f t="shared" si="135"/>
        <v>2017</v>
      </c>
      <c r="J2178" s="10" t="s">
        <v>12</v>
      </c>
    </row>
    <row r="2179" spans="1:10" x14ac:dyDescent="0.35">
      <c r="A2179" s="9" t="s">
        <v>3801</v>
      </c>
      <c r="B2179" s="3">
        <v>9</v>
      </c>
      <c r="C2179" s="4" t="str">
        <f t="shared" ref="C2179:C2211" si="136">IF(B2179&gt;=8,"Good",IF(B2179&gt;=5,"Neutral","Bad"))</f>
        <v>Good</v>
      </c>
      <c r="D2179" s="3" t="s">
        <v>4214</v>
      </c>
      <c r="E2179" s="3" t="s">
        <v>4215</v>
      </c>
      <c r="F2179" s="5" t="s">
        <v>4202</v>
      </c>
      <c r="G2179" s="4" t="str">
        <f t="shared" ref="G2179:G2211" si="137">LEFT(F2179, FIND(" ", F2179)-1)</f>
        <v>19th</v>
      </c>
      <c r="H2179" s="4" t="str">
        <f t="shared" ref="H2179:H2211" si="138">TRIM(MID(F2179, FIND(" ", F2179)+1, FIND(" ", F2179, FIND(" ", F2179)+1) - FIND(" ", F2179)-1))</f>
        <v>October</v>
      </c>
      <c r="I2179" s="4" t="str">
        <f t="shared" ref="I2179:I2211" si="139">RIGHT(F2179, 4)</f>
        <v>2017</v>
      </c>
      <c r="J2179" s="10" t="s">
        <v>9</v>
      </c>
    </row>
    <row r="2180" spans="1:10" x14ac:dyDescent="0.35">
      <c r="A2180" s="9" t="s">
        <v>3801</v>
      </c>
      <c r="B2180" s="3">
        <v>9</v>
      </c>
      <c r="C2180" s="4" t="str">
        <f t="shared" si="136"/>
        <v>Good</v>
      </c>
      <c r="D2180" s="3" t="s">
        <v>4216</v>
      </c>
      <c r="E2180" s="3" t="s">
        <v>4217</v>
      </c>
      <c r="F2180" s="5" t="s">
        <v>4202</v>
      </c>
      <c r="G2180" s="4" t="str">
        <f t="shared" si="137"/>
        <v>19th</v>
      </c>
      <c r="H2180" s="4" t="str">
        <f t="shared" si="138"/>
        <v>October</v>
      </c>
      <c r="I2180" s="4" t="str">
        <f t="shared" si="139"/>
        <v>2017</v>
      </c>
      <c r="J2180" s="10" t="s">
        <v>9</v>
      </c>
    </row>
    <row r="2181" spans="1:10" x14ac:dyDescent="0.35">
      <c r="A2181" s="9" t="s">
        <v>3801</v>
      </c>
      <c r="B2181" s="3">
        <v>10</v>
      </c>
      <c r="C2181" s="4" t="str">
        <f t="shared" si="136"/>
        <v>Good</v>
      </c>
      <c r="D2181" s="3" t="s">
        <v>4218</v>
      </c>
      <c r="E2181" s="3" t="s">
        <v>4219</v>
      </c>
      <c r="F2181" s="5" t="s">
        <v>4202</v>
      </c>
      <c r="G2181" s="4" t="str">
        <f t="shared" si="137"/>
        <v>19th</v>
      </c>
      <c r="H2181" s="4" t="str">
        <f t="shared" si="138"/>
        <v>October</v>
      </c>
      <c r="I2181" s="4" t="str">
        <f t="shared" si="139"/>
        <v>2017</v>
      </c>
      <c r="J2181" s="10" t="s">
        <v>9</v>
      </c>
    </row>
    <row r="2182" spans="1:10" x14ac:dyDescent="0.35">
      <c r="A2182" s="9" t="s">
        <v>3801</v>
      </c>
      <c r="B2182" s="3">
        <v>7</v>
      </c>
      <c r="C2182" s="4" t="str">
        <f t="shared" si="136"/>
        <v>Neutral</v>
      </c>
      <c r="D2182" s="3" t="s">
        <v>4220</v>
      </c>
      <c r="E2182" s="3" t="s">
        <v>4221</v>
      </c>
      <c r="F2182" s="5" t="s">
        <v>4222</v>
      </c>
      <c r="G2182" s="4" t="str">
        <f t="shared" si="137"/>
        <v>22nd</v>
      </c>
      <c r="H2182" s="4" t="str">
        <f t="shared" si="138"/>
        <v>January</v>
      </c>
      <c r="I2182" s="4" t="str">
        <f t="shared" si="139"/>
        <v>2017</v>
      </c>
      <c r="J2182" s="10" t="s">
        <v>9</v>
      </c>
    </row>
    <row r="2183" spans="1:10" x14ac:dyDescent="0.35">
      <c r="A2183" s="9" t="s">
        <v>3801</v>
      </c>
      <c r="B2183" s="3">
        <v>10</v>
      </c>
      <c r="C2183" s="4" t="str">
        <f t="shared" si="136"/>
        <v>Good</v>
      </c>
      <c r="D2183" s="3" t="s">
        <v>4223</v>
      </c>
      <c r="E2183" s="3" t="s">
        <v>3884</v>
      </c>
      <c r="F2183" s="5" t="s">
        <v>4222</v>
      </c>
      <c r="G2183" s="4" t="str">
        <f t="shared" si="137"/>
        <v>22nd</v>
      </c>
      <c r="H2183" s="4" t="str">
        <f t="shared" si="138"/>
        <v>January</v>
      </c>
      <c r="I2183" s="4" t="str">
        <f t="shared" si="139"/>
        <v>2017</v>
      </c>
      <c r="J2183" s="10" t="s">
        <v>9</v>
      </c>
    </row>
    <row r="2184" spans="1:10" x14ac:dyDescent="0.35">
      <c r="A2184" s="9" t="s">
        <v>3801</v>
      </c>
      <c r="B2184" s="3">
        <v>10</v>
      </c>
      <c r="C2184" s="4" t="str">
        <f t="shared" si="136"/>
        <v>Good</v>
      </c>
      <c r="D2184" s="3" t="s">
        <v>4224</v>
      </c>
      <c r="E2184" s="3" t="s">
        <v>3884</v>
      </c>
      <c r="F2184" s="5" t="s">
        <v>4222</v>
      </c>
      <c r="G2184" s="4" t="str">
        <f t="shared" si="137"/>
        <v>22nd</v>
      </c>
      <c r="H2184" s="4" t="str">
        <f t="shared" si="138"/>
        <v>January</v>
      </c>
      <c r="I2184" s="4" t="str">
        <f t="shared" si="139"/>
        <v>2017</v>
      </c>
      <c r="J2184" s="10" t="s">
        <v>9</v>
      </c>
    </row>
    <row r="2185" spans="1:10" x14ac:dyDescent="0.35">
      <c r="A2185" s="9" t="s">
        <v>3801</v>
      </c>
      <c r="B2185" s="3">
        <v>9</v>
      </c>
      <c r="C2185" s="4" t="str">
        <f t="shared" si="136"/>
        <v>Good</v>
      </c>
      <c r="D2185" s="3" t="s">
        <v>4225</v>
      </c>
      <c r="E2185" s="3" t="s">
        <v>4226</v>
      </c>
      <c r="F2185" s="5" t="s">
        <v>4222</v>
      </c>
      <c r="G2185" s="4" t="str">
        <f t="shared" si="137"/>
        <v>22nd</v>
      </c>
      <c r="H2185" s="4" t="str">
        <f t="shared" si="138"/>
        <v>January</v>
      </c>
      <c r="I2185" s="4" t="str">
        <f t="shared" si="139"/>
        <v>2017</v>
      </c>
      <c r="J2185" s="10" t="s">
        <v>9</v>
      </c>
    </row>
    <row r="2186" spans="1:10" x14ac:dyDescent="0.35">
      <c r="A2186" s="9" t="s">
        <v>3801</v>
      </c>
      <c r="B2186" s="3">
        <v>10</v>
      </c>
      <c r="C2186" s="4" t="str">
        <f t="shared" si="136"/>
        <v>Good</v>
      </c>
      <c r="D2186" s="3" t="s">
        <v>4227</v>
      </c>
      <c r="E2186" s="3" t="s">
        <v>4228</v>
      </c>
      <c r="F2186" s="5" t="s">
        <v>4222</v>
      </c>
      <c r="G2186" s="4" t="str">
        <f t="shared" si="137"/>
        <v>22nd</v>
      </c>
      <c r="H2186" s="4" t="str">
        <f t="shared" si="138"/>
        <v>January</v>
      </c>
      <c r="I2186" s="4" t="str">
        <f t="shared" si="139"/>
        <v>2017</v>
      </c>
      <c r="J2186" s="10" t="s">
        <v>9</v>
      </c>
    </row>
    <row r="2187" spans="1:10" x14ac:dyDescent="0.35">
      <c r="A2187" s="9" t="s">
        <v>3801</v>
      </c>
      <c r="B2187" s="3">
        <v>9</v>
      </c>
      <c r="C2187" s="4" t="str">
        <f t="shared" si="136"/>
        <v>Good</v>
      </c>
      <c r="D2187" s="3" t="s">
        <v>4229</v>
      </c>
      <c r="E2187" s="3" t="s">
        <v>4230</v>
      </c>
      <c r="F2187" s="5" t="s">
        <v>4222</v>
      </c>
      <c r="G2187" s="4" t="str">
        <f t="shared" si="137"/>
        <v>22nd</v>
      </c>
      <c r="H2187" s="4" t="str">
        <f t="shared" si="138"/>
        <v>January</v>
      </c>
      <c r="I2187" s="4" t="str">
        <f t="shared" si="139"/>
        <v>2017</v>
      </c>
      <c r="J2187" s="10" t="s">
        <v>9</v>
      </c>
    </row>
    <row r="2188" spans="1:10" x14ac:dyDescent="0.35">
      <c r="A2188" s="9" t="s">
        <v>3801</v>
      </c>
      <c r="B2188" s="3">
        <v>10</v>
      </c>
      <c r="C2188" s="4" t="str">
        <f t="shared" si="136"/>
        <v>Good</v>
      </c>
      <c r="D2188" s="3" t="s">
        <v>4231</v>
      </c>
      <c r="E2188" s="3" t="s">
        <v>4232</v>
      </c>
      <c r="F2188" s="5" t="s">
        <v>4222</v>
      </c>
      <c r="G2188" s="4" t="str">
        <f t="shared" si="137"/>
        <v>22nd</v>
      </c>
      <c r="H2188" s="4" t="str">
        <f t="shared" si="138"/>
        <v>January</v>
      </c>
      <c r="I2188" s="4" t="str">
        <f t="shared" si="139"/>
        <v>2017</v>
      </c>
      <c r="J2188" s="10" t="s">
        <v>9</v>
      </c>
    </row>
    <row r="2189" spans="1:10" x14ac:dyDescent="0.35">
      <c r="A2189" s="9" t="s">
        <v>3801</v>
      </c>
      <c r="B2189" s="3">
        <v>10</v>
      </c>
      <c r="C2189" s="4" t="str">
        <f t="shared" si="136"/>
        <v>Good</v>
      </c>
      <c r="D2189" s="3" t="s">
        <v>4233</v>
      </c>
      <c r="E2189" s="3" t="s">
        <v>4234</v>
      </c>
      <c r="F2189" s="5" t="s">
        <v>4222</v>
      </c>
      <c r="G2189" s="4" t="str">
        <f t="shared" si="137"/>
        <v>22nd</v>
      </c>
      <c r="H2189" s="4" t="str">
        <f t="shared" si="138"/>
        <v>January</v>
      </c>
      <c r="I2189" s="4" t="str">
        <f t="shared" si="139"/>
        <v>2017</v>
      </c>
      <c r="J2189" s="10" t="s">
        <v>9</v>
      </c>
    </row>
    <row r="2190" spans="1:10" x14ac:dyDescent="0.35">
      <c r="A2190" s="9" t="s">
        <v>3801</v>
      </c>
      <c r="B2190" s="3">
        <v>6</v>
      </c>
      <c r="C2190" s="4" t="str">
        <f t="shared" si="136"/>
        <v>Neutral</v>
      </c>
      <c r="D2190" s="3" t="s">
        <v>4235</v>
      </c>
      <c r="E2190" s="3" t="s">
        <v>4236</v>
      </c>
      <c r="F2190" s="5" t="s">
        <v>4222</v>
      </c>
      <c r="G2190" s="4" t="str">
        <f t="shared" si="137"/>
        <v>22nd</v>
      </c>
      <c r="H2190" s="4" t="str">
        <f t="shared" si="138"/>
        <v>January</v>
      </c>
      <c r="I2190" s="4" t="str">
        <f t="shared" si="139"/>
        <v>2017</v>
      </c>
      <c r="J2190" s="10" t="s">
        <v>9</v>
      </c>
    </row>
    <row r="2191" spans="1:10" x14ac:dyDescent="0.35">
      <c r="A2191" s="9" t="s">
        <v>3801</v>
      </c>
      <c r="B2191" s="3">
        <v>3</v>
      </c>
      <c r="C2191" s="4" t="str">
        <f t="shared" si="136"/>
        <v>Bad</v>
      </c>
      <c r="D2191" s="3" t="s">
        <v>4237</v>
      </c>
      <c r="E2191" s="3" t="s">
        <v>4238</v>
      </c>
      <c r="F2191" s="5" t="s">
        <v>4222</v>
      </c>
      <c r="G2191" s="4" t="str">
        <f t="shared" si="137"/>
        <v>22nd</v>
      </c>
      <c r="H2191" s="4" t="str">
        <f t="shared" si="138"/>
        <v>January</v>
      </c>
      <c r="I2191" s="4" t="str">
        <f t="shared" si="139"/>
        <v>2017</v>
      </c>
      <c r="J2191" s="10" t="s">
        <v>12</v>
      </c>
    </row>
    <row r="2192" spans="1:10" x14ac:dyDescent="0.35">
      <c r="A2192" s="9" t="s">
        <v>3801</v>
      </c>
      <c r="B2192" s="3">
        <v>10</v>
      </c>
      <c r="C2192" s="4" t="str">
        <f t="shared" si="136"/>
        <v>Good</v>
      </c>
      <c r="D2192" s="3" t="s">
        <v>4239</v>
      </c>
      <c r="E2192" s="3" t="s">
        <v>4240</v>
      </c>
      <c r="F2192" s="5" t="s">
        <v>4241</v>
      </c>
      <c r="G2192" s="4" t="str">
        <f t="shared" si="137"/>
        <v>9th</v>
      </c>
      <c r="H2192" s="4" t="str">
        <f t="shared" si="138"/>
        <v>October</v>
      </c>
      <c r="I2192" s="4" t="str">
        <f t="shared" si="139"/>
        <v>2016</v>
      </c>
      <c r="J2192" s="10" t="s">
        <v>9</v>
      </c>
    </row>
    <row r="2193" spans="1:10" x14ac:dyDescent="0.35">
      <c r="A2193" s="9" t="s">
        <v>3801</v>
      </c>
      <c r="B2193" s="3">
        <v>10</v>
      </c>
      <c r="C2193" s="4" t="str">
        <f t="shared" si="136"/>
        <v>Good</v>
      </c>
      <c r="D2193" s="3" t="s">
        <v>4242</v>
      </c>
      <c r="E2193" s="3" t="s">
        <v>4232</v>
      </c>
      <c r="F2193" s="5" t="s">
        <v>4241</v>
      </c>
      <c r="G2193" s="4" t="str">
        <f t="shared" si="137"/>
        <v>9th</v>
      </c>
      <c r="H2193" s="4" t="str">
        <f t="shared" si="138"/>
        <v>October</v>
      </c>
      <c r="I2193" s="4" t="str">
        <f t="shared" si="139"/>
        <v>2016</v>
      </c>
      <c r="J2193" s="10" t="s">
        <v>9</v>
      </c>
    </row>
    <row r="2194" spans="1:10" x14ac:dyDescent="0.35">
      <c r="A2194" s="9" t="s">
        <v>3801</v>
      </c>
      <c r="B2194" s="3">
        <v>10</v>
      </c>
      <c r="C2194" s="4" t="str">
        <f t="shared" si="136"/>
        <v>Good</v>
      </c>
      <c r="D2194" s="3" t="s">
        <v>4243</v>
      </c>
      <c r="E2194" s="3" t="s">
        <v>4244</v>
      </c>
      <c r="F2194" s="5" t="s">
        <v>4241</v>
      </c>
      <c r="G2194" s="4" t="str">
        <f t="shared" si="137"/>
        <v>9th</v>
      </c>
      <c r="H2194" s="4" t="str">
        <f t="shared" si="138"/>
        <v>October</v>
      </c>
      <c r="I2194" s="4" t="str">
        <f t="shared" si="139"/>
        <v>2016</v>
      </c>
      <c r="J2194" s="10" t="s">
        <v>9</v>
      </c>
    </row>
    <row r="2195" spans="1:10" x14ac:dyDescent="0.35">
      <c r="A2195" s="9" t="s">
        <v>3801</v>
      </c>
      <c r="B2195" s="3">
        <v>9</v>
      </c>
      <c r="C2195" s="4" t="str">
        <f t="shared" si="136"/>
        <v>Good</v>
      </c>
      <c r="D2195" s="3" t="s">
        <v>2962</v>
      </c>
      <c r="E2195" s="3" t="s">
        <v>4245</v>
      </c>
      <c r="F2195" s="5" t="s">
        <v>4241</v>
      </c>
      <c r="G2195" s="4" t="str">
        <f t="shared" si="137"/>
        <v>9th</v>
      </c>
      <c r="H2195" s="4" t="str">
        <f t="shared" si="138"/>
        <v>October</v>
      </c>
      <c r="I2195" s="4" t="str">
        <f t="shared" si="139"/>
        <v>2016</v>
      </c>
      <c r="J2195" s="10" t="s">
        <v>9</v>
      </c>
    </row>
    <row r="2196" spans="1:10" x14ac:dyDescent="0.35">
      <c r="A2196" s="9" t="s">
        <v>3801</v>
      </c>
      <c r="B2196" s="3">
        <v>10</v>
      </c>
      <c r="C2196" s="4" t="str">
        <f t="shared" si="136"/>
        <v>Good</v>
      </c>
      <c r="D2196" s="3" t="s">
        <v>4246</v>
      </c>
      <c r="E2196" s="3" t="s">
        <v>4247</v>
      </c>
      <c r="F2196" s="5" t="s">
        <v>4241</v>
      </c>
      <c r="G2196" s="4" t="str">
        <f t="shared" si="137"/>
        <v>9th</v>
      </c>
      <c r="H2196" s="4" t="str">
        <f t="shared" si="138"/>
        <v>October</v>
      </c>
      <c r="I2196" s="4" t="str">
        <f t="shared" si="139"/>
        <v>2016</v>
      </c>
      <c r="J2196" s="10" t="s">
        <v>9</v>
      </c>
    </row>
    <row r="2197" spans="1:10" x14ac:dyDescent="0.35">
      <c r="A2197" s="9" t="s">
        <v>3801</v>
      </c>
      <c r="B2197" s="3">
        <v>10</v>
      </c>
      <c r="C2197" s="4" t="str">
        <f t="shared" si="136"/>
        <v>Good</v>
      </c>
      <c r="D2197" s="3" t="s">
        <v>4248</v>
      </c>
      <c r="E2197" s="3" t="s">
        <v>3884</v>
      </c>
      <c r="F2197" s="5" t="s">
        <v>4241</v>
      </c>
      <c r="G2197" s="4" t="str">
        <f t="shared" si="137"/>
        <v>9th</v>
      </c>
      <c r="H2197" s="4" t="str">
        <f t="shared" si="138"/>
        <v>October</v>
      </c>
      <c r="I2197" s="4" t="str">
        <f t="shared" si="139"/>
        <v>2016</v>
      </c>
      <c r="J2197" s="10" t="s">
        <v>9</v>
      </c>
    </row>
    <row r="2198" spans="1:10" x14ac:dyDescent="0.35">
      <c r="A2198" s="9" t="s">
        <v>3801</v>
      </c>
      <c r="B2198" s="3">
        <v>10</v>
      </c>
      <c r="C2198" s="4" t="str">
        <f t="shared" si="136"/>
        <v>Good</v>
      </c>
      <c r="D2198" s="3" t="s">
        <v>4249</v>
      </c>
      <c r="E2198" s="3" t="s">
        <v>4250</v>
      </c>
      <c r="F2198" s="5" t="s">
        <v>4241</v>
      </c>
      <c r="G2198" s="4" t="str">
        <f t="shared" si="137"/>
        <v>9th</v>
      </c>
      <c r="H2198" s="4" t="str">
        <f t="shared" si="138"/>
        <v>October</v>
      </c>
      <c r="I2198" s="4" t="str">
        <f t="shared" si="139"/>
        <v>2016</v>
      </c>
      <c r="J2198" s="10" t="s">
        <v>9</v>
      </c>
    </row>
    <row r="2199" spans="1:10" x14ac:dyDescent="0.35">
      <c r="A2199" s="9" t="s">
        <v>3801</v>
      </c>
      <c r="B2199" s="3">
        <v>10</v>
      </c>
      <c r="C2199" s="4" t="str">
        <f t="shared" si="136"/>
        <v>Good</v>
      </c>
      <c r="D2199" s="3" t="s">
        <v>4251</v>
      </c>
      <c r="E2199" s="3" t="s">
        <v>4252</v>
      </c>
      <c r="F2199" s="5" t="s">
        <v>4241</v>
      </c>
      <c r="G2199" s="4" t="str">
        <f t="shared" si="137"/>
        <v>9th</v>
      </c>
      <c r="H2199" s="4" t="str">
        <f t="shared" si="138"/>
        <v>October</v>
      </c>
      <c r="I2199" s="4" t="str">
        <f t="shared" si="139"/>
        <v>2016</v>
      </c>
      <c r="J2199" s="10" t="s">
        <v>9</v>
      </c>
    </row>
    <row r="2200" spans="1:10" x14ac:dyDescent="0.35">
      <c r="A2200" s="9" t="s">
        <v>3801</v>
      </c>
      <c r="B2200" s="3">
        <v>8</v>
      </c>
      <c r="C2200" s="4" t="str">
        <f t="shared" si="136"/>
        <v>Good</v>
      </c>
      <c r="D2200" s="3" t="s">
        <v>4253</v>
      </c>
      <c r="E2200" s="3" t="s">
        <v>4254</v>
      </c>
      <c r="F2200" s="5" t="s">
        <v>4241</v>
      </c>
      <c r="G2200" s="4" t="str">
        <f t="shared" si="137"/>
        <v>9th</v>
      </c>
      <c r="H2200" s="4" t="str">
        <f t="shared" si="138"/>
        <v>October</v>
      </c>
      <c r="I2200" s="4" t="str">
        <f t="shared" si="139"/>
        <v>2016</v>
      </c>
      <c r="J2200" s="10" t="s">
        <v>9</v>
      </c>
    </row>
    <row r="2201" spans="1:10" x14ac:dyDescent="0.35">
      <c r="A2201" s="9" t="s">
        <v>3801</v>
      </c>
      <c r="B2201" s="3">
        <v>9</v>
      </c>
      <c r="C2201" s="4" t="str">
        <f t="shared" si="136"/>
        <v>Good</v>
      </c>
      <c r="D2201" s="3" t="s">
        <v>4255</v>
      </c>
      <c r="E2201" s="3" t="s">
        <v>4256</v>
      </c>
      <c r="F2201" s="5" t="s">
        <v>4241</v>
      </c>
      <c r="G2201" s="4" t="str">
        <f t="shared" si="137"/>
        <v>9th</v>
      </c>
      <c r="H2201" s="4" t="str">
        <f t="shared" si="138"/>
        <v>October</v>
      </c>
      <c r="I2201" s="4" t="str">
        <f t="shared" si="139"/>
        <v>2016</v>
      </c>
      <c r="J2201" s="10" t="s">
        <v>9</v>
      </c>
    </row>
    <row r="2202" spans="1:10" x14ac:dyDescent="0.35">
      <c r="A2202" s="9" t="s">
        <v>3801</v>
      </c>
      <c r="B2202" s="3">
        <v>10</v>
      </c>
      <c r="C2202" s="4" t="str">
        <f t="shared" si="136"/>
        <v>Good</v>
      </c>
      <c r="D2202" s="3" t="s">
        <v>4257</v>
      </c>
      <c r="E2202" s="3" t="s">
        <v>4258</v>
      </c>
      <c r="F2202" s="5" t="s">
        <v>4259</v>
      </c>
      <c r="G2202" s="4" t="str">
        <f t="shared" si="137"/>
        <v>15th</v>
      </c>
      <c r="H2202" s="4" t="str">
        <f t="shared" si="138"/>
        <v>June</v>
      </c>
      <c r="I2202" s="4" t="str">
        <f t="shared" si="139"/>
        <v>2016</v>
      </c>
      <c r="J2202" s="10" t="s">
        <v>9</v>
      </c>
    </row>
    <row r="2203" spans="1:10" x14ac:dyDescent="0.35">
      <c r="A2203" s="9" t="s">
        <v>3801</v>
      </c>
      <c r="B2203" s="3">
        <v>10</v>
      </c>
      <c r="C2203" s="4" t="str">
        <f t="shared" si="136"/>
        <v>Good</v>
      </c>
      <c r="D2203" s="3" t="s">
        <v>4260</v>
      </c>
      <c r="E2203" s="3" t="s">
        <v>4261</v>
      </c>
      <c r="F2203" s="5" t="s">
        <v>4259</v>
      </c>
      <c r="G2203" s="4" t="str">
        <f t="shared" si="137"/>
        <v>15th</v>
      </c>
      <c r="H2203" s="4" t="str">
        <f t="shared" si="138"/>
        <v>June</v>
      </c>
      <c r="I2203" s="4" t="str">
        <f t="shared" si="139"/>
        <v>2016</v>
      </c>
      <c r="J2203" s="10" t="s">
        <v>9</v>
      </c>
    </row>
    <row r="2204" spans="1:10" x14ac:dyDescent="0.35">
      <c r="A2204" s="9" t="s">
        <v>3801</v>
      </c>
      <c r="B2204" s="3">
        <v>9</v>
      </c>
      <c r="C2204" s="4" t="str">
        <f t="shared" si="136"/>
        <v>Good</v>
      </c>
      <c r="D2204" s="3" t="s">
        <v>4262</v>
      </c>
      <c r="E2204" s="3" t="s">
        <v>4263</v>
      </c>
      <c r="F2204" s="5" t="s">
        <v>4259</v>
      </c>
      <c r="G2204" s="4" t="str">
        <f t="shared" si="137"/>
        <v>15th</v>
      </c>
      <c r="H2204" s="4" t="str">
        <f t="shared" si="138"/>
        <v>June</v>
      </c>
      <c r="I2204" s="4" t="str">
        <f t="shared" si="139"/>
        <v>2016</v>
      </c>
      <c r="J2204" s="10" t="s">
        <v>9</v>
      </c>
    </row>
    <row r="2205" spans="1:10" x14ac:dyDescent="0.35">
      <c r="A2205" s="9" t="s">
        <v>3801</v>
      </c>
      <c r="B2205" s="3">
        <v>9</v>
      </c>
      <c r="C2205" s="4" t="str">
        <f t="shared" si="136"/>
        <v>Good</v>
      </c>
      <c r="D2205" s="3" t="s">
        <v>4264</v>
      </c>
      <c r="E2205" s="3" t="s">
        <v>1257</v>
      </c>
      <c r="F2205" s="5" t="s">
        <v>4259</v>
      </c>
      <c r="G2205" s="4" t="str">
        <f t="shared" si="137"/>
        <v>15th</v>
      </c>
      <c r="H2205" s="4" t="str">
        <f t="shared" si="138"/>
        <v>June</v>
      </c>
      <c r="I2205" s="4" t="str">
        <f t="shared" si="139"/>
        <v>2016</v>
      </c>
      <c r="J2205" s="10" t="s">
        <v>9</v>
      </c>
    </row>
    <row r="2206" spans="1:10" x14ac:dyDescent="0.35">
      <c r="A2206" s="9" t="s">
        <v>3801</v>
      </c>
      <c r="B2206" s="3">
        <v>10</v>
      </c>
      <c r="C2206" s="4" t="str">
        <f t="shared" si="136"/>
        <v>Good</v>
      </c>
      <c r="D2206" s="3" t="s">
        <v>4265</v>
      </c>
      <c r="E2206" s="3" t="s">
        <v>4266</v>
      </c>
      <c r="F2206" s="5" t="s">
        <v>4259</v>
      </c>
      <c r="G2206" s="4" t="str">
        <f t="shared" si="137"/>
        <v>15th</v>
      </c>
      <c r="H2206" s="4" t="str">
        <f t="shared" si="138"/>
        <v>June</v>
      </c>
      <c r="I2206" s="4" t="str">
        <f t="shared" si="139"/>
        <v>2016</v>
      </c>
      <c r="J2206" s="10" t="s">
        <v>9</v>
      </c>
    </row>
    <row r="2207" spans="1:10" x14ac:dyDescent="0.35">
      <c r="A2207" s="9" t="s">
        <v>3801</v>
      </c>
      <c r="B2207" s="3">
        <v>8</v>
      </c>
      <c r="C2207" s="4" t="str">
        <f t="shared" si="136"/>
        <v>Good</v>
      </c>
      <c r="D2207" s="3" t="s">
        <v>4267</v>
      </c>
      <c r="E2207" s="3" t="s">
        <v>4268</v>
      </c>
      <c r="F2207" s="5" t="s">
        <v>4259</v>
      </c>
      <c r="G2207" s="4" t="str">
        <f t="shared" si="137"/>
        <v>15th</v>
      </c>
      <c r="H2207" s="4" t="str">
        <f t="shared" si="138"/>
        <v>June</v>
      </c>
      <c r="I2207" s="4" t="str">
        <f t="shared" si="139"/>
        <v>2016</v>
      </c>
      <c r="J2207" s="10" t="s">
        <v>9</v>
      </c>
    </row>
    <row r="2208" spans="1:10" x14ac:dyDescent="0.35">
      <c r="A2208" s="9" t="s">
        <v>3801</v>
      </c>
      <c r="B2208" s="3">
        <v>6</v>
      </c>
      <c r="C2208" s="4" t="str">
        <f t="shared" si="136"/>
        <v>Neutral</v>
      </c>
      <c r="D2208" s="3" t="s">
        <v>4269</v>
      </c>
      <c r="E2208" s="3" t="s">
        <v>4270</v>
      </c>
      <c r="F2208" s="5" t="s">
        <v>4259</v>
      </c>
      <c r="G2208" s="4" t="str">
        <f t="shared" si="137"/>
        <v>15th</v>
      </c>
      <c r="H2208" s="4" t="str">
        <f t="shared" si="138"/>
        <v>June</v>
      </c>
      <c r="I2208" s="4" t="str">
        <f t="shared" si="139"/>
        <v>2016</v>
      </c>
      <c r="J2208" s="10" t="s">
        <v>9</v>
      </c>
    </row>
    <row r="2209" spans="1:10" x14ac:dyDescent="0.35">
      <c r="A2209" s="9" t="s">
        <v>3801</v>
      </c>
      <c r="B2209" s="3">
        <v>10</v>
      </c>
      <c r="C2209" s="4" t="str">
        <f t="shared" si="136"/>
        <v>Good</v>
      </c>
      <c r="D2209" s="3" t="s">
        <v>1955</v>
      </c>
      <c r="E2209" s="3" t="s">
        <v>4271</v>
      </c>
      <c r="F2209" s="5" t="s">
        <v>4259</v>
      </c>
      <c r="G2209" s="4" t="str">
        <f t="shared" si="137"/>
        <v>15th</v>
      </c>
      <c r="H2209" s="4" t="str">
        <f t="shared" si="138"/>
        <v>June</v>
      </c>
      <c r="I2209" s="4" t="str">
        <f t="shared" si="139"/>
        <v>2016</v>
      </c>
      <c r="J2209" s="10" t="s">
        <v>9</v>
      </c>
    </row>
    <row r="2210" spans="1:10" x14ac:dyDescent="0.35">
      <c r="A2210" s="9" t="s">
        <v>3801</v>
      </c>
      <c r="B2210" s="3">
        <v>8</v>
      </c>
      <c r="C2210" s="4" t="str">
        <f t="shared" si="136"/>
        <v>Good</v>
      </c>
      <c r="D2210" s="3" t="s">
        <v>4272</v>
      </c>
      <c r="E2210" s="3" t="s">
        <v>4273</v>
      </c>
      <c r="F2210" s="5" t="s">
        <v>4259</v>
      </c>
      <c r="G2210" s="4" t="str">
        <f t="shared" si="137"/>
        <v>15th</v>
      </c>
      <c r="H2210" s="4" t="str">
        <f t="shared" si="138"/>
        <v>June</v>
      </c>
      <c r="I2210" s="4" t="str">
        <f t="shared" si="139"/>
        <v>2016</v>
      </c>
      <c r="J2210" s="10" t="s">
        <v>9</v>
      </c>
    </row>
    <row r="2211" spans="1:10" x14ac:dyDescent="0.35">
      <c r="A2211" s="14" t="s">
        <v>3801</v>
      </c>
      <c r="B2211" s="15">
        <v>10</v>
      </c>
      <c r="C2211" s="16" t="str">
        <f t="shared" si="136"/>
        <v>Good</v>
      </c>
      <c r="D2211" s="15" t="s">
        <v>3805</v>
      </c>
      <c r="E2211" s="15" t="s">
        <v>4228</v>
      </c>
      <c r="F2211" s="17" t="s">
        <v>4259</v>
      </c>
      <c r="G2211" s="16" t="str">
        <f t="shared" si="137"/>
        <v>15th</v>
      </c>
      <c r="H2211" s="16" t="str">
        <f t="shared" si="138"/>
        <v>June</v>
      </c>
      <c r="I2211" s="16" t="str">
        <f t="shared" si="139"/>
        <v>2016</v>
      </c>
      <c r="J2211" s="18" t="s">
        <v>9</v>
      </c>
    </row>
    <row r="2212" spans="1:10" x14ac:dyDescent="0.35">
      <c r="A2212" s="14">
        <f>COUNTA(A2:A2211)</f>
        <v>2210</v>
      </c>
      <c r="B2212" s="19"/>
      <c r="C2212" s="16"/>
      <c r="D2212" s="15"/>
      <c r="E2212" s="15"/>
      <c r="F2212" s="17"/>
      <c r="G2212" s="16"/>
      <c r="H2212" s="16"/>
      <c r="I2212" s="16"/>
      <c r="J2212" s="18"/>
    </row>
    <row r="2213" spans="1:10" x14ac:dyDescent="0.35">
      <c r="I2213" s="1" t="s">
        <v>9</v>
      </c>
      <c r="J2213" s="1" cm="1">
        <f t="array" ref="J2213:J4423">COUNTIF(I2213,Table1[[#Headers],[#Data],[Recommond]])</f>
        <v>0</v>
      </c>
    </row>
    <row r="2214" spans="1:10" x14ac:dyDescent="0.35">
      <c r="J2214" s="1">
        <v>1</v>
      </c>
    </row>
    <row r="2215" spans="1:10" x14ac:dyDescent="0.35">
      <c r="J2215" s="1">
        <v>0</v>
      </c>
    </row>
    <row r="2216" spans="1:10" x14ac:dyDescent="0.35">
      <c r="J2216" s="1">
        <v>1</v>
      </c>
    </row>
    <row r="2217" spans="1:10" x14ac:dyDescent="0.35">
      <c r="J2217" s="1">
        <v>0</v>
      </c>
    </row>
    <row r="2218" spans="1:10" x14ac:dyDescent="0.35">
      <c r="J2218" s="1">
        <v>1</v>
      </c>
    </row>
    <row r="2219" spans="1:10" x14ac:dyDescent="0.35">
      <c r="J2219" s="1">
        <v>1</v>
      </c>
    </row>
    <row r="2220" spans="1:10" x14ac:dyDescent="0.35">
      <c r="J2220" s="1">
        <v>1</v>
      </c>
    </row>
    <row r="2221" spans="1:10" x14ac:dyDescent="0.35">
      <c r="J2221" s="1">
        <v>1</v>
      </c>
    </row>
    <row r="2222" spans="1:10" x14ac:dyDescent="0.35">
      <c r="J2222" s="1">
        <v>0</v>
      </c>
    </row>
    <row r="2223" spans="1:10" x14ac:dyDescent="0.35">
      <c r="J2223" s="1">
        <v>1</v>
      </c>
    </row>
    <row r="2224" spans="1:10" x14ac:dyDescent="0.35">
      <c r="J2224" s="1">
        <v>1</v>
      </c>
    </row>
    <row r="2225" spans="10:10" x14ac:dyDescent="0.35">
      <c r="J2225" s="1">
        <v>1</v>
      </c>
    </row>
    <row r="2226" spans="10:10" x14ac:dyDescent="0.35">
      <c r="J2226" s="1">
        <v>1</v>
      </c>
    </row>
    <row r="2227" spans="10:10" x14ac:dyDescent="0.35">
      <c r="J2227" s="1">
        <v>0</v>
      </c>
    </row>
    <row r="2228" spans="10:10" x14ac:dyDescent="0.35">
      <c r="J2228" s="1">
        <v>0</v>
      </c>
    </row>
    <row r="2229" spans="10:10" x14ac:dyDescent="0.35">
      <c r="J2229" s="1">
        <v>0</v>
      </c>
    </row>
    <row r="2230" spans="10:10" x14ac:dyDescent="0.35">
      <c r="J2230" s="1">
        <v>0</v>
      </c>
    </row>
    <row r="2231" spans="10:10" x14ac:dyDescent="0.35">
      <c r="J2231" s="1">
        <v>0</v>
      </c>
    </row>
    <row r="2232" spans="10:10" x14ac:dyDescent="0.35">
      <c r="J2232" s="1">
        <v>0</v>
      </c>
    </row>
    <row r="2233" spans="10:10" x14ac:dyDescent="0.35">
      <c r="J2233" s="1">
        <v>1</v>
      </c>
    </row>
    <row r="2234" spans="10:10" x14ac:dyDescent="0.35">
      <c r="J2234" s="1">
        <v>1</v>
      </c>
    </row>
    <row r="2235" spans="10:10" x14ac:dyDescent="0.35">
      <c r="J2235" s="1">
        <v>1</v>
      </c>
    </row>
    <row r="2236" spans="10:10" x14ac:dyDescent="0.35">
      <c r="J2236" s="1">
        <v>0</v>
      </c>
    </row>
    <row r="2237" spans="10:10" x14ac:dyDescent="0.35">
      <c r="J2237" s="1">
        <v>1</v>
      </c>
    </row>
    <row r="2238" spans="10:10" x14ac:dyDescent="0.35">
      <c r="J2238" s="1">
        <v>1</v>
      </c>
    </row>
    <row r="2239" spans="10:10" x14ac:dyDescent="0.35">
      <c r="J2239" s="1">
        <v>0</v>
      </c>
    </row>
    <row r="2240" spans="10:10" x14ac:dyDescent="0.35">
      <c r="J2240" s="1">
        <v>1</v>
      </c>
    </row>
    <row r="2241" spans="10:10" x14ac:dyDescent="0.35">
      <c r="J2241" s="1">
        <v>0</v>
      </c>
    </row>
    <row r="2242" spans="10:10" x14ac:dyDescent="0.35">
      <c r="J2242" s="1">
        <v>1</v>
      </c>
    </row>
    <row r="2243" spans="10:10" x14ac:dyDescent="0.35">
      <c r="J2243" s="1">
        <v>1</v>
      </c>
    </row>
    <row r="2244" spans="10:10" x14ac:dyDescent="0.35">
      <c r="J2244" s="1">
        <v>0</v>
      </c>
    </row>
    <row r="2245" spans="10:10" x14ac:dyDescent="0.35">
      <c r="J2245" s="1">
        <v>0</v>
      </c>
    </row>
    <row r="2246" spans="10:10" x14ac:dyDescent="0.35">
      <c r="J2246" s="1">
        <v>0</v>
      </c>
    </row>
    <row r="2247" spans="10:10" x14ac:dyDescent="0.35">
      <c r="J2247" s="1">
        <v>0</v>
      </c>
    </row>
    <row r="2248" spans="10:10" x14ac:dyDescent="0.35">
      <c r="J2248" s="1">
        <v>0</v>
      </c>
    </row>
    <row r="2249" spans="10:10" x14ac:dyDescent="0.35">
      <c r="J2249" s="1">
        <v>0</v>
      </c>
    </row>
    <row r="2250" spans="10:10" x14ac:dyDescent="0.35">
      <c r="J2250" s="1">
        <v>1</v>
      </c>
    </row>
    <row r="2251" spans="10:10" x14ac:dyDescent="0.35">
      <c r="J2251" s="1">
        <v>0</v>
      </c>
    </row>
    <row r="2252" spans="10:10" x14ac:dyDescent="0.35">
      <c r="J2252" s="1">
        <v>1</v>
      </c>
    </row>
    <row r="2253" spans="10:10" x14ac:dyDescent="0.35">
      <c r="J2253" s="1">
        <v>0</v>
      </c>
    </row>
    <row r="2254" spans="10:10" x14ac:dyDescent="0.35">
      <c r="J2254" s="1">
        <v>0</v>
      </c>
    </row>
    <row r="2255" spans="10:10" x14ac:dyDescent="0.35">
      <c r="J2255" s="1">
        <v>0</v>
      </c>
    </row>
    <row r="2256" spans="10:10" x14ac:dyDescent="0.35">
      <c r="J2256" s="1">
        <v>0</v>
      </c>
    </row>
    <row r="2257" spans="10:10" x14ac:dyDescent="0.35">
      <c r="J2257" s="1">
        <v>0</v>
      </c>
    </row>
    <row r="2258" spans="10:10" x14ac:dyDescent="0.35">
      <c r="J2258" s="1">
        <v>1</v>
      </c>
    </row>
    <row r="2259" spans="10:10" x14ac:dyDescent="0.35">
      <c r="J2259" s="1">
        <v>0</v>
      </c>
    </row>
    <row r="2260" spans="10:10" x14ac:dyDescent="0.35">
      <c r="J2260" s="1">
        <v>1</v>
      </c>
    </row>
    <row r="2261" spans="10:10" x14ac:dyDescent="0.35">
      <c r="J2261" s="1">
        <v>0</v>
      </c>
    </row>
    <row r="2262" spans="10:10" x14ac:dyDescent="0.35">
      <c r="J2262" s="1">
        <v>0</v>
      </c>
    </row>
    <row r="2263" spans="10:10" x14ac:dyDescent="0.35">
      <c r="J2263" s="1">
        <v>1</v>
      </c>
    </row>
    <row r="2264" spans="10:10" x14ac:dyDescent="0.35">
      <c r="J2264" s="1">
        <v>1</v>
      </c>
    </row>
    <row r="2265" spans="10:10" x14ac:dyDescent="0.35">
      <c r="J2265" s="1">
        <v>1</v>
      </c>
    </row>
    <row r="2266" spans="10:10" x14ac:dyDescent="0.35">
      <c r="J2266" s="1">
        <v>0</v>
      </c>
    </row>
    <row r="2267" spans="10:10" x14ac:dyDescent="0.35">
      <c r="J2267" s="1">
        <v>0</v>
      </c>
    </row>
    <row r="2268" spans="10:10" x14ac:dyDescent="0.35">
      <c r="J2268" s="1">
        <v>0</v>
      </c>
    </row>
    <row r="2269" spans="10:10" x14ac:dyDescent="0.35">
      <c r="J2269" s="1">
        <v>0</v>
      </c>
    </row>
    <row r="2270" spans="10:10" x14ac:dyDescent="0.35">
      <c r="J2270" s="1">
        <v>0</v>
      </c>
    </row>
    <row r="2271" spans="10:10" x14ac:dyDescent="0.35">
      <c r="J2271" s="1">
        <v>0</v>
      </c>
    </row>
    <row r="2272" spans="10:10" x14ac:dyDescent="0.35">
      <c r="J2272" s="1">
        <v>0</v>
      </c>
    </row>
    <row r="2273" spans="10:10" x14ac:dyDescent="0.35">
      <c r="J2273" s="1">
        <v>1</v>
      </c>
    </row>
    <row r="2274" spans="10:10" x14ac:dyDescent="0.35">
      <c r="J2274" s="1">
        <v>0</v>
      </c>
    </row>
    <row r="2275" spans="10:10" x14ac:dyDescent="0.35">
      <c r="J2275" s="1">
        <v>1</v>
      </c>
    </row>
    <row r="2276" spans="10:10" x14ac:dyDescent="0.35">
      <c r="J2276" s="1">
        <v>0</v>
      </c>
    </row>
    <row r="2277" spans="10:10" x14ac:dyDescent="0.35">
      <c r="J2277" s="1">
        <v>0</v>
      </c>
    </row>
    <row r="2278" spans="10:10" x14ac:dyDescent="0.35">
      <c r="J2278" s="1">
        <v>0</v>
      </c>
    </row>
    <row r="2279" spans="10:10" x14ac:dyDescent="0.35">
      <c r="J2279" s="1">
        <v>0</v>
      </c>
    </row>
    <row r="2280" spans="10:10" x14ac:dyDescent="0.35">
      <c r="J2280" s="1">
        <v>0</v>
      </c>
    </row>
    <row r="2281" spans="10:10" x14ac:dyDescent="0.35">
      <c r="J2281" s="1">
        <v>0</v>
      </c>
    </row>
    <row r="2282" spans="10:10" x14ac:dyDescent="0.35">
      <c r="J2282" s="1">
        <v>0</v>
      </c>
    </row>
    <row r="2283" spans="10:10" x14ac:dyDescent="0.35">
      <c r="J2283" s="1">
        <v>0</v>
      </c>
    </row>
    <row r="2284" spans="10:10" x14ac:dyDescent="0.35">
      <c r="J2284" s="1">
        <v>0</v>
      </c>
    </row>
    <row r="2285" spans="10:10" x14ac:dyDescent="0.35">
      <c r="J2285" s="1">
        <v>1</v>
      </c>
    </row>
    <row r="2286" spans="10:10" x14ac:dyDescent="0.35">
      <c r="J2286" s="1">
        <v>1</v>
      </c>
    </row>
    <row r="2287" spans="10:10" x14ac:dyDescent="0.35">
      <c r="J2287" s="1">
        <v>1</v>
      </c>
    </row>
    <row r="2288" spans="10:10" x14ac:dyDescent="0.35">
      <c r="J2288" s="1">
        <v>0</v>
      </c>
    </row>
    <row r="2289" spans="10:10" x14ac:dyDescent="0.35">
      <c r="J2289" s="1">
        <v>0</v>
      </c>
    </row>
    <row r="2290" spans="10:10" x14ac:dyDescent="0.35">
      <c r="J2290" s="1">
        <v>0</v>
      </c>
    </row>
    <row r="2291" spans="10:10" x14ac:dyDescent="0.35">
      <c r="J2291" s="1">
        <v>0</v>
      </c>
    </row>
    <row r="2292" spans="10:10" x14ac:dyDescent="0.35">
      <c r="J2292" s="1">
        <v>0</v>
      </c>
    </row>
    <row r="2293" spans="10:10" x14ac:dyDescent="0.35">
      <c r="J2293" s="1">
        <v>0</v>
      </c>
    </row>
    <row r="2294" spans="10:10" x14ac:dyDescent="0.35">
      <c r="J2294" s="1">
        <v>0</v>
      </c>
    </row>
    <row r="2295" spans="10:10" x14ac:dyDescent="0.35">
      <c r="J2295" s="1">
        <v>1</v>
      </c>
    </row>
    <row r="2296" spans="10:10" x14ac:dyDescent="0.35">
      <c r="J2296" s="1">
        <v>0</v>
      </c>
    </row>
    <row r="2297" spans="10:10" x14ac:dyDescent="0.35">
      <c r="J2297" s="1">
        <v>0</v>
      </c>
    </row>
    <row r="2298" spans="10:10" x14ac:dyDescent="0.35">
      <c r="J2298" s="1">
        <v>0</v>
      </c>
    </row>
    <row r="2299" spans="10:10" x14ac:dyDescent="0.35">
      <c r="J2299" s="1">
        <v>0</v>
      </c>
    </row>
    <row r="2300" spans="10:10" x14ac:dyDescent="0.35">
      <c r="J2300" s="1">
        <v>0</v>
      </c>
    </row>
    <row r="2301" spans="10:10" x14ac:dyDescent="0.35">
      <c r="J2301" s="1">
        <v>1</v>
      </c>
    </row>
    <row r="2302" spans="10:10" x14ac:dyDescent="0.35">
      <c r="J2302" s="1">
        <v>0</v>
      </c>
    </row>
    <row r="2303" spans="10:10" x14ac:dyDescent="0.35">
      <c r="J2303" s="1">
        <v>1</v>
      </c>
    </row>
    <row r="2304" spans="10:10" x14ac:dyDescent="0.35">
      <c r="J2304" s="1">
        <v>0</v>
      </c>
    </row>
    <row r="2305" spans="10:10" x14ac:dyDescent="0.35">
      <c r="J2305" s="1">
        <v>1</v>
      </c>
    </row>
    <row r="2306" spans="10:10" x14ac:dyDescent="0.35">
      <c r="J2306" s="1">
        <v>0</v>
      </c>
    </row>
    <row r="2307" spans="10:10" x14ac:dyDescent="0.35">
      <c r="J2307" s="1">
        <v>0</v>
      </c>
    </row>
    <row r="2308" spans="10:10" x14ac:dyDescent="0.35">
      <c r="J2308" s="1">
        <v>0</v>
      </c>
    </row>
    <row r="2309" spans="10:10" x14ac:dyDescent="0.35">
      <c r="J2309" s="1">
        <v>0</v>
      </c>
    </row>
    <row r="2310" spans="10:10" x14ac:dyDescent="0.35">
      <c r="J2310" s="1">
        <v>1</v>
      </c>
    </row>
    <row r="2311" spans="10:10" x14ac:dyDescent="0.35">
      <c r="J2311" s="1">
        <v>0</v>
      </c>
    </row>
    <row r="2312" spans="10:10" x14ac:dyDescent="0.35">
      <c r="J2312" s="1">
        <v>0</v>
      </c>
    </row>
    <row r="2313" spans="10:10" x14ac:dyDescent="0.35">
      <c r="J2313" s="1">
        <v>0</v>
      </c>
    </row>
    <row r="2314" spans="10:10" x14ac:dyDescent="0.35">
      <c r="J2314" s="1">
        <v>0</v>
      </c>
    </row>
    <row r="2315" spans="10:10" x14ac:dyDescent="0.35">
      <c r="J2315" s="1">
        <v>0</v>
      </c>
    </row>
    <row r="2316" spans="10:10" x14ac:dyDescent="0.35">
      <c r="J2316" s="1">
        <v>1</v>
      </c>
    </row>
    <row r="2317" spans="10:10" x14ac:dyDescent="0.35">
      <c r="J2317" s="1">
        <v>0</v>
      </c>
    </row>
    <row r="2318" spans="10:10" x14ac:dyDescent="0.35">
      <c r="J2318" s="1">
        <v>1</v>
      </c>
    </row>
    <row r="2319" spans="10:10" x14ac:dyDescent="0.35">
      <c r="J2319" s="1">
        <v>1</v>
      </c>
    </row>
    <row r="2320" spans="10:10" x14ac:dyDescent="0.35">
      <c r="J2320" s="1">
        <v>0</v>
      </c>
    </row>
    <row r="2321" spans="10:10" x14ac:dyDescent="0.35">
      <c r="J2321" s="1">
        <v>1</v>
      </c>
    </row>
    <row r="2322" spans="10:10" x14ac:dyDescent="0.35">
      <c r="J2322" s="1">
        <v>0</v>
      </c>
    </row>
    <row r="2323" spans="10:10" x14ac:dyDescent="0.35">
      <c r="J2323" s="1">
        <v>0</v>
      </c>
    </row>
    <row r="2324" spans="10:10" x14ac:dyDescent="0.35">
      <c r="J2324" s="1">
        <v>0</v>
      </c>
    </row>
    <row r="2325" spans="10:10" x14ac:dyDescent="0.35">
      <c r="J2325" s="1">
        <v>0</v>
      </c>
    </row>
    <row r="2326" spans="10:10" x14ac:dyDescent="0.35">
      <c r="J2326" s="1">
        <v>1</v>
      </c>
    </row>
    <row r="2327" spans="10:10" x14ac:dyDescent="0.35">
      <c r="J2327" s="1">
        <v>0</v>
      </c>
    </row>
    <row r="2328" spans="10:10" x14ac:dyDescent="0.35">
      <c r="J2328" s="1">
        <v>0</v>
      </c>
    </row>
    <row r="2329" spans="10:10" x14ac:dyDescent="0.35">
      <c r="J2329" s="1">
        <v>0</v>
      </c>
    </row>
    <row r="2330" spans="10:10" x14ac:dyDescent="0.35">
      <c r="J2330" s="1">
        <v>0</v>
      </c>
    </row>
    <row r="2331" spans="10:10" x14ac:dyDescent="0.35">
      <c r="J2331" s="1">
        <v>0</v>
      </c>
    </row>
    <row r="2332" spans="10:10" x14ac:dyDescent="0.35">
      <c r="J2332" s="1">
        <v>0</v>
      </c>
    </row>
    <row r="2333" spans="10:10" x14ac:dyDescent="0.35">
      <c r="J2333" s="1">
        <v>1</v>
      </c>
    </row>
    <row r="2334" spans="10:10" x14ac:dyDescent="0.35">
      <c r="J2334" s="1">
        <v>1</v>
      </c>
    </row>
    <row r="2335" spans="10:10" x14ac:dyDescent="0.35">
      <c r="J2335" s="1">
        <v>0</v>
      </c>
    </row>
    <row r="2336" spans="10:10" x14ac:dyDescent="0.35">
      <c r="J2336" s="1">
        <v>0</v>
      </c>
    </row>
    <row r="2337" spans="10:10" x14ac:dyDescent="0.35">
      <c r="J2337" s="1">
        <v>0</v>
      </c>
    </row>
    <row r="2338" spans="10:10" x14ac:dyDescent="0.35">
      <c r="J2338" s="1">
        <v>0</v>
      </c>
    </row>
    <row r="2339" spans="10:10" x14ac:dyDescent="0.35">
      <c r="J2339" s="1">
        <v>0</v>
      </c>
    </row>
    <row r="2340" spans="10:10" x14ac:dyDescent="0.35">
      <c r="J2340" s="1">
        <v>1</v>
      </c>
    </row>
    <row r="2341" spans="10:10" x14ac:dyDescent="0.35">
      <c r="J2341" s="1">
        <v>1</v>
      </c>
    </row>
    <row r="2342" spans="10:10" x14ac:dyDescent="0.35">
      <c r="J2342" s="1">
        <v>0</v>
      </c>
    </row>
    <row r="2343" spans="10:10" x14ac:dyDescent="0.35">
      <c r="J2343" s="1">
        <v>0</v>
      </c>
    </row>
    <row r="2344" spans="10:10" x14ac:dyDescent="0.35">
      <c r="J2344" s="1">
        <v>0</v>
      </c>
    </row>
    <row r="2345" spans="10:10" x14ac:dyDescent="0.35">
      <c r="J2345" s="1">
        <v>0</v>
      </c>
    </row>
    <row r="2346" spans="10:10" x14ac:dyDescent="0.35">
      <c r="J2346" s="1">
        <v>0</v>
      </c>
    </row>
    <row r="2347" spans="10:10" x14ac:dyDescent="0.35">
      <c r="J2347" s="1">
        <v>0</v>
      </c>
    </row>
    <row r="2348" spans="10:10" x14ac:dyDescent="0.35">
      <c r="J2348" s="1">
        <v>0</v>
      </c>
    </row>
    <row r="2349" spans="10:10" x14ac:dyDescent="0.35">
      <c r="J2349" s="1">
        <v>0</v>
      </c>
    </row>
    <row r="2350" spans="10:10" x14ac:dyDescent="0.35">
      <c r="J2350" s="1">
        <v>1</v>
      </c>
    </row>
    <row r="2351" spans="10:10" x14ac:dyDescent="0.35">
      <c r="J2351" s="1">
        <v>0</v>
      </c>
    </row>
    <row r="2352" spans="10:10" x14ac:dyDescent="0.35">
      <c r="J2352" s="1">
        <v>0</v>
      </c>
    </row>
    <row r="2353" spans="10:10" x14ac:dyDescent="0.35">
      <c r="J2353" s="1">
        <v>0</v>
      </c>
    </row>
    <row r="2354" spans="10:10" x14ac:dyDescent="0.35">
      <c r="J2354" s="1">
        <v>0</v>
      </c>
    </row>
    <row r="2355" spans="10:10" x14ac:dyDescent="0.35">
      <c r="J2355" s="1">
        <v>0</v>
      </c>
    </row>
    <row r="2356" spans="10:10" x14ac:dyDescent="0.35">
      <c r="J2356" s="1">
        <v>0</v>
      </c>
    </row>
    <row r="2357" spans="10:10" x14ac:dyDescent="0.35">
      <c r="J2357" s="1">
        <v>0</v>
      </c>
    </row>
    <row r="2358" spans="10:10" x14ac:dyDescent="0.35">
      <c r="J2358" s="1">
        <v>0</v>
      </c>
    </row>
    <row r="2359" spans="10:10" x14ac:dyDescent="0.35">
      <c r="J2359" s="1">
        <v>0</v>
      </c>
    </row>
    <row r="2360" spans="10:10" x14ac:dyDescent="0.35">
      <c r="J2360" s="1">
        <v>0</v>
      </c>
    </row>
    <row r="2361" spans="10:10" x14ac:dyDescent="0.35">
      <c r="J2361" s="1">
        <v>0</v>
      </c>
    </row>
    <row r="2362" spans="10:10" x14ac:dyDescent="0.35">
      <c r="J2362" s="1">
        <v>0</v>
      </c>
    </row>
    <row r="2363" spans="10:10" x14ac:dyDescent="0.35">
      <c r="J2363" s="1">
        <v>0</v>
      </c>
    </row>
    <row r="2364" spans="10:10" x14ac:dyDescent="0.35">
      <c r="J2364" s="1">
        <v>0</v>
      </c>
    </row>
    <row r="2365" spans="10:10" x14ac:dyDescent="0.35">
      <c r="J2365" s="1">
        <v>0</v>
      </c>
    </row>
    <row r="2366" spans="10:10" x14ac:dyDescent="0.35">
      <c r="J2366" s="1">
        <v>0</v>
      </c>
    </row>
    <row r="2367" spans="10:10" x14ac:dyDescent="0.35">
      <c r="J2367" s="1">
        <v>0</v>
      </c>
    </row>
    <row r="2368" spans="10:10" x14ac:dyDescent="0.35">
      <c r="J2368" s="1">
        <v>0</v>
      </c>
    </row>
    <row r="2369" spans="10:10" x14ac:dyDescent="0.35">
      <c r="J2369" s="1">
        <v>0</v>
      </c>
    </row>
    <row r="2370" spans="10:10" x14ac:dyDescent="0.35">
      <c r="J2370" s="1">
        <v>0</v>
      </c>
    </row>
    <row r="2371" spans="10:10" x14ac:dyDescent="0.35">
      <c r="J2371" s="1">
        <v>0</v>
      </c>
    </row>
    <row r="2372" spans="10:10" x14ac:dyDescent="0.35">
      <c r="J2372" s="1">
        <v>1</v>
      </c>
    </row>
    <row r="2373" spans="10:10" x14ac:dyDescent="0.35">
      <c r="J2373" s="1">
        <v>0</v>
      </c>
    </row>
    <row r="2374" spans="10:10" x14ac:dyDescent="0.35">
      <c r="J2374" s="1">
        <v>0</v>
      </c>
    </row>
    <row r="2375" spans="10:10" x14ac:dyDescent="0.35">
      <c r="J2375" s="1">
        <v>1</v>
      </c>
    </row>
    <row r="2376" spans="10:10" x14ac:dyDescent="0.35">
      <c r="J2376" s="1">
        <v>0</v>
      </c>
    </row>
    <row r="2377" spans="10:10" x14ac:dyDescent="0.35">
      <c r="J2377" s="1">
        <v>0</v>
      </c>
    </row>
    <row r="2378" spans="10:10" x14ac:dyDescent="0.35">
      <c r="J2378" s="1">
        <v>0</v>
      </c>
    </row>
    <row r="2379" spans="10:10" x14ac:dyDescent="0.35">
      <c r="J2379" s="1">
        <v>0</v>
      </c>
    </row>
    <row r="2380" spans="10:10" x14ac:dyDescent="0.35">
      <c r="J2380" s="1">
        <v>0</v>
      </c>
    </row>
    <row r="2381" spans="10:10" x14ac:dyDescent="0.35">
      <c r="J2381" s="1">
        <v>1</v>
      </c>
    </row>
    <row r="2382" spans="10:10" x14ac:dyDescent="0.35">
      <c r="J2382" s="1">
        <v>0</v>
      </c>
    </row>
    <row r="2383" spans="10:10" x14ac:dyDescent="0.35">
      <c r="J2383" s="1">
        <v>0</v>
      </c>
    </row>
    <row r="2384" spans="10:10" x14ac:dyDescent="0.35">
      <c r="J2384" s="1">
        <v>0</v>
      </c>
    </row>
    <row r="2385" spans="10:10" x14ac:dyDescent="0.35">
      <c r="J2385" s="1">
        <v>0</v>
      </c>
    </row>
    <row r="2386" spans="10:10" x14ac:dyDescent="0.35">
      <c r="J2386" s="1">
        <v>0</v>
      </c>
    </row>
    <row r="2387" spans="10:10" x14ac:dyDescent="0.35">
      <c r="J2387" s="1">
        <v>0</v>
      </c>
    </row>
    <row r="2388" spans="10:10" x14ac:dyDescent="0.35">
      <c r="J2388" s="1">
        <v>0</v>
      </c>
    </row>
    <row r="2389" spans="10:10" x14ac:dyDescent="0.35">
      <c r="J2389" s="1">
        <v>0</v>
      </c>
    </row>
    <row r="2390" spans="10:10" x14ac:dyDescent="0.35">
      <c r="J2390" s="1">
        <v>0</v>
      </c>
    </row>
    <row r="2391" spans="10:10" x14ac:dyDescent="0.35">
      <c r="J2391" s="1">
        <v>0</v>
      </c>
    </row>
    <row r="2392" spans="10:10" x14ac:dyDescent="0.35">
      <c r="J2392" s="1">
        <v>0</v>
      </c>
    </row>
    <row r="2393" spans="10:10" x14ac:dyDescent="0.35">
      <c r="J2393" s="1">
        <v>0</v>
      </c>
    </row>
    <row r="2394" spans="10:10" x14ac:dyDescent="0.35">
      <c r="J2394" s="1">
        <v>0</v>
      </c>
    </row>
    <row r="2395" spans="10:10" x14ac:dyDescent="0.35">
      <c r="J2395" s="1">
        <v>0</v>
      </c>
    </row>
    <row r="2396" spans="10:10" x14ac:dyDescent="0.35">
      <c r="J2396" s="1">
        <v>1</v>
      </c>
    </row>
    <row r="2397" spans="10:10" x14ac:dyDescent="0.35">
      <c r="J2397" s="1">
        <v>1</v>
      </c>
    </row>
    <row r="2398" spans="10:10" x14ac:dyDescent="0.35">
      <c r="J2398" s="1">
        <v>0</v>
      </c>
    </row>
    <row r="2399" spans="10:10" x14ac:dyDescent="0.35">
      <c r="J2399" s="1">
        <v>0</v>
      </c>
    </row>
    <row r="2400" spans="10:10" x14ac:dyDescent="0.35">
      <c r="J2400" s="1">
        <v>0</v>
      </c>
    </row>
    <row r="2401" spans="10:10" x14ac:dyDescent="0.35">
      <c r="J2401" s="1">
        <v>1</v>
      </c>
    </row>
    <row r="2402" spans="10:10" x14ac:dyDescent="0.35">
      <c r="J2402" s="1">
        <v>1</v>
      </c>
    </row>
    <row r="2403" spans="10:10" x14ac:dyDescent="0.35">
      <c r="J2403" s="1">
        <v>0</v>
      </c>
    </row>
    <row r="2404" spans="10:10" x14ac:dyDescent="0.35">
      <c r="J2404" s="1">
        <v>1</v>
      </c>
    </row>
    <row r="2405" spans="10:10" x14ac:dyDescent="0.35">
      <c r="J2405" s="1">
        <v>0</v>
      </c>
    </row>
    <row r="2406" spans="10:10" x14ac:dyDescent="0.35">
      <c r="J2406" s="1">
        <v>0</v>
      </c>
    </row>
    <row r="2407" spans="10:10" x14ac:dyDescent="0.35">
      <c r="J2407" s="1">
        <v>0</v>
      </c>
    </row>
    <row r="2408" spans="10:10" x14ac:dyDescent="0.35">
      <c r="J2408" s="1">
        <v>0</v>
      </c>
    </row>
    <row r="2409" spans="10:10" x14ac:dyDescent="0.35">
      <c r="J2409" s="1">
        <v>1</v>
      </c>
    </row>
    <row r="2410" spans="10:10" x14ac:dyDescent="0.35">
      <c r="J2410" s="1">
        <v>0</v>
      </c>
    </row>
    <row r="2411" spans="10:10" x14ac:dyDescent="0.35">
      <c r="J2411" s="1">
        <v>0</v>
      </c>
    </row>
    <row r="2412" spans="10:10" x14ac:dyDescent="0.35">
      <c r="J2412" s="1">
        <v>0</v>
      </c>
    </row>
    <row r="2413" spans="10:10" x14ac:dyDescent="0.35">
      <c r="J2413" s="1">
        <v>0</v>
      </c>
    </row>
    <row r="2414" spans="10:10" x14ac:dyDescent="0.35">
      <c r="J2414" s="1">
        <v>0</v>
      </c>
    </row>
    <row r="2415" spans="10:10" x14ac:dyDescent="0.35">
      <c r="J2415" s="1">
        <v>0</v>
      </c>
    </row>
    <row r="2416" spans="10:10" x14ac:dyDescent="0.35">
      <c r="J2416" s="1">
        <v>0</v>
      </c>
    </row>
    <row r="2417" spans="10:10" x14ac:dyDescent="0.35">
      <c r="J2417" s="1">
        <v>1</v>
      </c>
    </row>
    <row r="2418" spans="10:10" x14ac:dyDescent="0.35">
      <c r="J2418" s="1">
        <v>0</v>
      </c>
    </row>
    <row r="2419" spans="10:10" x14ac:dyDescent="0.35">
      <c r="J2419" s="1">
        <v>1</v>
      </c>
    </row>
    <row r="2420" spans="10:10" x14ac:dyDescent="0.35">
      <c r="J2420" s="1">
        <v>0</v>
      </c>
    </row>
    <row r="2421" spans="10:10" x14ac:dyDescent="0.35">
      <c r="J2421" s="1">
        <v>0</v>
      </c>
    </row>
    <row r="2422" spans="10:10" x14ac:dyDescent="0.35">
      <c r="J2422" s="1">
        <v>0</v>
      </c>
    </row>
    <row r="2423" spans="10:10" x14ac:dyDescent="0.35">
      <c r="J2423" s="1">
        <v>0</v>
      </c>
    </row>
    <row r="2424" spans="10:10" x14ac:dyDescent="0.35">
      <c r="J2424" s="1">
        <v>0</v>
      </c>
    </row>
    <row r="2425" spans="10:10" x14ac:dyDescent="0.35">
      <c r="J2425" s="1">
        <v>0</v>
      </c>
    </row>
    <row r="2426" spans="10:10" x14ac:dyDescent="0.35">
      <c r="J2426" s="1">
        <v>0</v>
      </c>
    </row>
    <row r="2427" spans="10:10" x14ac:dyDescent="0.35">
      <c r="J2427" s="1">
        <v>0</v>
      </c>
    </row>
    <row r="2428" spans="10:10" x14ac:dyDescent="0.35">
      <c r="J2428" s="1">
        <v>0</v>
      </c>
    </row>
    <row r="2429" spans="10:10" x14ac:dyDescent="0.35">
      <c r="J2429" s="1">
        <v>0</v>
      </c>
    </row>
    <row r="2430" spans="10:10" x14ac:dyDescent="0.35">
      <c r="J2430" s="1">
        <v>1</v>
      </c>
    </row>
    <row r="2431" spans="10:10" x14ac:dyDescent="0.35">
      <c r="J2431" s="1">
        <v>0</v>
      </c>
    </row>
    <row r="2432" spans="10:10" x14ac:dyDescent="0.35">
      <c r="J2432" s="1">
        <v>0</v>
      </c>
    </row>
    <row r="2433" spans="10:10" x14ac:dyDescent="0.35">
      <c r="J2433" s="1">
        <v>1</v>
      </c>
    </row>
    <row r="2434" spans="10:10" x14ac:dyDescent="0.35">
      <c r="J2434" s="1">
        <v>1</v>
      </c>
    </row>
    <row r="2435" spans="10:10" x14ac:dyDescent="0.35">
      <c r="J2435" s="1">
        <v>0</v>
      </c>
    </row>
    <row r="2436" spans="10:10" x14ac:dyDescent="0.35">
      <c r="J2436" s="1">
        <v>0</v>
      </c>
    </row>
    <row r="2437" spans="10:10" x14ac:dyDescent="0.35">
      <c r="J2437" s="1">
        <v>0</v>
      </c>
    </row>
    <row r="2438" spans="10:10" x14ac:dyDescent="0.35">
      <c r="J2438" s="1">
        <v>0</v>
      </c>
    </row>
    <row r="2439" spans="10:10" x14ac:dyDescent="0.35">
      <c r="J2439" s="1">
        <v>1</v>
      </c>
    </row>
    <row r="2440" spans="10:10" x14ac:dyDescent="0.35">
      <c r="J2440" s="1">
        <v>0</v>
      </c>
    </row>
    <row r="2441" spans="10:10" x14ac:dyDescent="0.35">
      <c r="J2441" s="1">
        <v>1</v>
      </c>
    </row>
    <row r="2442" spans="10:10" x14ac:dyDescent="0.35">
      <c r="J2442" s="1">
        <v>0</v>
      </c>
    </row>
    <row r="2443" spans="10:10" x14ac:dyDescent="0.35">
      <c r="J2443" s="1">
        <v>1</v>
      </c>
    </row>
    <row r="2444" spans="10:10" x14ac:dyDescent="0.35">
      <c r="J2444" s="1">
        <v>1</v>
      </c>
    </row>
    <row r="2445" spans="10:10" x14ac:dyDescent="0.35">
      <c r="J2445" s="1">
        <v>0</v>
      </c>
    </row>
    <row r="2446" spans="10:10" x14ac:dyDescent="0.35">
      <c r="J2446" s="1">
        <v>0</v>
      </c>
    </row>
    <row r="2447" spans="10:10" x14ac:dyDescent="0.35">
      <c r="J2447" s="1">
        <v>0</v>
      </c>
    </row>
    <row r="2448" spans="10:10" x14ac:dyDescent="0.35">
      <c r="J2448" s="1">
        <v>0</v>
      </c>
    </row>
    <row r="2449" spans="10:10" x14ac:dyDescent="0.35">
      <c r="J2449" s="1">
        <v>0</v>
      </c>
    </row>
    <row r="2450" spans="10:10" x14ac:dyDescent="0.35">
      <c r="J2450" s="1">
        <v>0</v>
      </c>
    </row>
    <row r="2451" spans="10:10" x14ac:dyDescent="0.35">
      <c r="J2451" s="1">
        <v>0</v>
      </c>
    </row>
    <row r="2452" spans="10:10" x14ac:dyDescent="0.35">
      <c r="J2452" s="1">
        <v>0</v>
      </c>
    </row>
    <row r="2453" spans="10:10" x14ac:dyDescent="0.35">
      <c r="J2453" s="1">
        <v>0</v>
      </c>
    </row>
    <row r="2454" spans="10:10" x14ac:dyDescent="0.35">
      <c r="J2454" s="1">
        <v>0</v>
      </c>
    </row>
    <row r="2455" spans="10:10" x14ac:dyDescent="0.35">
      <c r="J2455" s="1">
        <v>0</v>
      </c>
    </row>
    <row r="2456" spans="10:10" x14ac:dyDescent="0.35">
      <c r="J2456" s="1">
        <v>0</v>
      </c>
    </row>
    <row r="2457" spans="10:10" x14ac:dyDescent="0.35">
      <c r="J2457" s="1">
        <v>0</v>
      </c>
    </row>
    <row r="2458" spans="10:10" x14ac:dyDescent="0.35">
      <c r="J2458" s="1">
        <v>0</v>
      </c>
    </row>
    <row r="2459" spans="10:10" x14ac:dyDescent="0.35">
      <c r="J2459" s="1">
        <v>0</v>
      </c>
    </row>
    <row r="2460" spans="10:10" x14ac:dyDescent="0.35">
      <c r="J2460" s="1">
        <v>1</v>
      </c>
    </row>
    <row r="2461" spans="10:10" x14ac:dyDescent="0.35">
      <c r="J2461" s="1">
        <v>0</v>
      </c>
    </row>
    <row r="2462" spans="10:10" x14ac:dyDescent="0.35">
      <c r="J2462" s="1">
        <v>0</v>
      </c>
    </row>
    <row r="2463" spans="10:10" x14ac:dyDescent="0.35">
      <c r="J2463" s="1">
        <v>1</v>
      </c>
    </row>
    <row r="2464" spans="10:10" x14ac:dyDescent="0.35">
      <c r="J2464" s="1">
        <v>0</v>
      </c>
    </row>
    <row r="2465" spans="10:10" x14ac:dyDescent="0.35">
      <c r="J2465" s="1">
        <v>0</v>
      </c>
    </row>
    <row r="2466" spans="10:10" x14ac:dyDescent="0.35">
      <c r="J2466" s="1">
        <v>1</v>
      </c>
    </row>
    <row r="2467" spans="10:10" x14ac:dyDescent="0.35">
      <c r="J2467" s="1">
        <v>0</v>
      </c>
    </row>
    <row r="2468" spans="10:10" x14ac:dyDescent="0.35">
      <c r="J2468" s="1">
        <v>1</v>
      </c>
    </row>
    <row r="2469" spans="10:10" x14ac:dyDescent="0.35">
      <c r="J2469" s="1">
        <v>0</v>
      </c>
    </row>
    <row r="2470" spans="10:10" x14ac:dyDescent="0.35">
      <c r="J2470" s="1">
        <v>0</v>
      </c>
    </row>
    <row r="2471" spans="10:10" x14ac:dyDescent="0.35">
      <c r="J2471" s="1">
        <v>0</v>
      </c>
    </row>
    <row r="2472" spans="10:10" x14ac:dyDescent="0.35">
      <c r="J2472" s="1">
        <v>1</v>
      </c>
    </row>
    <row r="2473" spans="10:10" x14ac:dyDescent="0.35">
      <c r="J2473" s="1">
        <v>0</v>
      </c>
    </row>
    <row r="2474" spans="10:10" x14ac:dyDescent="0.35">
      <c r="J2474" s="1">
        <v>0</v>
      </c>
    </row>
    <row r="2475" spans="10:10" x14ac:dyDescent="0.35">
      <c r="J2475" s="1">
        <v>0</v>
      </c>
    </row>
    <row r="2476" spans="10:10" x14ac:dyDescent="0.35">
      <c r="J2476" s="1">
        <v>0</v>
      </c>
    </row>
    <row r="2477" spans="10:10" x14ac:dyDescent="0.35">
      <c r="J2477" s="1">
        <v>0</v>
      </c>
    </row>
    <row r="2478" spans="10:10" x14ac:dyDescent="0.35">
      <c r="J2478" s="1">
        <v>0</v>
      </c>
    </row>
    <row r="2479" spans="10:10" x14ac:dyDescent="0.35">
      <c r="J2479" s="1">
        <v>0</v>
      </c>
    </row>
    <row r="2480" spans="10:10" x14ac:dyDescent="0.35">
      <c r="J2480" s="1">
        <v>0</v>
      </c>
    </row>
    <row r="2481" spans="10:10" x14ac:dyDescent="0.35">
      <c r="J2481" s="1">
        <v>0</v>
      </c>
    </row>
    <row r="2482" spans="10:10" x14ac:dyDescent="0.35">
      <c r="J2482" s="1">
        <v>0</v>
      </c>
    </row>
    <row r="2483" spans="10:10" x14ac:dyDescent="0.35">
      <c r="J2483" s="1">
        <v>0</v>
      </c>
    </row>
    <row r="2484" spans="10:10" x14ac:dyDescent="0.35">
      <c r="J2484" s="1">
        <v>0</v>
      </c>
    </row>
    <row r="2485" spans="10:10" x14ac:dyDescent="0.35">
      <c r="J2485" s="1">
        <v>0</v>
      </c>
    </row>
    <row r="2486" spans="10:10" x14ac:dyDescent="0.35">
      <c r="J2486" s="1">
        <v>0</v>
      </c>
    </row>
    <row r="2487" spans="10:10" x14ac:dyDescent="0.35">
      <c r="J2487" s="1">
        <v>0</v>
      </c>
    </row>
    <row r="2488" spans="10:10" x14ac:dyDescent="0.35">
      <c r="J2488" s="1">
        <v>0</v>
      </c>
    </row>
    <row r="2489" spans="10:10" x14ac:dyDescent="0.35">
      <c r="J2489" s="1">
        <v>0</v>
      </c>
    </row>
    <row r="2490" spans="10:10" x14ac:dyDescent="0.35">
      <c r="J2490" s="1">
        <v>0</v>
      </c>
    </row>
    <row r="2491" spans="10:10" x14ac:dyDescent="0.35">
      <c r="J2491" s="1">
        <v>0</v>
      </c>
    </row>
    <row r="2492" spans="10:10" x14ac:dyDescent="0.35">
      <c r="J2492" s="1">
        <v>0</v>
      </c>
    </row>
    <row r="2493" spans="10:10" x14ac:dyDescent="0.35">
      <c r="J2493" s="1">
        <v>0</v>
      </c>
    </row>
    <row r="2494" spans="10:10" x14ac:dyDescent="0.35">
      <c r="J2494" s="1">
        <v>0</v>
      </c>
    </row>
    <row r="2495" spans="10:10" x14ac:dyDescent="0.35">
      <c r="J2495" s="1">
        <v>0</v>
      </c>
    </row>
    <row r="2496" spans="10:10" x14ac:dyDescent="0.35">
      <c r="J2496" s="1">
        <v>0</v>
      </c>
    </row>
    <row r="2497" spans="10:10" x14ac:dyDescent="0.35">
      <c r="J2497" s="1">
        <v>0</v>
      </c>
    </row>
    <row r="2498" spans="10:10" x14ac:dyDescent="0.35">
      <c r="J2498" s="1">
        <v>1</v>
      </c>
    </row>
    <row r="2499" spans="10:10" x14ac:dyDescent="0.35">
      <c r="J2499" s="1">
        <v>0</v>
      </c>
    </row>
    <row r="2500" spans="10:10" x14ac:dyDescent="0.35">
      <c r="J2500" s="1">
        <v>0</v>
      </c>
    </row>
    <row r="2501" spans="10:10" x14ac:dyDescent="0.35">
      <c r="J2501" s="1">
        <v>0</v>
      </c>
    </row>
    <row r="2502" spans="10:10" x14ac:dyDescent="0.35">
      <c r="J2502" s="1">
        <v>0</v>
      </c>
    </row>
    <row r="2503" spans="10:10" x14ac:dyDescent="0.35">
      <c r="J2503" s="1">
        <v>1</v>
      </c>
    </row>
    <row r="2504" spans="10:10" x14ac:dyDescent="0.35">
      <c r="J2504" s="1">
        <v>1</v>
      </c>
    </row>
    <row r="2505" spans="10:10" x14ac:dyDescent="0.35">
      <c r="J2505" s="1">
        <v>1</v>
      </c>
    </row>
    <row r="2506" spans="10:10" x14ac:dyDescent="0.35">
      <c r="J2506" s="1">
        <v>0</v>
      </c>
    </row>
    <row r="2507" spans="10:10" x14ac:dyDescent="0.35">
      <c r="J2507" s="1">
        <v>0</v>
      </c>
    </row>
    <row r="2508" spans="10:10" x14ac:dyDescent="0.35">
      <c r="J2508" s="1">
        <v>0</v>
      </c>
    </row>
    <row r="2509" spans="10:10" x14ac:dyDescent="0.35">
      <c r="J2509" s="1">
        <v>0</v>
      </c>
    </row>
    <row r="2510" spans="10:10" x14ac:dyDescent="0.35">
      <c r="J2510" s="1">
        <v>0</v>
      </c>
    </row>
    <row r="2511" spans="10:10" x14ac:dyDescent="0.35">
      <c r="J2511" s="1">
        <v>1</v>
      </c>
    </row>
    <row r="2512" spans="10:10" x14ac:dyDescent="0.35">
      <c r="J2512" s="1">
        <v>0</v>
      </c>
    </row>
    <row r="2513" spans="10:10" x14ac:dyDescent="0.35">
      <c r="J2513" s="1">
        <v>0</v>
      </c>
    </row>
    <row r="2514" spans="10:10" x14ac:dyDescent="0.35">
      <c r="J2514" s="1">
        <v>0</v>
      </c>
    </row>
    <row r="2515" spans="10:10" x14ac:dyDescent="0.35">
      <c r="J2515" s="1">
        <v>0</v>
      </c>
    </row>
    <row r="2516" spans="10:10" x14ac:dyDescent="0.35">
      <c r="J2516" s="1">
        <v>0</v>
      </c>
    </row>
    <row r="2517" spans="10:10" x14ac:dyDescent="0.35">
      <c r="J2517" s="1">
        <v>0</v>
      </c>
    </row>
    <row r="2518" spans="10:10" x14ac:dyDescent="0.35">
      <c r="J2518" s="1">
        <v>0</v>
      </c>
    </row>
    <row r="2519" spans="10:10" x14ac:dyDescent="0.35">
      <c r="J2519" s="1">
        <v>0</v>
      </c>
    </row>
    <row r="2520" spans="10:10" x14ac:dyDescent="0.35">
      <c r="J2520" s="1">
        <v>0</v>
      </c>
    </row>
    <row r="2521" spans="10:10" x14ac:dyDescent="0.35">
      <c r="J2521" s="1">
        <v>0</v>
      </c>
    </row>
    <row r="2522" spans="10:10" x14ac:dyDescent="0.35">
      <c r="J2522" s="1">
        <v>1</v>
      </c>
    </row>
    <row r="2523" spans="10:10" x14ac:dyDescent="0.35">
      <c r="J2523" s="1">
        <v>0</v>
      </c>
    </row>
    <row r="2524" spans="10:10" x14ac:dyDescent="0.35">
      <c r="J2524" s="1">
        <v>0</v>
      </c>
    </row>
    <row r="2525" spans="10:10" x14ac:dyDescent="0.35">
      <c r="J2525" s="1">
        <v>0</v>
      </c>
    </row>
    <row r="2526" spans="10:10" x14ac:dyDescent="0.35">
      <c r="J2526" s="1">
        <v>0</v>
      </c>
    </row>
    <row r="2527" spans="10:10" x14ac:dyDescent="0.35">
      <c r="J2527" s="1">
        <v>1</v>
      </c>
    </row>
    <row r="2528" spans="10:10" x14ac:dyDescent="0.35">
      <c r="J2528" s="1">
        <v>0</v>
      </c>
    </row>
    <row r="2529" spans="10:10" x14ac:dyDescent="0.35">
      <c r="J2529" s="1">
        <v>0</v>
      </c>
    </row>
    <row r="2530" spans="10:10" x14ac:dyDescent="0.35">
      <c r="J2530" s="1">
        <v>0</v>
      </c>
    </row>
    <row r="2531" spans="10:10" x14ac:dyDescent="0.35">
      <c r="J2531" s="1">
        <v>0</v>
      </c>
    </row>
    <row r="2532" spans="10:10" x14ac:dyDescent="0.35">
      <c r="J2532" s="1">
        <v>0</v>
      </c>
    </row>
    <row r="2533" spans="10:10" x14ac:dyDescent="0.35">
      <c r="J2533" s="1">
        <v>0</v>
      </c>
    </row>
    <row r="2534" spans="10:10" x14ac:dyDescent="0.35">
      <c r="J2534" s="1">
        <v>0</v>
      </c>
    </row>
    <row r="2535" spans="10:10" x14ac:dyDescent="0.35">
      <c r="J2535" s="1">
        <v>0</v>
      </c>
    </row>
    <row r="2536" spans="10:10" x14ac:dyDescent="0.35">
      <c r="J2536" s="1">
        <v>1</v>
      </c>
    </row>
    <row r="2537" spans="10:10" x14ac:dyDescent="0.35">
      <c r="J2537" s="1">
        <v>0</v>
      </c>
    </row>
    <row r="2538" spans="10:10" x14ac:dyDescent="0.35">
      <c r="J2538" s="1">
        <v>0</v>
      </c>
    </row>
    <row r="2539" spans="10:10" x14ac:dyDescent="0.35">
      <c r="J2539" s="1">
        <v>0</v>
      </c>
    </row>
    <row r="2540" spans="10:10" x14ac:dyDescent="0.35">
      <c r="J2540" s="1">
        <v>0</v>
      </c>
    </row>
    <row r="2541" spans="10:10" x14ac:dyDescent="0.35">
      <c r="J2541" s="1">
        <v>1</v>
      </c>
    </row>
    <row r="2542" spans="10:10" x14ac:dyDescent="0.35">
      <c r="J2542" s="1">
        <v>0</v>
      </c>
    </row>
    <row r="2543" spans="10:10" x14ac:dyDescent="0.35">
      <c r="J2543" s="1">
        <v>0</v>
      </c>
    </row>
    <row r="2544" spans="10:10" x14ac:dyDescent="0.35">
      <c r="J2544" s="1">
        <v>0</v>
      </c>
    </row>
    <row r="2545" spans="10:10" x14ac:dyDescent="0.35">
      <c r="J2545" s="1">
        <v>0</v>
      </c>
    </row>
    <row r="2546" spans="10:10" x14ac:dyDescent="0.35">
      <c r="J2546" s="1">
        <v>0</v>
      </c>
    </row>
    <row r="2547" spans="10:10" x14ac:dyDescent="0.35">
      <c r="J2547" s="1">
        <v>0</v>
      </c>
    </row>
    <row r="2548" spans="10:10" x14ac:dyDescent="0.35">
      <c r="J2548" s="1">
        <v>0</v>
      </c>
    </row>
    <row r="2549" spans="10:10" x14ac:dyDescent="0.35">
      <c r="J2549" s="1">
        <v>0</v>
      </c>
    </row>
    <row r="2550" spans="10:10" x14ac:dyDescent="0.35">
      <c r="J2550" s="1">
        <v>0</v>
      </c>
    </row>
    <row r="2551" spans="10:10" x14ac:dyDescent="0.35">
      <c r="J2551" s="1">
        <v>1</v>
      </c>
    </row>
    <row r="2552" spans="10:10" x14ac:dyDescent="0.35">
      <c r="J2552" s="1">
        <v>0</v>
      </c>
    </row>
    <row r="2553" spans="10:10" x14ac:dyDescent="0.35">
      <c r="J2553" s="1">
        <v>0</v>
      </c>
    </row>
    <row r="2554" spans="10:10" x14ac:dyDescent="0.35">
      <c r="J2554" s="1">
        <v>1</v>
      </c>
    </row>
    <row r="2555" spans="10:10" x14ac:dyDescent="0.35">
      <c r="J2555" s="1">
        <v>0</v>
      </c>
    </row>
    <row r="2556" spans="10:10" x14ac:dyDescent="0.35">
      <c r="J2556" s="1">
        <v>0</v>
      </c>
    </row>
    <row r="2557" spans="10:10" x14ac:dyDescent="0.35">
      <c r="J2557" s="1">
        <v>0</v>
      </c>
    </row>
    <row r="2558" spans="10:10" x14ac:dyDescent="0.35">
      <c r="J2558" s="1">
        <v>0</v>
      </c>
    </row>
    <row r="2559" spans="10:10" x14ac:dyDescent="0.35">
      <c r="J2559" s="1">
        <v>1</v>
      </c>
    </row>
    <row r="2560" spans="10:10" x14ac:dyDescent="0.35">
      <c r="J2560" s="1">
        <v>0</v>
      </c>
    </row>
    <row r="2561" spans="10:10" x14ac:dyDescent="0.35">
      <c r="J2561" s="1">
        <v>0</v>
      </c>
    </row>
    <row r="2562" spans="10:10" x14ac:dyDescent="0.35">
      <c r="J2562" s="1">
        <v>0</v>
      </c>
    </row>
    <row r="2563" spans="10:10" x14ac:dyDescent="0.35">
      <c r="J2563" s="1">
        <v>0</v>
      </c>
    </row>
    <row r="2564" spans="10:10" x14ac:dyDescent="0.35">
      <c r="J2564" s="1">
        <v>1</v>
      </c>
    </row>
    <row r="2565" spans="10:10" x14ac:dyDescent="0.35">
      <c r="J2565" s="1">
        <v>0</v>
      </c>
    </row>
    <row r="2566" spans="10:10" x14ac:dyDescent="0.35">
      <c r="J2566" s="1">
        <v>0</v>
      </c>
    </row>
    <row r="2567" spans="10:10" x14ac:dyDescent="0.35">
      <c r="J2567" s="1">
        <v>1</v>
      </c>
    </row>
    <row r="2568" spans="10:10" x14ac:dyDescent="0.35">
      <c r="J2568" s="1">
        <v>0</v>
      </c>
    </row>
    <row r="2569" spans="10:10" x14ac:dyDescent="0.35">
      <c r="J2569" s="1">
        <v>0</v>
      </c>
    </row>
    <row r="2570" spans="10:10" x14ac:dyDescent="0.35">
      <c r="J2570" s="1">
        <v>1</v>
      </c>
    </row>
    <row r="2571" spans="10:10" x14ac:dyDescent="0.35">
      <c r="J2571" s="1">
        <v>0</v>
      </c>
    </row>
    <row r="2572" spans="10:10" x14ac:dyDescent="0.35">
      <c r="J2572" s="1">
        <v>0</v>
      </c>
    </row>
    <row r="2573" spans="10:10" x14ac:dyDescent="0.35">
      <c r="J2573" s="1">
        <v>0</v>
      </c>
    </row>
    <row r="2574" spans="10:10" x14ac:dyDescent="0.35">
      <c r="J2574" s="1">
        <v>0</v>
      </c>
    </row>
    <row r="2575" spans="10:10" x14ac:dyDescent="0.35">
      <c r="J2575" s="1">
        <v>0</v>
      </c>
    </row>
    <row r="2576" spans="10:10" x14ac:dyDescent="0.35">
      <c r="J2576" s="1">
        <v>0</v>
      </c>
    </row>
    <row r="2577" spans="10:10" x14ac:dyDescent="0.35">
      <c r="J2577" s="1">
        <v>1</v>
      </c>
    </row>
    <row r="2578" spans="10:10" x14ac:dyDescent="0.35">
      <c r="J2578" s="1">
        <v>0</v>
      </c>
    </row>
    <row r="2579" spans="10:10" x14ac:dyDescent="0.35">
      <c r="J2579" s="1">
        <v>0</v>
      </c>
    </row>
    <row r="2580" spans="10:10" x14ac:dyDescent="0.35">
      <c r="J2580" s="1">
        <v>0</v>
      </c>
    </row>
    <row r="2581" spans="10:10" x14ac:dyDescent="0.35">
      <c r="J2581" s="1">
        <v>0</v>
      </c>
    </row>
    <row r="2582" spans="10:10" x14ac:dyDescent="0.35">
      <c r="J2582" s="1">
        <v>1</v>
      </c>
    </row>
    <row r="2583" spans="10:10" x14ac:dyDescent="0.35">
      <c r="J2583" s="1">
        <v>0</v>
      </c>
    </row>
    <row r="2584" spans="10:10" x14ac:dyDescent="0.35">
      <c r="J2584" s="1">
        <v>0</v>
      </c>
    </row>
    <row r="2585" spans="10:10" x14ac:dyDescent="0.35">
      <c r="J2585" s="1">
        <v>0</v>
      </c>
    </row>
    <row r="2586" spans="10:10" x14ac:dyDescent="0.35">
      <c r="J2586" s="1">
        <v>0</v>
      </c>
    </row>
    <row r="2587" spans="10:10" x14ac:dyDescent="0.35">
      <c r="J2587" s="1">
        <v>0</v>
      </c>
    </row>
    <row r="2588" spans="10:10" x14ac:dyDescent="0.35">
      <c r="J2588" s="1">
        <v>0</v>
      </c>
    </row>
    <row r="2589" spans="10:10" x14ac:dyDescent="0.35">
      <c r="J2589" s="1">
        <v>0</v>
      </c>
    </row>
    <row r="2590" spans="10:10" x14ac:dyDescent="0.35">
      <c r="J2590" s="1">
        <v>0</v>
      </c>
    </row>
    <row r="2591" spans="10:10" x14ac:dyDescent="0.35">
      <c r="J2591" s="1">
        <v>0</v>
      </c>
    </row>
    <row r="2592" spans="10:10" x14ac:dyDescent="0.35">
      <c r="J2592" s="1">
        <v>0</v>
      </c>
    </row>
    <row r="2593" spans="10:10" x14ac:dyDescent="0.35">
      <c r="J2593" s="1">
        <v>0</v>
      </c>
    </row>
    <row r="2594" spans="10:10" x14ac:dyDescent="0.35">
      <c r="J2594" s="1">
        <v>0</v>
      </c>
    </row>
    <row r="2595" spans="10:10" x14ac:dyDescent="0.35">
      <c r="J2595" s="1">
        <v>0</v>
      </c>
    </row>
    <row r="2596" spans="10:10" x14ac:dyDescent="0.35">
      <c r="J2596" s="1">
        <v>0</v>
      </c>
    </row>
    <row r="2597" spans="10:10" x14ac:dyDescent="0.35">
      <c r="J2597" s="1">
        <v>0</v>
      </c>
    </row>
    <row r="2598" spans="10:10" x14ac:dyDescent="0.35">
      <c r="J2598" s="1">
        <v>0</v>
      </c>
    </row>
    <row r="2599" spans="10:10" x14ac:dyDescent="0.35">
      <c r="J2599" s="1">
        <v>1</v>
      </c>
    </row>
    <row r="2600" spans="10:10" x14ac:dyDescent="0.35">
      <c r="J2600" s="1">
        <v>0</v>
      </c>
    </row>
    <row r="2601" spans="10:10" x14ac:dyDescent="0.35">
      <c r="J2601" s="1">
        <v>0</v>
      </c>
    </row>
    <row r="2602" spans="10:10" x14ac:dyDescent="0.35">
      <c r="J2602" s="1">
        <v>0</v>
      </c>
    </row>
    <row r="2603" spans="10:10" x14ac:dyDescent="0.35">
      <c r="J2603" s="1">
        <v>1</v>
      </c>
    </row>
    <row r="2604" spans="10:10" x14ac:dyDescent="0.35">
      <c r="J2604" s="1">
        <v>1</v>
      </c>
    </row>
    <row r="2605" spans="10:10" x14ac:dyDescent="0.35">
      <c r="J2605" s="1">
        <v>0</v>
      </c>
    </row>
    <row r="2606" spans="10:10" x14ac:dyDescent="0.35">
      <c r="J2606" s="1">
        <v>0</v>
      </c>
    </row>
    <row r="2607" spans="10:10" x14ac:dyDescent="0.35">
      <c r="J2607" s="1">
        <v>0</v>
      </c>
    </row>
    <row r="2608" spans="10:10" x14ac:dyDescent="0.35">
      <c r="J2608" s="1">
        <v>1</v>
      </c>
    </row>
    <row r="2609" spans="10:10" x14ac:dyDescent="0.35">
      <c r="J2609" s="1">
        <v>0</v>
      </c>
    </row>
    <row r="2610" spans="10:10" x14ac:dyDescent="0.35">
      <c r="J2610" s="1">
        <v>0</v>
      </c>
    </row>
    <row r="2611" spans="10:10" x14ac:dyDescent="0.35">
      <c r="J2611" s="1">
        <v>0</v>
      </c>
    </row>
    <row r="2612" spans="10:10" x14ac:dyDescent="0.35">
      <c r="J2612" s="1">
        <v>0</v>
      </c>
    </row>
    <row r="2613" spans="10:10" x14ac:dyDescent="0.35">
      <c r="J2613" s="1">
        <v>1</v>
      </c>
    </row>
    <row r="2614" spans="10:10" x14ac:dyDescent="0.35">
      <c r="J2614" s="1">
        <v>1</v>
      </c>
    </row>
    <row r="2615" spans="10:10" x14ac:dyDescent="0.35">
      <c r="J2615" s="1">
        <v>0</v>
      </c>
    </row>
    <row r="2616" spans="10:10" x14ac:dyDescent="0.35">
      <c r="J2616" s="1">
        <v>0</v>
      </c>
    </row>
    <row r="2617" spans="10:10" x14ac:dyDescent="0.35">
      <c r="J2617" s="1">
        <v>0</v>
      </c>
    </row>
    <row r="2618" spans="10:10" x14ac:dyDescent="0.35">
      <c r="J2618" s="1">
        <v>0</v>
      </c>
    </row>
    <row r="2619" spans="10:10" x14ac:dyDescent="0.35">
      <c r="J2619" s="1">
        <v>1</v>
      </c>
    </row>
    <row r="2620" spans="10:10" x14ac:dyDescent="0.35">
      <c r="J2620" s="1">
        <v>0</v>
      </c>
    </row>
    <row r="2621" spans="10:10" x14ac:dyDescent="0.35">
      <c r="J2621" s="1">
        <v>0</v>
      </c>
    </row>
    <row r="2622" spans="10:10" x14ac:dyDescent="0.35">
      <c r="J2622" s="1">
        <v>0</v>
      </c>
    </row>
    <row r="2623" spans="10:10" x14ac:dyDescent="0.35">
      <c r="J2623" s="1">
        <v>0</v>
      </c>
    </row>
    <row r="2624" spans="10:10" x14ac:dyDescent="0.35">
      <c r="J2624" s="1">
        <v>0</v>
      </c>
    </row>
    <row r="2625" spans="10:10" x14ac:dyDescent="0.35">
      <c r="J2625" s="1">
        <v>0</v>
      </c>
    </row>
    <row r="2626" spans="10:10" x14ac:dyDescent="0.35">
      <c r="J2626" s="1">
        <v>0</v>
      </c>
    </row>
    <row r="2627" spans="10:10" x14ac:dyDescent="0.35">
      <c r="J2627" s="1">
        <v>1</v>
      </c>
    </row>
    <row r="2628" spans="10:10" x14ac:dyDescent="0.35">
      <c r="J2628" s="1">
        <v>0</v>
      </c>
    </row>
    <row r="2629" spans="10:10" x14ac:dyDescent="0.35">
      <c r="J2629" s="1">
        <v>1</v>
      </c>
    </row>
    <row r="2630" spans="10:10" x14ac:dyDescent="0.35">
      <c r="J2630" s="1">
        <v>0</v>
      </c>
    </row>
    <row r="2631" spans="10:10" x14ac:dyDescent="0.35">
      <c r="J2631" s="1">
        <v>1</v>
      </c>
    </row>
    <row r="2632" spans="10:10" x14ac:dyDescent="0.35">
      <c r="J2632" s="1">
        <v>1</v>
      </c>
    </row>
    <row r="2633" spans="10:10" x14ac:dyDescent="0.35">
      <c r="J2633" s="1">
        <v>0</v>
      </c>
    </row>
    <row r="2634" spans="10:10" x14ac:dyDescent="0.35">
      <c r="J2634" s="1">
        <v>0</v>
      </c>
    </row>
    <row r="2635" spans="10:10" x14ac:dyDescent="0.35">
      <c r="J2635" s="1">
        <v>0</v>
      </c>
    </row>
    <row r="2636" spans="10:10" x14ac:dyDescent="0.35">
      <c r="J2636" s="1">
        <v>0</v>
      </c>
    </row>
    <row r="2637" spans="10:10" x14ac:dyDescent="0.35">
      <c r="J2637" s="1">
        <v>0</v>
      </c>
    </row>
    <row r="2638" spans="10:10" x14ac:dyDescent="0.35">
      <c r="J2638" s="1">
        <v>1</v>
      </c>
    </row>
    <row r="2639" spans="10:10" x14ac:dyDescent="0.35">
      <c r="J2639" s="1">
        <v>0</v>
      </c>
    </row>
    <row r="2640" spans="10:10" x14ac:dyDescent="0.35">
      <c r="J2640" s="1">
        <v>0</v>
      </c>
    </row>
    <row r="2641" spans="10:10" x14ac:dyDescent="0.35">
      <c r="J2641" s="1">
        <v>0</v>
      </c>
    </row>
    <row r="2642" spans="10:10" x14ac:dyDescent="0.35">
      <c r="J2642" s="1">
        <v>0</v>
      </c>
    </row>
    <row r="2643" spans="10:10" x14ac:dyDescent="0.35">
      <c r="J2643" s="1">
        <v>1</v>
      </c>
    </row>
    <row r="2644" spans="10:10" x14ac:dyDescent="0.35">
      <c r="J2644" s="1">
        <v>0</v>
      </c>
    </row>
    <row r="2645" spans="10:10" x14ac:dyDescent="0.35">
      <c r="J2645" s="1">
        <v>0</v>
      </c>
    </row>
    <row r="2646" spans="10:10" x14ac:dyDescent="0.35">
      <c r="J2646" s="1">
        <v>0</v>
      </c>
    </row>
    <row r="2647" spans="10:10" x14ac:dyDescent="0.35">
      <c r="J2647" s="1">
        <v>1</v>
      </c>
    </row>
    <row r="2648" spans="10:10" x14ac:dyDescent="0.35">
      <c r="J2648" s="1">
        <v>0</v>
      </c>
    </row>
    <row r="2649" spans="10:10" x14ac:dyDescent="0.35">
      <c r="J2649" s="1">
        <v>1</v>
      </c>
    </row>
    <row r="2650" spans="10:10" x14ac:dyDescent="0.35">
      <c r="J2650" s="1">
        <v>0</v>
      </c>
    </row>
    <row r="2651" spans="10:10" x14ac:dyDescent="0.35">
      <c r="J2651" s="1">
        <v>1</v>
      </c>
    </row>
    <row r="2652" spans="10:10" x14ac:dyDescent="0.35">
      <c r="J2652" s="1">
        <v>0</v>
      </c>
    </row>
    <row r="2653" spans="10:10" x14ac:dyDescent="0.35">
      <c r="J2653" s="1">
        <v>0</v>
      </c>
    </row>
    <row r="2654" spans="10:10" x14ac:dyDescent="0.35">
      <c r="J2654" s="1">
        <v>0</v>
      </c>
    </row>
    <row r="2655" spans="10:10" x14ac:dyDescent="0.35">
      <c r="J2655" s="1">
        <v>0</v>
      </c>
    </row>
    <row r="2656" spans="10:10" x14ac:dyDescent="0.35">
      <c r="J2656" s="1">
        <v>0</v>
      </c>
    </row>
    <row r="2657" spans="10:10" x14ac:dyDescent="0.35">
      <c r="J2657" s="1">
        <v>0</v>
      </c>
    </row>
    <row r="2658" spans="10:10" x14ac:dyDescent="0.35">
      <c r="J2658" s="1">
        <v>0</v>
      </c>
    </row>
    <row r="2659" spans="10:10" x14ac:dyDescent="0.35">
      <c r="J2659" s="1">
        <v>0</v>
      </c>
    </row>
    <row r="2660" spans="10:10" x14ac:dyDescent="0.35">
      <c r="J2660" s="1">
        <v>0</v>
      </c>
    </row>
    <row r="2661" spans="10:10" x14ac:dyDescent="0.35">
      <c r="J2661" s="1">
        <v>0</v>
      </c>
    </row>
    <row r="2662" spans="10:10" x14ac:dyDescent="0.35">
      <c r="J2662" s="1">
        <v>0</v>
      </c>
    </row>
    <row r="2663" spans="10:10" x14ac:dyDescent="0.35">
      <c r="J2663" s="1">
        <v>0</v>
      </c>
    </row>
    <row r="2664" spans="10:10" x14ac:dyDescent="0.35">
      <c r="J2664" s="1">
        <v>0</v>
      </c>
    </row>
    <row r="2665" spans="10:10" x14ac:dyDescent="0.35">
      <c r="J2665" s="1">
        <v>0</v>
      </c>
    </row>
    <row r="2666" spans="10:10" x14ac:dyDescent="0.35">
      <c r="J2666" s="1">
        <v>0</v>
      </c>
    </row>
    <row r="2667" spans="10:10" x14ac:dyDescent="0.35">
      <c r="J2667" s="1">
        <v>0</v>
      </c>
    </row>
    <row r="2668" spans="10:10" x14ac:dyDescent="0.35">
      <c r="J2668" s="1">
        <v>0</v>
      </c>
    </row>
    <row r="2669" spans="10:10" x14ac:dyDescent="0.35">
      <c r="J2669" s="1">
        <v>0</v>
      </c>
    </row>
    <row r="2670" spans="10:10" x14ac:dyDescent="0.35">
      <c r="J2670" s="1">
        <v>0</v>
      </c>
    </row>
    <row r="2671" spans="10:10" x14ac:dyDescent="0.35">
      <c r="J2671" s="1">
        <v>0</v>
      </c>
    </row>
    <row r="2672" spans="10:10" x14ac:dyDescent="0.35">
      <c r="J2672" s="1">
        <v>0</v>
      </c>
    </row>
    <row r="2673" spans="10:10" x14ac:dyDescent="0.35">
      <c r="J2673" s="1">
        <v>1</v>
      </c>
    </row>
    <row r="2674" spans="10:10" x14ac:dyDescent="0.35">
      <c r="J2674" s="1">
        <v>0</v>
      </c>
    </row>
    <row r="2675" spans="10:10" x14ac:dyDescent="0.35">
      <c r="J2675" s="1">
        <v>0</v>
      </c>
    </row>
    <row r="2676" spans="10:10" x14ac:dyDescent="0.35">
      <c r="J2676" s="1">
        <v>0</v>
      </c>
    </row>
    <row r="2677" spans="10:10" x14ac:dyDescent="0.35">
      <c r="J2677" s="1">
        <v>1</v>
      </c>
    </row>
    <row r="2678" spans="10:10" x14ac:dyDescent="0.35">
      <c r="J2678" s="1">
        <v>0</v>
      </c>
    </row>
    <row r="2679" spans="10:10" x14ac:dyDescent="0.35">
      <c r="J2679" s="1">
        <v>0</v>
      </c>
    </row>
    <row r="2680" spans="10:10" x14ac:dyDescent="0.35">
      <c r="J2680" s="1">
        <v>1</v>
      </c>
    </row>
    <row r="2681" spans="10:10" x14ac:dyDescent="0.35">
      <c r="J2681" s="1">
        <v>0</v>
      </c>
    </row>
    <row r="2682" spans="10:10" x14ac:dyDescent="0.35">
      <c r="J2682" s="1">
        <v>0</v>
      </c>
    </row>
    <row r="2683" spans="10:10" x14ac:dyDescent="0.35">
      <c r="J2683" s="1">
        <v>0</v>
      </c>
    </row>
    <row r="2684" spans="10:10" x14ac:dyDescent="0.35">
      <c r="J2684" s="1">
        <v>0</v>
      </c>
    </row>
    <row r="2685" spans="10:10" x14ac:dyDescent="0.35">
      <c r="J2685" s="1">
        <v>0</v>
      </c>
    </row>
    <row r="2686" spans="10:10" x14ac:dyDescent="0.35">
      <c r="J2686" s="1">
        <v>0</v>
      </c>
    </row>
    <row r="2687" spans="10:10" x14ac:dyDescent="0.35">
      <c r="J2687" s="1">
        <v>1</v>
      </c>
    </row>
    <row r="2688" spans="10:10" x14ac:dyDescent="0.35">
      <c r="J2688" s="1">
        <v>0</v>
      </c>
    </row>
    <row r="2689" spans="10:10" x14ac:dyDescent="0.35">
      <c r="J2689" s="1">
        <v>0</v>
      </c>
    </row>
    <row r="2690" spans="10:10" x14ac:dyDescent="0.35">
      <c r="J2690" s="1">
        <v>0</v>
      </c>
    </row>
    <row r="2691" spans="10:10" x14ac:dyDescent="0.35">
      <c r="J2691" s="1">
        <v>0</v>
      </c>
    </row>
    <row r="2692" spans="10:10" x14ac:dyDescent="0.35">
      <c r="J2692" s="1">
        <v>1</v>
      </c>
    </row>
    <row r="2693" spans="10:10" x14ac:dyDescent="0.35">
      <c r="J2693" s="1">
        <v>0</v>
      </c>
    </row>
    <row r="2694" spans="10:10" x14ac:dyDescent="0.35">
      <c r="J2694" s="1">
        <v>0</v>
      </c>
    </row>
    <row r="2695" spans="10:10" x14ac:dyDescent="0.35">
      <c r="J2695" s="1">
        <v>1</v>
      </c>
    </row>
    <row r="2696" spans="10:10" x14ac:dyDescent="0.35">
      <c r="J2696" s="1">
        <v>0</v>
      </c>
    </row>
    <row r="2697" spans="10:10" x14ac:dyDescent="0.35">
      <c r="J2697" s="1">
        <v>0</v>
      </c>
    </row>
    <row r="2698" spans="10:10" x14ac:dyDescent="0.35">
      <c r="J2698" s="1">
        <v>0</v>
      </c>
    </row>
    <row r="2699" spans="10:10" x14ac:dyDescent="0.35">
      <c r="J2699" s="1">
        <v>0</v>
      </c>
    </row>
    <row r="2700" spans="10:10" x14ac:dyDescent="0.35">
      <c r="J2700" s="1">
        <v>0</v>
      </c>
    </row>
    <row r="2701" spans="10:10" x14ac:dyDescent="0.35">
      <c r="J2701" s="1">
        <v>1</v>
      </c>
    </row>
    <row r="2702" spans="10:10" x14ac:dyDescent="0.35">
      <c r="J2702" s="1">
        <v>0</v>
      </c>
    </row>
    <row r="2703" spans="10:10" x14ac:dyDescent="0.35">
      <c r="J2703" s="1">
        <v>1</v>
      </c>
    </row>
    <row r="2704" spans="10:10" x14ac:dyDescent="0.35">
      <c r="J2704" s="1">
        <v>1</v>
      </c>
    </row>
    <row r="2705" spans="10:10" x14ac:dyDescent="0.35">
      <c r="J2705" s="1">
        <v>0</v>
      </c>
    </row>
    <row r="2706" spans="10:10" x14ac:dyDescent="0.35">
      <c r="J2706" s="1">
        <v>0</v>
      </c>
    </row>
    <row r="2707" spans="10:10" x14ac:dyDescent="0.35">
      <c r="J2707" s="1">
        <v>0</v>
      </c>
    </row>
    <row r="2708" spans="10:10" x14ac:dyDescent="0.35">
      <c r="J2708" s="1">
        <v>0</v>
      </c>
    </row>
    <row r="2709" spans="10:10" x14ac:dyDescent="0.35">
      <c r="J2709" s="1">
        <v>1</v>
      </c>
    </row>
    <row r="2710" spans="10:10" x14ac:dyDescent="0.35">
      <c r="J2710" s="1">
        <v>1</v>
      </c>
    </row>
    <row r="2711" spans="10:10" x14ac:dyDescent="0.35">
      <c r="J2711" s="1">
        <v>1</v>
      </c>
    </row>
    <row r="2712" spans="10:10" x14ac:dyDescent="0.35">
      <c r="J2712" s="1">
        <v>0</v>
      </c>
    </row>
    <row r="2713" spans="10:10" x14ac:dyDescent="0.35">
      <c r="J2713" s="1">
        <v>0</v>
      </c>
    </row>
    <row r="2714" spans="10:10" x14ac:dyDescent="0.35">
      <c r="J2714" s="1">
        <v>0</v>
      </c>
    </row>
    <row r="2715" spans="10:10" x14ac:dyDescent="0.35">
      <c r="J2715" s="1">
        <v>1</v>
      </c>
    </row>
    <row r="2716" spans="10:10" x14ac:dyDescent="0.35">
      <c r="J2716" s="1">
        <v>0</v>
      </c>
    </row>
    <row r="2717" spans="10:10" x14ac:dyDescent="0.35">
      <c r="J2717" s="1">
        <v>0</v>
      </c>
    </row>
    <row r="2718" spans="10:10" x14ac:dyDescent="0.35">
      <c r="J2718" s="1">
        <v>0</v>
      </c>
    </row>
    <row r="2719" spans="10:10" x14ac:dyDescent="0.35">
      <c r="J2719" s="1">
        <v>1</v>
      </c>
    </row>
    <row r="2720" spans="10:10" x14ac:dyDescent="0.35">
      <c r="J2720" s="1">
        <v>1</v>
      </c>
    </row>
    <row r="2721" spans="10:10" x14ac:dyDescent="0.35">
      <c r="J2721" s="1">
        <v>1</v>
      </c>
    </row>
    <row r="2722" spans="10:10" x14ac:dyDescent="0.35">
      <c r="J2722" s="1">
        <v>1</v>
      </c>
    </row>
    <row r="2723" spans="10:10" x14ac:dyDescent="0.35">
      <c r="J2723" s="1">
        <v>0</v>
      </c>
    </row>
    <row r="2724" spans="10:10" x14ac:dyDescent="0.35">
      <c r="J2724" s="1">
        <v>0</v>
      </c>
    </row>
    <row r="2725" spans="10:10" x14ac:dyDescent="0.35">
      <c r="J2725" s="1">
        <v>0</v>
      </c>
    </row>
    <row r="2726" spans="10:10" x14ac:dyDescent="0.35">
      <c r="J2726" s="1">
        <v>0</v>
      </c>
    </row>
    <row r="2727" spans="10:10" x14ac:dyDescent="0.35">
      <c r="J2727" s="1">
        <v>0</v>
      </c>
    </row>
    <row r="2728" spans="10:10" x14ac:dyDescent="0.35">
      <c r="J2728" s="1">
        <v>0</v>
      </c>
    </row>
    <row r="2729" spans="10:10" x14ac:dyDescent="0.35">
      <c r="J2729" s="1">
        <v>1</v>
      </c>
    </row>
    <row r="2730" spans="10:10" x14ac:dyDescent="0.35">
      <c r="J2730" s="1">
        <v>1</v>
      </c>
    </row>
    <row r="2731" spans="10:10" x14ac:dyDescent="0.35">
      <c r="J2731" s="1">
        <v>0</v>
      </c>
    </row>
    <row r="2732" spans="10:10" x14ac:dyDescent="0.35">
      <c r="J2732" s="1">
        <v>0</v>
      </c>
    </row>
    <row r="2733" spans="10:10" x14ac:dyDescent="0.35">
      <c r="J2733" s="1">
        <v>1</v>
      </c>
    </row>
    <row r="2734" spans="10:10" x14ac:dyDescent="0.35">
      <c r="J2734" s="1">
        <v>1</v>
      </c>
    </row>
    <row r="2735" spans="10:10" x14ac:dyDescent="0.35">
      <c r="J2735" s="1">
        <v>1</v>
      </c>
    </row>
    <row r="2736" spans="10:10" x14ac:dyDescent="0.35">
      <c r="J2736" s="1">
        <v>0</v>
      </c>
    </row>
    <row r="2737" spans="10:10" x14ac:dyDescent="0.35">
      <c r="J2737" s="1">
        <v>1</v>
      </c>
    </row>
    <row r="2738" spans="10:10" x14ac:dyDescent="0.35">
      <c r="J2738" s="1">
        <v>1</v>
      </c>
    </row>
    <row r="2739" spans="10:10" x14ac:dyDescent="0.35">
      <c r="J2739" s="1">
        <v>1</v>
      </c>
    </row>
    <row r="2740" spans="10:10" x14ac:dyDescent="0.35">
      <c r="J2740" s="1">
        <v>0</v>
      </c>
    </row>
    <row r="2741" spans="10:10" x14ac:dyDescent="0.35">
      <c r="J2741" s="1">
        <v>1</v>
      </c>
    </row>
    <row r="2742" spans="10:10" x14ac:dyDescent="0.35">
      <c r="J2742" s="1">
        <v>0</v>
      </c>
    </row>
    <row r="2743" spans="10:10" x14ac:dyDescent="0.35">
      <c r="J2743" s="1">
        <v>0</v>
      </c>
    </row>
    <row r="2744" spans="10:10" x14ac:dyDescent="0.35">
      <c r="J2744" s="1">
        <v>0</v>
      </c>
    </row>
    <row r="2745" spans="10:10" x14ac:dyDescent="0.35">
      <c r="J2745" s="1">
        <v>1</v>
      </c>
    </row>
    <row r="2746" spans="10:10" x14ac:dyDescent="0.35">
      <c r="J2746" s="1">
        <v>0</v>
      </c>
    </row>
    <row r="2747" spans="10:10" x14ac:dyDescent="0.35">
      <c r="J2747" s="1">
        <v>0</v>
      </c>
    </row>
    <row r="2748" spans="10:10" x14ac:dyDescent="0.35">
      <c r="J2748" s="1">
        <v>0</v>
      </c>
    </row>
    <row r="2749" spans="10:10" x14ac:dyDescent="0.35">
      <c r="J2749" s="1">
        <v>0</v>
      </c>
    </row>
    <row r="2750" spans="10:10" x14ac:dyDescent="0.35">
      <c r="J2750" s="1">
        <v>0</v>
      </c>
    </row>
    <row r="2751" spans="10:10" x14ac:dyDescent="0.35">
      <c r="J2751" s="1">
        <v>0</v>
      </c>
    </row>
    <row r="2752" spans="10:10" x14ac:dyDescent="0.35">
      <c r="J2752" s="1">
        <v>0</v>
      </c>
    </row>
    <row r="2753" spans="10:10" x14ac:dyDescent="0.35">
      <c r="J2753" s="1">
        <v>1</v>
      </c>
    </row>
    <row r="2754" spans="10:10" x14ac:dyDescent="0.35">
      <c r="J2754" s="1">
        <v>1</v>
      </c>
    </row>
    <row r="2755" spans="10:10" x14ac:dyDescent="0.35">
      <c r="J2755" s="1">
        <v>0</v>
      </c>
    </row>
    <row r="2756" spans="10:10" x14ac:dyDescent="0.35">
      <c r="J2756" s="1">
        <v>1</v>
      </c>
    </row>
    <row r="2757" spans="10:10" x14ac:dyDescent="0.35">
      <c r="J2757" s="1">
        <v>0</v>
      </c>
    </row>
    <row r="2758" spans="10:10" x14ac:dyDescent="0.35">
      <c r="J2758" s="1">
        <v>1</v>
      </c>
    </row>
    <row r="2759" spans="10:10" x14ac:dyDescent="0.35">
      <c r="J2759" s="1">
        <v>0</v>
      </c>
    </row>
    <row r="2760" spans="10:10" x14ac:dyDescent="0.35">
      <c r="J2760" s="1">
        <v>1</v>
      </c>
    </row>
    <row r="2761" spans="10:10" x14ac:dyDescent="0.35">
      <c r="J2761" s="1">
        <v>0</v>
      </c>
    </row>
    <row r="2762" spans="10:10" x14ac:dyDescent="0.35">
      <c r="J2762" s="1">
        <v>0</v>
      </c>
    </row>
    <row r="2763" spans="10:10" x14ac:dyDescent="0.35">
      <c r="J2763" s="1">
        <v>0</v>
      </c>
    </row>
    <row r="2764" spans="10:10" x14ac:dyDescent="0.35">
      <c r="J2764" s="1">
        <v>0</v>
      </c>
    </row>
    <row r="2765" spans="10:10" x14ac:dyDescent="0.35">
      <c r="J2765" s="1">
        <v>0</v>
      </c>
    </row>
    <row r="2766" spans="10:10" x14ac:dyDescent="0.35">
      <c r="J2766" s="1">
        <v>0</v>
      </c>
    </row>
    <row r="2767" spans="10:10" x14ac:dyDescent="0.35">
      <c r="J2767" s="1">
        <v>0</v>
      </c>
    </row>
    <row r="2768" spans="10:10" x14ac:dyDescent="0.35">
      <c r="J2768" s="1">
        <v>0</v>
      </c>
    </row>
    <row r="2769" spans="10:10" x14ac:dyDescent="0.35">
      <c r="J2769" s="1">
        <v>0</v>
      </c>
    </row>
    <row r="2770" spans="10:10" x14ac:dyDescent="0.35">
      <c r="J2770" s="1">
        <v>0</v>
      </c>
    </row>
    <row r="2771" spans="10:10" x14ac:dyDescent="0.35">
      <c r="J2771" s="1">
        <v>0</v>
      </c>
    </row>
    <row r="2772" spans="10:10" x14ac:dyDescent="0.35">
      <c r="J2772" s="1">
        <v>0</v>
      </c>
    </row>
    <row r="2773" spans="10:10" x14ac:dyDescent="0.35">
      <c r="J2773" s="1">
        <v>0</v>
      </c>
    </row>
    <row r="2774" spans="10:10" x14ac:dyDescent="0.35">
      <c r="J2774" s="1">
        <v>1</v>
      </c>
    </row>
    <row r="2775" spans="10:10" x14ac:dyDescent="0.35">
      <c r="J2775" s="1">
        <v>1</v>
      </c>
    </row>
    <row r="2776" spans="10:10" x14ac:dyDescent="0.35">
      <c r="J2776" s="1">
        <v>0</v>
      </c>
    </row>
    <row r="2777" spans="10:10" x14ac:dyDescent="0.35">
      <c r="J2777" s="1">
        <v>0</v>
      </c>
    </row>
    <row r="2778" spans="10:10" x14ac:dyDescent="0.35">
      <c r="J2778" s="1">
        <v>0</v>
      </c>
    </row>
    <row r="2779" spans="10:10" x14ac:dyDescent="0.35">
      <c r="J2779" s="1">
        <v>0</v>
      </c>
    </row>
    <row r="2780" spans="10:10" x14ac:dyDescent="0.35">
      <c r="J2780" s="1">
        <v>0</v>
      </c>
    </row>
    <row r="2781" spans="10:10" x14ac:dyDescent="0.35">
      <c r="J2781" s="1">
        <v>0</v>
      </c>
    </row>
    <row r="2782" spans="10:10" x14ac:dyDescent="0.35">
      <c r="J2782" s="1">
        <v>0</v>
      </c>
    </row>
    <row r="2783" spans="10:10" x14ac:dyDescent="0.35">
      <c r="J2783" s="1">
        <v>0</v>
      </c>
    </row>
    <row r="2784" spans="10:10" x14ac:dyDescent="0.35">
      <c r="J2784" s="1">
        <v>0</v>
      </c>
    </row>
    <row r="2785" spans="10:10" x14ac:dyDescent="0.35">
      <c r="J2785" s="1">
        <v>0</v>
      </c>
    </row>
    <row r="2786" spans="10:10" x14ac:dyDescent="0.35">
      <c r="J2786" s="1">
        <v>0</v>
      </c>
    </row>
    <row r="2787" spans="10:10" x14ac:dyDescent="0.35">
      <c r="J2787" s="1">
        <v>0</v>
      </c>
    </row>
    <row r="2788" spans="10:10" x14ac:dyDescent="0.35">
      <c r="J2788" s="1">
        <v>1</v>
      </c>
    </row>
    <row r="2789" spans="10:10" x14ac:dyDescent="0.35">
      <c r="J2789" s="1">
        <v>0</v>
      </c>
    </row>
    <row r="2790" spans="10:10" x14ac:dyDescent="0.35">
      <c r="J2790" s="1">
        <v>0</v>
      </c>
    </row>
    <row r="2791" spans="10:10" x14ac:dyDescent="0.35">
      <c r="J2791" s="1">
        <v>0</v>
      </c>
    </row>
    <row r="2792" spans="10:10" x14ac:dyDescent="0.35">
      <c r="J2792" s="1">
        <v>0</v>
      </c>
    </row>
    <row r="2793" spans="10:10" x14ac:dyDescent="0.35">
      <c r="J2793" s="1">
        <v>0</v>
      </c>
    </row>
    <row r="2794" spans="10:10" x14ac:dyDescent="0.35">
      <c r="J2794" s="1">
        <v>0</v>
      </c>
    </row>
    <row r="2795" spans="10:10" x14ac:dyDescent="0.35">
      <c r="J2795" s="1">
        <v>0</v>
      </c>
    </row>
    <row r="2796" spans="10:10" x14ac:dyDescent="0.35">
      <c r="J2796" s="1">
        <v>0</v>
      </c>
    </row>
    <row r="2797" spans="10:10" x14ac:dyDescent="0.35">
      <c r="J2797" s="1">
        <v>0</v>
      </c>
    </row>
    <row r="2798" spans="10:10" x14ac:dyDescent="0.35">
      <c r="J2798" s="1">
        <v>0</v>
      </c>
    </row>
    <row r="2799" spans="10:10" x14ac:dyDescent="0.35">
      <c r="J2799" s="1">
        <v>0</v>
      </c>
    </row>
    <row r="2800" spans="10:10" x14ac:dyDescent="0.35">
      <c r="J2800" s="1">
        <v>0</v>
      </c>
    </row>
    <row r="2801" spans="10:10" x14ac:dyDescent="0.35">
      <c r="J2801" s="1">
        <v>1</v>
      </c>
    </row>
    <row r="2802" spans="10:10" x14ac:dyDescent="0.35">
      <c r="J2802" s="1">
        <v>0</v>
      </c>
    </row>
    <row r="2803" spans="10:10" x14ac:dyDescent="0.35">
      <c r="J2803" s="1">
        <v>0</v>
      </c>
    </row>
    <row r="2804" spans="10:10" x14ac:dyDescent="0.35">
      <c r="J2804" s="1">
        <v>0</v>
      </c>
    </row>
    <row r="2805" spans="10:10" x14ac:dyDescent="0.35">
      <c r="J2805" s="1">
        <v>0</v>
      </c>
    </row>
    <row r="2806" spans="10:10" x14ac:dyDescent="0.35">
      <c r="J2806" s="1">
        <v>0</v>
      </c>
    </row>
    <row r="2807" spans="10:10" x14ac:dyDescent="0.35">
      <c r="J2807" s="1">
        <v>0</v>
      </c>
    </row>
    <row r="2808" spans="10:10" x14ac:dyDescent="0.35">
      <c r="J2808" s="1">
        <v>0</v>
      </c>
    </row>
    <row r="2809" spans="10:10" x14ac:dyDescent="0.35">
      <c r="J2809" s="1">
        <v>1</v>
      </c>
    </row>
    <row r="2810" spans="10:10" x14ac:dyDescent="0.35">
      <c r="J2810" s="1">
        <v>0</v>
      </c>
    </row>
    <row r="2811" spans="10:10" x14ac:dyDescent="0.35">
      <c r="J2811" s="1">
        <v>0</v>
      </c>
    </row>
    <row r="2812" spans="10:10" x14ac:dyDescent="0.35">
      <c r="J2812" s="1">
        <v>0</v>
      </c>
    </row>
    <row r="2813" spans="10:10" x14ac:dyDescent="0.35">
      <c r="J2813" s="1">
        <v>0</v>
      </c>
    </row>
    <row r="2814" spans="10:10" x14ac:dyDescent="0.35">
      <c r="J2814" s="1">
        <v>1</v>
      </c>
    </row>
    <row r="2815" spans="10:10" x14ac:dyDescent="0.35">
      <c r="J2815" s="1">
        <v>0</v>
      </c>
    </row>
    <row r="2816" spans="10:10" x14ac:dyDescent="0.35">
      <c r="J2816" s="1">
        <v>0</v>
      </c>
    </row>
    <row r="2817" spans="10:10" x14ac:dyDescent="0.35">
      <c r="J2817" s="1">
        <v>0</v>
      </c>
    </row>
    <row r="2818" spans="10:10" x14ac:dyDescent="0.35">
      <c r="J2818" s="1">
        <v>0</v>
      </c>
    </row>
    <row r="2819" spans="10:10" x14ac:dyDescent="0.35">
      <c r="J2819" s="1">
        <v>0</v>
      </c>
    </row>
    <row r="2820" spans="10:10" x14ac:dyDescent="0.35">
      <c r="J2820" s="1">
        <v>0</v>
      </c>
    </row>
    <row r="2821" spans="10:10" x14ac:dyDescent="0.35">
      <c r="J2821" s="1">
        <v>0</v>
      </c>
    </row>
    <row r="2822" spans="10:10" x14ac:dyDescent="0.35">
      <c r="J2822" s="1">
        <v>1</v>
      </c>
    </row>
    <row r="2823" spans="10:10" x14ac:dyDescent="0.35">
      <c r="J2823" s="1">
        <v>0</v>
      </c>
    </row>
    <row r="2824" spans="10:10" x14ac:dyDescent="0.35">
      <c r="J2824" s="1">
        <v>0</v>
      </c>
    </row>
    <row r="2825" spans="10:10" x14ac:dyDescent="0.35">
      <c r="J2825" s="1">
        <v>0</v>
      </c>
    </row>
    <row r="2826" spans="10:10" x14ac:dyDescent="0.35">
      <c r="J2826" s="1">
        <v>0</v>
      </c>
    </row>
    <row r="2827" spans="10:10" x14ac:dyDescent="0.35">
      <c r="J2827" s="1">
        <v>0</v>
      </c>
    </row>
    <row r="2828" spans="10:10" x14ac:dyDescent="0.35">
      <c r="J2828" s="1">
        <v>0</v>
      </c>
    </row>
    <row r="2829" spans="10:10" x14ac:dyDescent="0.35">
      <c r="J2829" s="1">
        <v>0</v>
      </c>
    </row>
    <row r="2830" spans="10:10" x14ac:dyDescent="0.35">
      <c r="J2830" s="1">
        <v>0</v>
      </c>
    </row>
    <row r="2831" spans="10:10" x14ac:dyDescent="0.35">
      <c r="J2831" s="1">
        <v>1</v>
      </c>
    </row>
    <row r="2832" spans="10:10" x14ac:dyDescent="0.35">
      <c r="J2832" s="1">
        <v>0</v>
      </c>
    </row>
    <row r="2833" spans="10:10" x14ac:dyDescent="0.35">
      <c r="J2833" s="1">
        <v>0</v>
      </c>
    </row>
    <row r="2834" spans="10:10" x14ac:dyDescent="0.35">
      <c r="J2834" s="1">
        <v>0</v>
      </c>
    </row>
    <row r="2835" spans="10:10" x14ac:dyDescent="0.35">
      <c r="J2835" s="1">
        <v>1</v>
      </c>
    </row>
    <row r="2836" spans="10:10" x14ac:dyDescent="0.35">
      <c r="J2836" s="1">
        <v>0</v>
      </c>
    </row>
    <row r="2837" spans="10:10" x14ac:dyDescent="0.35">
      <c r="J2837" s="1">
        <v>0</v>
      </c>
    </row>
    <row r="2838" spans="10:10" x14ac:dyDescent="0.35">
      <c r="J2838" s="1">
        <v>0</v>
      </c>
    </row>
    <row r="2839" spans="10:10" x14ac:dyDescent="0.35">
      <c r="J2839" s="1">
        <v>0</v>
      </c>
    </row>
    <row r="2840" spans="10:10" x14ac:dyDescent="0.35">
      <c r="J2840" s="1">
        <v>0</v>
      </c>
    </row>
    <row r="2841" spans="10:10" x14ac:dyDescent="0.35">
      <c r="J2841" s="1">
        <v>0</v>
      </c>
    </row>
    <row r="2842" spans="10:10" x14ac:dyDescent="0.35">
      <c r="J2842" s="1">
        <v>0</v>
      </c>
    </row>
    <row r="2843" spans="10:10" x14ac:dyDescent="0.35">
      <c r="J2843" s="1">
        <v>0</v>
      </c>
    </row>
    <row r="2844" spans="10:10" x14ac:dyDescent="0.35">
      <c r="J2844" s="1">
        <v>0</v>
      </c>
    </row>
    <row r="2845" spans="10:10" x14ac:dyDescent="0.35">
      <c r="J2845" s="1">
        <v>0</v>
      </c>
    </row>
    <row r="2846" spans="10:10" x14ac:dyDescent="0.35">
      <c r="J2846" s="1">
        <v>0</v>
      </c>
    </row>
    <row r="2847" spans="10:10" x14ac:dyDescent="0.35">
      <c r="J2847" s="1">
        <v>0</v>
      </c>
    </row>
    <row r="2848" spans="10:10" x14ac:dyDescent="0.35">
      <c r="J2848" s="1">
        <v>1</v>
      </c>
    </row>
    <row r="2849" spans="10:10" x14ac:dyDescent="0.35">
      <c r="J2849" s="1">
        <v>0</v>
      </c>
    </row>
    <row r="2850" spans="10:10" x14ac:dyDescent="0.35">
      <c r="J2850" s="1">
        <v>0</v>
      </c>
    </row>
    <row r="2851" spans="10:10" x14ac:dyDescent="0.35">
      <c r="J2851" s="1">
        <v>1</v>
      </c>
    </row>
    <row r="2852" spans="10:10" x14ac:dyDescent="0.35">
      <c r="J2852" s="1">
        <v>0</v>
      </c>
    </row>
    <row r="2853" spans="10:10" x14ac:dyDescent="0.35">
      <c r="J2853" s="1">
        <v>0</v>
      </c>
    </row>
    <row r="2854" spans="10:10" x14ac:dyDescent="0.35">
      <c r="J2854" s="1">
        <v>0</v>
      </c>
    </row>
    <row r="2855" spans="10:10" x14ac:dyDescent="0.35">
      <c r="J2855" s="1">
        <v>0</v>
      </c>
    </row>
    <row r="2856" spans="10:10" x14ac:dyDescent="0.35">
      <c r="J2856" s="1">
        <v>0</v>
      </c>
    </row>
    <row r="2857" spans="10:10" x14ac:dyDescent="0.35">
      <c r="J2857" s="1">
        <v>0</v>
      </c>
    </row>
    <row r="2858" spans="10:10" x14ac:dyDescent="0.35">
      <c r="J2858" s="1">
        <v>0</v>
      </c>
    </row>
    <row r="2859" spans="10:10" x14ac:dyDescent="0.35">
      <c r="J2859" s="1">
        <v>0</v>
      </c>
    </row>
    <row r="2860" spans="10:10" x14ac:dyDescent="0.35">
      <c r="J2860" s="1">
        <v>0</v>
      </c>
    </row>
    <row r="2861" spans="10:10" x14ac:dyDescent="0.35">
      <c r="J2861" s="1">
        <v>0</v>
      </c>
    </row>
    <row r="2862" spans="10:10" x14ac:dyDescent="0.35">
      <c r="J2862" s="1">
        <v>0</v>
      </c>
    </row>
    <row r="2863" spans="10:10" x14ac:dyDescent="0.35">
      <c r="J2863" s="1">
        <v>0</v>
      </c>
    </row>
    <row r="2864" spans="10:10" x14ac:dyDescent="0.35">
      <c r="J2864" s="1">
        <v>0</v>
      </c>
    </row>
    <row r="2865" spans="10:10" x14ac:dyDescent="0.35">
      <c r="J2865" s="1">
        <v>0</v>
      </c>
    </row>
    <row r="2866" spans="10:10" x14ac:dyDescent="0.35">
      <c r="J2866" s="1">
        <v>0</v>
      </c>
    </row>
    <row r="2867" spans="10:10" x14ac:dyDescent="0.35">
      <c r="J2867" s="1">
        <v>0</v>
      </c>
    </row>
    <row r="2868" spans="10:10" x14ac:dyDescent="0.35">
      <c r="J2868" s="1">
        <v>0</v>
      </c>
    </row>
    <row r="2869" spans="10:10" x14ac:dyDescent="0.35">
      <c r="J2869" s="1">
        <v>0</v>
      </c>
    </row>
    <row r="2870" spans="10:10" x14ac:dyDescent="0.35">
      <c r="J2870" s="1">
        <v>0</v>
      </c>
    </row>
    <row r="2871" spans="10:10" x14ac:dyDescent="0.35">
      <c r="J2871" s="1">
        <v>1</v>
      </c>
    </row>
    <row r="2872" spans="10:10" x14ac:dyDescent="0.35">
      <c r="J2872" s="1">
        <v>0</v>
      </c>
    </row>
    <row r="2873" spans="10:10" x14ac:dyDescent="0.35">
      <c r="J2873" s="1">
        <v>0</v>
      </c>
    </row>
    <row r="2874" spans="10:10" x14ac:dyDescent="0.35">
      <c r="J2874" s="1">
        <v>1</v>
      </c>
    </row>
    <row r="2875" spans="10:10" x14ac:dyDescent="0.35">
      <c r="J2875" s="1">
        <v>0</v>
      </c>
    </row>
    <row r="2876" spans="10:10" x14ac:dyDescent="0.35">
      <c r="J2876" s="1">
        <v>0</v>
      </c>
    </row>
    <row r="2877" spans="10:10" x14ac:dyDescent="0.35">
      <c r="J2877" s="1">
        <v>0</v>
      </c>
    </row>
    <row r="2878" spans="10:10" x14ac:dyDescent="0.35">
      <c r="J2878" s="1">
        <v>1</v>
      </c>
    </row>
    <row r="2879" spans="10:10" x14ac:dyDescent="0.35">
      <c r="J2879" s="1">
        <v>0</v>
      </c>
    </row>
    <row r="2880" spans="10:10" x14ac:dyDescent="0.35">
      <c r="J2880" s="1">
        <v>0</v>
      </c>
    </row>
    <row r="2881" spans="10:10" x14ac:dyDescent="0.35">
      <c r="J2881" s="1">
        <v>0</v>
      </c>
    </row>
    <row r="2882" spans="10:10" x14ac:dyDescent="0.35">
      <c r="J2882" s="1">
        <v>0</v>
      </c>
    </row>
    <row r="2883" spans="10:10" x14ac:dyDescent="0.35">
      <c r="J2883" s="1">
        <v>0</v>
      </c>
    </row>
    <row r="2884" spans="10:10" x14ac:dyDescent="0.35">
      <c r="J2884" s="1">
        <v>0</v>
      </c>
    </row>
    <row r="2885" spans="10:10" x14ac:dyDescent="0.35">
      <c r="J2885" s="1">
        <v>0</v>
      </c>
    </row>
    <row r="2886" spans="10:10" x14ac:dyDescent="0.35">
      <c r="J2886" s="1">
        <v>0</v>
      </c>
    </row>
    <row r="2887" spans="10:10" x14ac:dyDescent="0.35">
      <c r="J2887" s="1">
        <v>0</v>
      </c>
    </row>
    <row r="2888" spans="10:10" x14ac:dyDescent="0.35">
      <c r="J2888" s="1">
        <v>0</v>
      </c>
    </row>
    <row r="2889" spans="10:10" x14ac:dyDescent="0.35">
      <c r="J2889" s="1">
        <v>0</v>
      </c>
    </row>
    <row r="2890" spans="10:10" x14ac:dyDescent="0.35">
      <c r="J2890" s="1">
        <v>0</v>
      </c>
    </row>
    <row r="2891" spans="10:10" x14ac:dyDescent="0.35">
      <c r="J2891" s="1">
        <v>0</v>
      </c>
    </row>
    <row r="2892" spans="10:10" x14ac:dyDescent="0.35">
      <c r="J2892" s="1">
        <v>0</v>
      </c>
    </row>
    <row r="2893" spans="10:10" x14ac:dyDescent="0.35">
      <c r="J2893" s="1">
        <v>0</v>
      </c>
    </row>
    <row r="2894" spans="10:10" x14ac:dyDescent="0.35">
      <c r="J2894" s="1">
        <v>0</v>
      </c>
    </row>
    <row r="2895" spans="10:10" x14ac:dyDescent="0.35">
      <c r="J2895" s="1">
        <v>0</v>
      </c>
    </row>
    <row r="2896" spans="10:10" x14ac:dyDescent="0.35">
      <c r="J2896" s="1">
        <v>0</v>
      </c>
    </row>
    <row r="2897" spans="10:10" x14ac:dyDescent="0.35">
      <c r="J2897" s="1">
        <v>0</v>
      </c>
    </row>
    <row r="2898" spans="10:10" x14ac:dyDescent="0.35">
      <c r="J2898" s="1">
        <v>0</v>
      </c>
    </row>
    <row r="2899" spans="10:10" x14ac:dyDescent="0.35">
      <c r="J2899" s="1">
        <v>0</v>
      </c>
    </row>
    <row r="2900" spans="10:10" x14ac:dyDescent="0.35">
      <c r="J2900" s="1">
        <v>1</v>
      </c>
    </row>
    <row r="2901" spans="10:10" x14ac:dyDescent="0.35">
      <c r="J2901" s="1">
        <v>0</v>
      </c>
    </row>
    <row r="2902" spans="10:10" x14ac:dyDescent="0.35">
      <c r="J2902" s="1">
        <v>1</v>
      </c>
    </row>
    <row r="2903" spans="10:10" x14ac:dyDescent="0.35">
      <c r="J2903" s="1">
        <v>0</v>
      </c>
    </row>
    <row r="2904" spans="10:10" x14ac:dyDescent="0.35">
      <c r="J2904" s="1">
        <v>0</v>
      </c>
    </row>
    <row r="2905" spans="10:10" x14ac:dyDescent="0.35">
      <c r="J2905" s="1">
        <v>0</v>
      </c>
    </row>
    <row r="2906" spans="10:10" x14ac:dyDescent="0.35">
      <c r="J2906" s="1">
        <v>0</v>
      </c>
    </row>
    <row r="2907" spans="10:10" x14ac:dyDescent="0.35">
      <c r="J2907" s="1">
        <v>0</v>
      </c>
    </row>
    <row r="2908" spans="10:10" x14ac:dyDescent="0.35">
      <c r="J2908" s="1">
        <v>1</v>
      </c>
    </row>
    <row r="2909" spans="10:10" x14ac:dyDescent="0.35">
      <c r="J2909" s="1">
        <v>0</v>
      </c>
    </row>
    <row r="2910" spans="10:10" x14ac:dyDescent="0.35">
      <c r="J2910" s="1">
        <v>0</v>
      </c>
    </row>
    <row r="2911" spans="10:10" x14ac:dyDescent="0.35">
      <c r="J2911" s="1">
        <v>0</v>
      </c>
    </row>
    <row r="2912" spans="10:10" x14ac:dyDescent="0.35">
      <c r="J2912" s="1">
        <v>0</v>
      </c>
    </row>
    <row r="2913" spans="10:10" x14ac:dyDescent="0.35">
      <c r="J2913" s="1">
        <v>0</v>
      </c>
    </row>
    <row r="2914" spans="10:10" x14ac:dyDescent="0.35">
      <c r="J2914" s="1">
        <v>0</v>
      </c>
    </row>
    <row r="2915" spans="10:10" x14ac:dyDescent="0.35">
      <c r="J2915" s="1">
        <v>0</v>
      </c>
    </row>
    <row r="2916" spans="10:10" x14ac:dyDescent="0.35">
      <c r="J2916" s="1">
        <v>0</v>
      </c>
    </row>
    <row r="2917" spans="10:10" x14ac:dyDescent="0.35">
      <c r="J2917" s="1">
        <v>0</v>
      </c>
    </row>
    <row r="2918" spans="10:10" x14ac:dyDescent="0.35">
      <c r="J2918" s="1">
        <v>1</v>
      </c>
    </row>
    <row r="2919" spans="10:10" x14ac:dyDescent="0.35">
      <c r="J2919" s="1">
        <v>0</v>
      </c>
    </row>
    <row r="2920" spans="10:10" x14ac:dyDescent="0.35">
      <c r="J2920" s="1">
        <v>0</v>
      </c>
    </row>
    <row r="2921" spans="10:10" x14ac:dyDescent="0.35">
      <c r="J2921" s="1">
        <v>0</v>
      </c>
    </row>
    <row r="2922" spans="10:10" x14ac:dyDescent="0.35">
      <c r="J2922" s="1">
        <v>0</v>
      </c>
    </row>
    <row r="2923" spans="10:10" x14ac:dyDescent="0.35">
      <c r="J2923" s="1">
        <v>1</v>
      </c>
    </row>
    <row r="2924" spans="10:10" x14ac:dyDescent="0.35">
      <c r="J2924" s="1">
        <v>1</v>
      </c>
    </row>
    <row r="2925" spans="10:10" x14ac:dyDescent="0.35">
      <c r="J2925" s="1">
        <v>0</v>
      </c>
    </row>
    <row r="2926" spans="10:10" x14ac:dyDescent="0.35">
      <c r="J2926" s="1">
        <v>0</v>
      </c>
    </row>
    <row r="2927" spans="10:10" x14ac:dyDescent="0.35">
      <c r="J2927" s="1">
        <v>0</v>
      </c>
    </row>
    <row r="2928" spans="10:10" x14ac:dyDescent="0.35">
      <c r="J2928" s="1">
        <v>0</v>
      </c>
    </row>
    <row r="2929" spans="10:10" x14ac:dyDescent="0.35">
      <c r="J2929" s="1">
        <v>0</v>
      </c>
    </row>
    <row r="2930" spans="10:10" x14ac:dyDescent="0.35">
      <c r="J2930" s="1">
        <v>1</v>
      </c>
    </row>
    <row r="2931" spans="10:10" x14ac:dyDescent="0.35">
      <c r="J2931" s="1">
        <v>0</v>
      </c>
    </row>
    <row r="2932" spans="10:10" x14ac:dyDescent="0.35">
      <c r="J2932" s="1">
        <v>0</v>
      </c>
    </row>
    <row r="2933" spans="10:10" x14ac:dyDescent="0.35">
      <c r="J2933" s="1">
        <v>0</v>
      </c>
    </row>
    <row r="2934" spans="10:10" x14ac:dyDescent="0.35">
      <c r="J2934" s="1">
        <v>0</v>
      </c>
    </row>
    <row r="2935" spans="10:10" x14ac:dyDescent="0.35">
      <c r="J2935" s="1">
        <v>0</v>
      </c>
    </row>
    <row r="2936" spans="10:10" x14ac:dyDescent="0.35">
      <c r="J2936" s="1">
        <v>0</v>
      </c>
    </row>
    <row r="2937" spans="10:10" x14ac:dyDescent="0.35">
      <c r="J2937" s="1">
        <v>0</v>
      </c>
    </row>
    <row r="2938" spans="10:10" x14ac:dyDescent="0.35">
      <c r="J2938" s="1">
        <v>0</v>
      </c>
    </row>
    <row r="2939" spans="10:10" x14ac:dyDescent="0.35">
      <c r="J2939" s="1">
        <v>0</v>
      </c>
    </row>
    <row r="2940" spans="10:10" x14ac:dyDescent="0.35">
      <c r="J2940" s="1">
        <v>1</v>
      </c>
    </row>
    <row r="2941" spans="10:10" x14ac:dyDescent="0.35">
      <c r="J2941" s="1">
        <v>0</v>
      </c>
    </row>
    <row r="2942" spans="10:10" x14ac:dyDescent="0.35">
      <c r="J2942" s="1">
        <v>0</v>
      </c>
    </row>
    <row r="2943" spans="10:10" x14ac:dyDescent="0.35">
      <c r="J2943" s="1">
        <v>1</v>
      </c>
    </row>
    <row r="2944" spans="10:10" x14ac:dyDescent="0.35">
      <c r="J2944" s="1">
        <v>0</v>
      </c>
    </row>
    <row r="2945" spans="10:10" x14ac:dyDescent="0.35">
      <c r="J2945" s="1">
        <v>1</v>
      </c>
    </row>
    <row r="2946" spans="10:10" x14ac:dyDescent="0.35">
      <c r="J2946" s="1">
        <v>0</v>
      </c>
    </row>
    <row r="2947" spans="10:10" x14ac:dyDescent="0.35">
      <c r="J2947" s="1">
        <v>1</v>
      </c>
    </row>
    <row r="2948" spans="10:10" x14ac:dyDescent="0.35">
      <c r="J2948" s="1">
        <v>1</v>
      </c>
    </row>
    <row r="2949" spans="10:10" x14ac:dyDescent="0.35">
      <c r="J2949" s="1">
        <v>0</v>
      </c>
    </row>
    <row r="2950" spans="10:10" x14ac:dyDescent="0.35">
      <c r="J2950" s="1">
        <v>0</v>
      </c>
    </row>
    <row r="2951" spans="10:10" x14ac:dyDescent="0.35">
      <c r="J2951" s="1">
        <v>0</v>
      </c>
    </row>
    <row r="2952" spans="10:10" x14ac:dyDescent="0.35">
      <c r="J2952" s="1">
        <v>1</v>
      </c>
    </row>
    <row r="2953" spans="10:10" x14ac:dyDescent="0.35">
      <c r="J2953" s="1">
        <v>0</v>
      </c>
    </row>
    <row r="2954" spans="10:10" x14ac:dyDescent="0.35">
      <c r="J2954" s="1">
        <v>0</v>
      </c>
    </row>
    <row r="2955" spans="10:10" x14ac:dyDescent="0.35">
      <c r="J2955" s="1">
        <v>1</v>
      </c>
    </row>
    <row r="2956" spans="10:10" x14ac:dyDescent="0.35">
      <c r="J2956" s="1">
        <v>1</v>
      </c>
    </row>
    <row r="2957" spans="10:10" x14ac:dyDescent="0.35">
      <c r="J2957" s="1">
        <v>1</v>
      </c>
    </row>
    <row r="2958" spans="10:10" x14ac:dyDescent="0.35">
      <c r="J2958" s="1">
        <v>0</v>
      </c>
    </row>
    <row r="2959" spans="10:10" x14ac:dyDescent="0.35">
      <c r="J2959" s="1">
        <v>0</v>
      </c>
    </row>
    <row r="2960" spans="10:10" x14ac:dyDescent="0.35">
      <c r="J2960" s="1">
        <v>1</v>
      </c>
    </row>
    <row r="2961" spans="10:10" x14ac:dyDescent="0.35">
      <c r="J2961" s="1">
        <v>0</v>
      </c>
    </row>
    <row r="2962" spans="10:10" x14ac:dyDescent="0.35">
      <c r="J2962" s="1">
        <v>0</v>
      </c>
    </row>
    <row r="2963" spans="10:10" x14ac:dyDescent="0.35">
      <c r="J2963" s="1">
        <v>0</v>
      </c>
    </row>
    <row r="2964" spans="10:10" x14ac:dyDescent="0.35">
      <c r="J2964" s="1">
        <v>0</v>
      </c>
    </row>
    <row r="2965" spans="10:10" x14ac:dyDescent="0.35">
      <c r="J2965" s="1">
        <v>0</v>
      </c>
    </row>
    <row r="2966" spans="10:10" x14ac:dyDescent="0.35">
      <c r="J2966" s="1">
        <v>0</v>
      </c>
    </row>
    <row r="2967" spans="10:10" x14ac:dyDescent="0.35">
      <c r="J2967" s="1">
        <v>0</v>
      </c>
    </row>
    <row r="2968" spans="10:10" x14ac:dyDescent="0.35">
      <c r="J2968" s="1">
        <v>0</v>
      </c>
    </row>
    <row r="2969" spans="10:10" x14ac:dyDescent="0.35">
      <c r="J2969" s="1">
        <v>0</v>
      </c>
    </row>
    <row r="2970" spans="10:10" x14ac:dyDescent="0.35">
      <c r="J2970" s="1">
        <v>0</v>
      </c>
    </row>
    <row r="2971" spans="10:10" x14ac:dyDescent="0.35">
      <c r="J2971" s="1">
        <v>0</v>
      </c>
    </row>
    <row r="2972" spans="10:10" x14ac:dyDescent="0.35">
      <c r="J2972" s="1">
        <v>0</v>
      </c>
    </row>
    <row r="2973" spans="10:10" x14ac:dyDescent="0.35">
      <c r="J2973" s="1">
        <v>0</v>
      </c>
    </row>
    <row r="2974" spans="10:10" x14ac:dyDescent="0.35">
      <c r="J2974" s="1">
        <v>0</v>
      </c>
    </row>
    <row r="2975" spans="10:10" x14ac:dyDescent="0.35">
      <c r="J2975" s="1">
        <v>1</v>
      </c>
    </row>
    <row r="2976" spans="10:10" x14ac:dyDescent="0.35">
      <c r="J2976" s="1">
        <v>0</v>
      </c>
    </row>
    <row r="2977" spans="10:10" x14ac:dyDescent="0.35">
      <c r="J2977" s="1">
        <v>0</v>
      </c>
    </row>
    <row r="2978" spans="10:10" x14ac:dyDescent="0.35">
      <c r="J2978" s="1">
        <v>0</v>
      </c>
    </row>
    <row r="2979" spans="10:10" x14ac:dyDescent="0.35">
      <c r="J2979" s="1">
        <v>0</v>
      </c>
    </row>
    <row r="2980" spans="10:10" x14ac:dyDescent="0.35">
      <c r="J2980" s="1">
        <v>0</v>
      </c>
    </row>
    <row r="2981" spans="10:10" x14ac:dyDescent="0.35">
      <c r="J2981" s="1">
        <v>1</v>
      </c>
    </row>
    <row r="2982" spans="10:10" x14ac:dyDescent="0.35">
      <c r="J2982" s="1">
        <v>1</v>
      </c>
    </row>
    <row r="2983" spans="10:10" x14ac:dyDescent="0.35">
      <c r="J2983" s="1">
        <v>0</v>
      </c>
    </row>
    <row r="2984" spans="10:10" x14ac:dyDescent="0.35">
      <c r="J2984" s="1">
        <v>0</v>
      </c>
    </row>
    <row r="2985" spans="10:10" x14ac:dyDescent="0.35">
      <c r="J2985" s="1">
        <v>0</v>
      </c>
    </row>
    <row r="2986" spans="10:10" x14ac:dyDescent="0.35">
      <c r="J2986" s="1">
        <v>1</v>
      </c>
    </row>
    <row r="2987" spans="10:10" x14ac:dyDescent="0.35">
      <c r="J2987" s="1">
        <v>1</v>
      </c>
    </row>
    <row r="2988" spans="10:10" x14ac:dyDescent="0.35">
      <c r="J2988" s="1">
        <v>1</v>
      </c>
    </row>
    <row r="2989" spans="10:10" x14ac:dyDescent="0.35">
      <c r="J2989" s="1">
        <v>0</v>
      </c>
    </row>
    <row r="2990" spans="10:10" x14ac:dyDescent="0.35">
      <c r="J2990" s="1">
        <v>0</v>
      </c>
    </row>
    <row r="2991" spans="10:10" x14ac:dyDescent="0.35">
      <c r="J2991" s="1">
        <v>0</v>
      </c>
    </row>
    <row r="2992" spans="10:10" x14ac:dyDescent="0.35">
      <c r="J2992" s="1">
        <v>0</v>
      </c>
    </row>
    <row r="2993" spans="10:10" x14ac:dyDescent="0.35">
      <c r="J2993" s="1">
        <v>0</v>
      </c>
    </row>
    <row r="2994" spans="10:10" x14ac:dyDescent="0.35">
      <c r="J2994" s="1">
        <v>0</v>
      </c>
    </row>
    <row r="2995" spans="10:10" x14ac:dyDescent="0.35">
      <c r="J2995" s="1">
        <v>0</v>
      </c>
    </row>
    <row r="2996" spans="10:10" x14ac:dyDescent="0.35">
      <c r="J2996" s="1">
        <v>0</v>
      </c>
    </row>
    <row r="2997" spans="10:10" x14ac:dyDescent="0.35">
      <c r="J2997" s="1">
        <v>0</v>
      </c>
    </row>
    <row r="2998" spans="10:10" x14ac:dyDescent="0.35">
      <c r="J2998" s="1">
        <v>0</v>
      </c>
    </row>
    <row r="2999" spans="10:10" x14ac:dyDescent="0.35">
      <c r="J2999" s="1">
        <v>0</v>
      </c>
    </row>
    <row r="3000" spans="10:10" x14ac:dyDescent="0.35">
      <c r="J3000" s="1">
        <v>0</v>
      </c>
    </row>
    <row r="3001" spans="10:10" x14ac:dyDescent="0.35">
      <c r="J3001" s="1">
        <v>0</v>
      </c>
    </row>
    <row r="3002" spans="10:10" x14ac:dyDescent="0.35">
      <c r="J3002" s="1">
        <v>1</v>
      </c>
    </row>
    <row r="3003" spans="10:10" x14ac:dyDescent="0.35">
      <c r="J3003" s="1">
        <v>1</v>
      </c>
    </row>
    <row r="3004" spans="10:10" x14ac:dyDescent="0.35">
      <c r="J3004" s="1">
        <v>0</v>
      </c>
    </row>
    <row r="3005" spans="10:10" x14ac:dyDescent="0.35">
      <c r="J3005" s="1">
        <v>0</v>
      </c>
    </row>
    <row r="3006" spans="10:10" x14ac:dyDescent="0.35">
      <c r="J3006" s="1">
        <v>0</v>
      </c>
    </row>
    <row r="3007" spans="10:10" x14ac:dyDescent="0.35">
      <c r="J3007" s="1">
        <v>0</v>
      </c>
    </row>
    <row r="3008" spans="10:10" x14ac:dyDescent="0.35">
      <c r="J3008" s="1">
        <v>0</v>
      </c>
    </row>
    <row r="3009" spans="10:10" x14ac:dyDescent="0.35">
      <c r="J3009" s="1">
        <v>0</v>
      </c>
    </row>
    <row r="3010" spans="10:10" x14ac:dyDescent="0.35">
      <c r="J3010" s="1">
        <v>0</v>
      </c>
    </row>
    <row r="3011" spans="10:10" x14ac:dyDescent="0.35">
      <c r="J3011" s="1">
        <v>0</v>
      </c>
    </row>
    <row r="3012" spans="10:10" x14ac:dyDescent="0.35">
      <c r="J3012" s="1">
        <v>0</v>
      </c>
    </row>
    <row r="3013" spans="10:10" x14ac:dyDescent="0.35">
      <c r="J3013" s="1">
        <v>0</v>
      </c>
    </row>
    <row r="3014" spans="10:10" x14ac:dyDescent="0.35">
      <c r="J3014" s="1">
        <v>0</v>
      </c>
    </row>
    <row r="3015" spans="10:10" x14ac:dyDescent="0.35">
      <c r="J3015" s="1">
        <v>0</v>
      </c>
    </row>
    <row r="3016" spans="10:10" x14ac:dyDescent="0.35">
      <c r="J3016" s="1">
        <v>0</v>
      </c>
    </row>
    <row r="3017" spans="10:10" x14ac:dyDescent="0.35">
      <c r="J3017" s="1">
        <v>0</v>
      </c>
    </row>
    <row r="3018" spans="10:10" x14ac:dyDescent="0.35">
      <c r="J3018" s="1">
        <v>0</v>
      </c>
    </row>
    <row r="3019" spans="10:10" x14ac:dyDescent="0.35">
      <c r="J3019" s="1">
        <v>0</v>
      </c>
    </row>
    <row r="3020" spans="10:10" x14ac:dyDescent="0.35">
      <c r="J3020" s="1">
        <v>0</v>
      </c>
    </row>
    <row r="3021" spans="10:10" x14ac:dyDescent="0.35">
      <c r="J3021" s="1">
        <v>0</v>
      </c>
    </row>
    <row r="3022" spans="10:10" x14ac:dyDescent="0.35">
      <c r="J3022" s="1">
        <v>0</v>
      </c>
    </row>
    <row r="3023" spans="10:10" x14ac:dyDescent="0.35">
      <c r="J3023" s="1">
        <v>0</v>
      </c>
    </row>
    <row r="3024" spans="10:10" x14ac:dyDescent="0.35">
      <c r="J3024" s="1">
        <v>0</v>
      </c>
    </row>
    <row r="3025" spans="10:10" x14ac:dyDescent="0.35">
      <c r="J3025" s="1">
        <v>0</v>
      </c>
    </row>
    <row r="3026" spans="10:10" x14ac:dyDescent="0.35">
      <c r="J3026" s="1">
        <v>0</v>
      </c>
    </row>
    <row r="3027" spans="10:10" x14ac:dyDescent="0.35">
      <c r="J3027" s="1">
        <v>0</v>
      </c>
    </row>
    <row r="3028" spans="10:10" x14ac:dyDescent="0.35">
      <c r="J3028" s="1">
        <v>0</v>
      </c>
    </row>
    <row r="3029" spans="10:10" x14ac:dyDescent="0.35">
      <c r="J3029" s="1">
        <v>1</v>
      </c>
    </row>
    <row r="3030" spans="10:10" x14ac:dyDescent="0.35">
      <c r="J3030" s="1">
        <v>0</v>
      </c>
    </row>
    <row r="3031" spans="10:10" x14ac:dyDescent="0.35">
      <c r="J3031" s="1">
        <v>0</v>
      </c>
    </row>
    <row r="3032" spans="10:10" x14ac:dyDescent="0.35">
      <c r="J3032" s="1">
        <v>0</v>
      </c>
    </row>
    <row r="3033" spans="10:10" x14ac:dyDescent="0.35">
      <c r="J3033" s="1">
        <v>0</v>
      </c>
    </row>
    <row r="3034" spans="10:10" x14ac:dyDescent="0.35">
      <c r="J3034" s="1">
        <v>0</v>
      </c>
    </row>
    <row r="3035" spans="10:10" x14ac:dyDescent="0.35">
      <c r="J3035" s="1">
        <v>0</v>
      </c>
    </row>
    <row r="3036" spans="10:10" x14ac:dyDescent="0.35">
      <c r="J3036" s="1">
        <v>0</v>
      </c>
    </row>
    <row r="3037" spans="10:10" x14ac:dyDescent="0.35">
      <c r="J3037" s="1">
        <v>0</v>
      </c>
    </row>
    <row r="3038" spans="10:10" x14ac:dyDescent="0.35">
      <c r="J3038" s="1">
        <v>0</v>
      </c>
    </row>
    <row r="3039" spans="10:10" x14ac:dyDescent="0.35">
      <c r="J3039" s="1">
        <v>0</v>
      </c>
    </row>
    <row r="3040" spans="10:10" x14ac:dyDescent="0.35">
      <c r="J3040" s="1">
        <v>0</v>
      </c>
    </row>
    <row r="3041" spans="10:10" x14ac:dyDescent="0.35">
      <c r="J3041" s="1">
        <v>0</v>
      </c>
    </row>
    <row r="3042" spans="10:10" x14ac:dyDescent="0.35">
      <c r="J3042" s="1">
        <v>0</v>
      </c>
    </row>
    <row r="3043" spans="10:10" x14ac:dyDescent="0.35">
      <c r="J3043" s="1">
        <v>0</v>
      </c>
    </row>
    <row r="3044" spans="10:10" x14ac:dyDescent="0.35">
      <c r="J3044" s="1">
        <v>0</v>
      </c>
    </row>
    <row r="3045" spans="10:10" x14ac:dyDescent="0.35">
      <c r="J3045" s="1">
        <v>0</v>
      </c>
    </row>
    <row r="3046" spans="10:10" x14ac:dyDescent="0.35">
      <c r="J3046" s="1">
        <v>0</v>
      </c>
    </row>
    <row r="3047" spans="10:10" x14ac:dyDescent="0.35">
      <c r="J3047" s="1">
        <v>0</v>
      </c>
    </row>
    <row r="3048" spans="10:10" x14ac:dyDescent="0.35">
      <c r="J3048" s="1">
        <v>0</v>
      </c>
    </row>
    <row r="3049" spans="10:10" x14ac:dyDescent="0.35">
      <c r="J3049" s="1">
        <v>0</v>
      </c>
    </row>
    <row r="3050" spans="10:10" x14ac:dyDescent="0.35">
      <c r="J3050" s="1">
        <v>0</v>
      </c>
    </row>
    <row r="3051" spans="10:10" x14ac:dyDescent="0.35">
      <c r="J3051" s="1">
        <v>0</v>
      </c>
    </row>
    <row r="3052" spans="10:10" x14ac:dyDescent="0.35">
      <c r="J3052" s="1">
        <v>0</v>
      </c>
    </row>
    <row r="3053" spans="10:10" x14ac:dyDescent="0.35">
      <c r="J3053" s="1">
        <v>0</v>
      </c>
    </row>
    <row r="3054" spans="10:10" x14ac:dyDescent="0.35">
      <c r="J3054" s="1">
        <v>0</v>
      </c>
    </row>
    <row r="3055" spans="10:10" x14ac:dyDescent="0.35">
      <c r="J3055" s="1">
        <v>0</v>
      </c>
    </row>
    <row r="3056" spans="10:10" x14ac:dyDescent="0.35">
      <c r="J3056" s="1">
        <v>0</v>
      </c>
    </row>
    <row r="3057" spans="10:10" x14ac:dyDescent="0.35">
      <c r="J3057" s="1">
        <v>0</v>
      </c>
    </row>
    <row r="3058" spans="10:10" x14ac:dyDescent="0.35">
      <c r="J3058" s="1">
        <v>0</v>
      </c>
    </row>
    <row r="3059" spans="10:10" x14ac:dyDescent="0.35">
      <c r="J3059" s="1">
        <v>0</v>
      </c>
    </row>
    <row r="3060" spans="10:10" x14ac:dyDescent="0.35">
      <c r="J3060" s="1">
        <v>0</v>
      </c>
    </row>
    <row r="3061" spans="10:10" x14ac:dyDescent="0.35">
      <c r="J3061" s="1">
        <v>0</v>
      </c>
    </row>
    <row r="3062" spans="10:10" x14ac:dyDescent="0.35">
      <c r="J3062" s="1">
        <v>0</v>
      </c>
    </row>
    <row r="3063" spans="10:10" x14ac:dyDescent="0.35">
      <c r="J3063" s="1">
        <v>0</v>
      </c>
    </row>
    <row r="3064" spans="10:10" x14ac:dyDescent="0.35">
      <c r="J3064" s="1">
        <v>0</v>
      </c>
    </row>
    <row r="3065" spans="10:10" x14ac:dyDescent="0.35">
      <c r="J3065" s="1">
        <v>0</v>
      </c>
    </row>
    <row r="3066" spans="10:10" x14ac:dyDescent="0.35">
      <c r="J3066" s="1">
        <v>0</v>
      </c>
    </row>
    <row r="3067" spans="10:10" x14ac:dyDescent="0.35">
      <c r="J3067" s="1">
        <v>0</v>
      </c>
    </row>
    <row r="3068" spans="10:10" x14ac:dyDescent="0.35">
      <c r="J3068" s="1">
        <v>0</v>
      </c>
    </row>
    <row r="3069" spans="10:10" x14ac:dyDescent="0.35">
      <c r="J3069" s="1">
        <v>0</v>
      </c>
    </row>
    <row r="3070" spans="10:10" x14ac:dyDescent="0.35">
      <c r="J3070" s="1">
        <v>1</v>
      </c>
    </row>
    <row r="3071" spans="10:10" x14ac:dyDescent="0.35">
      <c r="J3071" s="1">
        <v>1</v>
      </c>
    </row>
    <row r="3072" spans="10:10" x14ac:dyDescent="0.35">
      <c r="J3072" s="1">
        <v>0</v>
      </c>
    </row>
    <row r="3073" spans="10:10" x14ac:dyDescent="0.35">
      <c r="J3073" s="1">
        <v>0</v>
      </c>
    </row>
    <row r="3074" spans="10:10" x14ac:dyDescent="0.35">
      <c r="J3074" s="1">
        <v>1</v>
      </c>
    </row>
    <row r="3075" spans="10:10" x14ac:dyDescent="0.35">
      <c r="J3075" s="1">
        <v>0</v>
      </c>
    </row>
    <row r="3076" spans="10:10" x14ac:dyDescent="0.35">
      <c r="J3076" s="1">
        <v>0</v>
      </c>
    </row>
    <row r="3077" spans="10:10" x14ac:dyDescent="0.35">
      <c r="J3077" s="1">
        <v>0</v>
      </c>
    </row>
    <row r="3078" spans="10:10" x14ac:dyDescent="0.35">
      <c r="J3078" s="1">
        <v>0</v>
      </c>
    </row>
    <row r="3079" spans="10:10" x14ac:dyDescent="0.35">
      <c r="J3079" s="1">
        <v>0</v>
      </c>
    </row>
    <row r="3080" spans="10:10" x14ac:dyDescent="0.35">
      <c r="J3080" s="1">
        <v>0</v>
      </c>
    </row>
    <row r="3081" spans="10:10" x14ac:dyDescent="0.35">
      <c r="J3081" s="1">
        <v>0</v>
      </c>
    </row>
    <row r="3082" spans="10:10" x14ac:dyDescent="0.35">
      <c r="J3082" s="1">
        <v>1</v>
      </c>
    </row>
    <row r="3083" spans="10:10" x14ac:dyDescent="0.35">
      <c r="J3083" s="1">
        <v>0</v>
      </c>
    </row>
    <row r="3084" spans="10:10" x14ac:dyDescent="0.35">
      <c r="J3084" s="1">
        <v>0</v>
      </c>
    </row>
    <row r="3085" spans="10:10" x14ac:dyDescent="0.35">
      <c r="J3085" s="1">
        <v>0</v>
      </c>
    </row>
    <row r="3086" spans="10:10" x14ac:dyDescent="0.35">
      <c r="J3086" s="1">
        <v>0</v>
      </c>
    </row>
    <row r="3087" spans="10:10" x14ac:dyDescent="0.35">
      <c r="J3087" s="1">
        <v>0</v>
      </c>
    </row>
    <row r="3088" spans="10:10" x14ac:dyDescent="0.35">
      <c r="J3088" s="1">
        <v>0</v>
      </c>
    </row>
    <row r="3089" spans="10:10" x14ac:dyDescent="0.35">
      <c r="J3089" s="1">
        <v>0</v>
      </c>
    </row>
    <row r="3090" spans="10:10" x14ac:dyDescent="0.35">
      <c r="J3090" s="1">
        <v>0</v>
      </c>
    </row>
    <row r="3091" spans="10:10" x14ac:dyDescent="0.35">
      <c r="J3091" s="1">
        <v>1</v>
      </c>
    </row>
    <row r="3092" spans="10:10" x14ac:dyDescent="0.35">
      <c r="J3092" s="1">
        <v>0</v>
      </c>
    </row>
    <row r="3093" spans="10:10" x14ac:dyDescent="0.35">
      <c r="J3093" s="1">
        <v>0</v>
      </c>
    </row>
    <row r="3094" spans="10:10" x14ac:dyDescent="0.35">
      <c r="J3094" s="1">
        <v>0</v>
      </c>
    </row>
    <row r="3095" spans="10:10" x14ac:dyDescent="0.35">
      <c r="J3095" s="1">
        <v>0</v>
      </c>
    </row>
    <row r="3096" spans="10:10" x14ac:dyDescent="0.35">
      <c r="J3096" s="1">
        <v>0</v>
      </c>
    </row>
    <row r="3097" spans="10:10" x14ac:dyDescent="0.35">
      <c r="J3097" s="1">
        <v>0</v>
      </c>
    </row>
    <row r="3098" spans="10:10" x14ac:dyDescent="0.35">
      <c r="J3098" s="1">
        <v>0</v>
      </c>
    </row>
    <row r="3099" spans="10:10" x14ac:dyDescent="0.35">
      <c r="J3099" s="1">
        <v>0</v>
      </c>
    </row>
    <row r="3100" spans="10:10" x14ac:dyDescent="0.35">
      <c r="J3100" s="1">
        <v>1</v>
      </c>
    </row>
    <row r="3101" spans="10:10" x14ac:dyDescent="0.35">
      <c r="J3101" s="1">
        <v>0</v>
      </c>
    </row>
    <row r="3102" spans="10:10" x14ac:dyDescent="0.35">
      <c r="J3102" s="1">
        <v>0</v>
      </c>
    </row>
    <row r="3103" spans="10:10" x14ac:dyDescent="0.35">
      <c r="J3103" s="1">
        <v>0</v>
      </c>
    </row>
    <row r="3104" spans="10:10" x14ac:dyDescent="0.35">
      <c r="J3104" s="1">
        <v>0</v>
      </c>
    </row>
    <row r="3105" spans="10:10" x14ac:dyDescent="0.35">
      <c r="J3105" s="1">
        <v>0</v>
      </c>
    </row>
    <row r="3106" spans="10:10" x14ac:dyDescent="0.35">
      <c r="J3106" s="1">
        <v>0</v>
      </c>
    </row>
    <row r="3107" spans="10:10" x14ac:dyDescent="0.35">
      <c r="J3107" s="1">
        <v>0</v>
      </c>
    </row>
    <row r="3108" spans="10:10" x14ac:dyDescent="0.35">
      <c r="J3108" s="1">
        <v>0</v>
      </c>
    </row>
    <row r="3109" spans="10:10" x14ac:dyDescent="0.35">
      <c r="J3109" s="1">
        <v>0</v>
      </c>
    </row>
    <row r="3110" spans="10:10" x14ac:dyDescent="0.35">
      <c r="J3110" s="1">
        <v>1</v>
      </c>
    </row>
    <row r="3111" spans="10:10" x14ac:dyDescent="0.35">
      <c r="J3111" s="1">
        <v>0</v>
      </c>
    </row>
    <row r="3112" spans="10:10" x14ac:dyDescent="0.35">
      <c r="J3112" s="1">
        <v>0</v>
      </c>
    </row>
    <row r="3113" spans="10:10" x14ac:dyDescent="0.35">
      <c r="J3113" s="1">
        <v>0</v>
      </c>
    </row>
    <row r="3114" spans="10:10" x14ac:dyDescent="0.35">
      <c r="J3114" s="1">
        <v>0</v>
      </c>
    </row>
    <row r="3115" spans="10:10" x14ac:dyDescent="0.35">
      <c r="J3115" s="1">
        <v>0</v>
      </c>
    </row>
    <row r="3116" spans="10:10" x14ac:dyDescent="0.35">
      <c r="J3116" s="1">
        <v>0</v>
      </c>
    </row>
    <row r="3117" spans="10:10" x14ac:dyDescent="0.35">
      <c r="J3117" s="1">
        <v>0</v>
      </c>
    </row>
    <row r="3118" spans="10:10" x14ac:dyDescent="0.35">
      <c r="J3118" s="1">
        <v>0</v>
      </c>
    </row>
    <row r="3119" spans="10:10" x14ac:dyDescent="0.35">
      <c r="J3119" s="1">
        <v>0</v>
      </c>
    </row>
    <row r="3120" spans="10:10" x14ac:dyDescent="0.35">
      <c r="J3120" s="1">
        <v>0</v>
      </c>
    </row>
    <row r="3121" spans="10:10" x14ac:dyDescent="0.35">
      <c r="J3121" s="1">
        <v>0</v>
      </c>
    </row>
    <row r="3122" spans="10:10" x14ac:dyDescent="0.35">
      <c r="J3122" s="1">
        <v>0</v>
      </c>
    </row>
    <row r="3123" spans="10:10" x14ac:dyDescent="0.35">
      <c r="J3123" s="1">
        <v>0</v>
      </c>
    </row>
    <row r="3124" spans="10:10" x14ac:dyDescent="0.35">
      <c r="J3124" s="1">
        <v>0</v>
      </c>
    </row>
    <row r="3125" spans="10:10" x14ac:dyDescent="0.35">
      <c r="J3125" s="1">
        <v>0</v>
      </c>
    </row>
    <row r="3126" spans="10:10" x14ac:dyDescent="0.35">
      <c r="J3126" s="1">
        <v>0</v>
      </c>
    </row>
    <row r="3127" spans="10:10" x14ac:dyDescent="0.35">
      <c r="J3127" s="1">
        <v>0</v>
      </c>
    </row>
    <row r="3128" spans="10:10" x14ac:dyDescent="0.35">
      <c r="J3128" s="1">
        <v>0</v>
      </c>
    </row>
    <row r="3129" spans="10:10" x14ac:dyDescent="0.35">
      <c r="J3129" s="1">
        <v>0</v>
      </c>
    </row>
    <row r="3130" spans="10:10" x14ac:dyDescent="0.35">
      <c r="J3130" s="1">
        <v>0</v>
      </c>
    </row>
    <row r="3131" spans="10:10" x14ac:dyDescent="0.35">
      <c r="J3131" s="1">
        <v>0</v>
      </c>
    </row>
    <row r="3132" spans="10:10" x14ac:dyDescent="0.35">
      <c r="J3132" s="1">
        <v>0</v>
      </c>
    </row>
    <row r="3133" spans="10:10" x14ac:dyDescent="0.35">
      <c r="J3133" s="1">
        <v>1</v>
      </c>
    </row>
    <row r="3134" spans="10:10" x14ac:dyDescent="0.35">
      <c r="J3134" s="1">
        <v>0</v>
      </c>
    </row>
    <row r="3135" spans="10:10" x14ac:dyDescent="0.35">
      <c r="J3135" s="1">
        <v>0</v>
      </c>
    </row>
    <row r="3136" spans="10:10" x14ac:dyDescent="0.35">
      <c r="J3136" s="1">
        <v>0</v>
      </c>
    </row>
    <row r="3137" spans="10:10" x14ac:dyDescent="0.35">
      <c r="J3137" s="1">
        <v>0</v>
      </c>
    </row>
    <row r="3138" spans="10:10" x14ac:dyDescent="0.35">
      <c r="J3138" s="1">
        <v>0</v>
      </c>
    </row>
    <row r="3139" spans="10:10" x14ac:dyDescent="0.35">
      <c r="J3139" s="1">
        <v>0</v>
      </c>
    </row>
    <row r="3140" spans="10:10" x14ac:dyDescent="0.35">
      <c r="J3140" s="1">
        <v>0</v>
      </c>
    </row>
    <row r="3141" spans="10:10" x14ac:dyDescent="0.35">
      <c r="J3141" s="1">
        <v>0</v>
      </c>
    </row>
    <row r="3142" spans="10:10" x14ac:dyDescent="0.35">
      <c r="J3142" s="1">
        <v>0</v>
      </c>
    </row>
    <row r="3143" spans="10:10" x14ac:dyDescent="0.35">
      <c r="J3143" s="1">
        <v>0</v>
      </c>
    </row>
    <row r="3144" spans="10:10" x14ac:dyDescent="0.35">
      <c r="J3144" s="1">
        <v>0</v>
      </c>
    </row>
    <row r="3145" spans="10:10" x14ac:dyDescent="0.35">
      <c r="J3145" s="1">
        <v>0</v>
      </c>
    </row>
    <row r="3146" spans="10:10" x14ac:dyDescent="0.35">
      <c r="J3146" s="1">
        <v>0</v>
      </c>
    </row>
    <row r="3147" spans="10:10" x14ac:dyDescent="0.35">
      <c r="J3147" s="1">
        <v>1</v>
      </c>
    </row>
    <row r="3148" spans="10:10" x14ac:dyDescent="0.35">
      <c r="J3148" s="1">
        <v>0</v>
      </c>
    </row>
    <row r="3149" spans="10:10" x14ac:dyDescent="0.35">
      <c r="J3149" s="1">
        <v>0</v>
      </c>
    </row>
    <row r="3150" spans="10:10" x14ac:dyDescent="0.35">
      <c r="J3150" s="1">
        <v>0</v>
      </c>
    </row>
    <row r="3151" spans="10:10" x14ac:dyDescent="0.35">
      <c r="J3151" s="1">
        <v>0</v>
      </c>
    </row>
    <row r="3152" spans="10:10" x14ac:dyDescent="0.35">
      <c r="J3152" s="1">
        <v>0</v>
      </c>
    </row>
    <row r="3153" spans="10:10" x14ac:dyDescent="0.35">
      <c r="J3153" s="1">
        <v>0</v>
      </c>
    </row>
    <row r="3154" spans="10:10" x14ac:dyDescent="0.35">
      <c r="J3154" s="1">
        <v>0</v>
      </c>
    </row>
    <row r="3155" spans="10:10" x14ac:dyDescent="0.35">
      <c r="J3155" s="1">
        <v>1</v>
      </c>
    </row>
    <row r="3156" spans="10:10" x14ac:dyDescent="0.35">
      <c r="J3156" s="1">
        <v>0</v>
      </c>
    </row>
    <row r="3157" spans="10:10" x14ac:dyDescent="0.35">
      <c r="J3157" s="1">
        <v>0</v>
      </c>
    </row>
    <row r="3158" spans="10:10" x14ac:dyDescent="0.35">
      <c r="J3158" s="1">
        <v>0</v>
      </c>
    </row>
    <row r="3159" spans="10:10" x14ac:dyDescent="0.35">
      <c r="J3159" s="1">
        <v>0</v>
      </c>
    </row>
    <row r="3160" spans="10:10" x14ac:dyDescent="0.35">
      <c r="J3160" s="1">
        <v>0</v>
      </c>
    </row>
    <row r="3161" spans="10:10" x14ac:dyDescent="0.35">
      <c r="J3161" s="1">
        <v>0</v>
      </c>
    </row>
    <row r="3162" spans="10:10" x14ac:dyDescent="0.35">
      <c r="J3162" s="1">
        <v>0</v>
      </c>
    </row>
    <row r="3163" spans="10:10" x14ac:dyDescent="0.35">
      <c r="J3163" s="1">
        <v>0</v>
      </c>
    </row>
    <row r="3164" spans="10:10" x14ac:dyDescent="0.35">
      <c r="J3164" s="1">
        <v>0</v>
      </c>
    </row>
    <row r="3165" spans="10:10" x14ac:dyDescent="0.35">
      <c r="J3165" s="1">
        <v>0</v>
      </c>
    </row>
    <row r="3166" spans="10:10" x14ac:dyDescent="0.35">
      <c r="J3166" s="1">
        <v>0</v>
      </c>
    </row>
    <row r="3167" spans="10:10" x14ac:dyDescent="0.35">
      <c r="J3167" s="1">
        <v>0</v>
      </c>
    </row>
    <row r="3168" spans="10:10" x14ac:dyDescent="0.35">
      <c r="J3168" s="1">
        <v>0</v>
      </c>
    </row>
    <row r="3169" spans="10:10" x14ac:dyDescent="0.35">
      <c r="J3169" s="1">
        <v>0</v>
      </c>
    </row>
    <row r="3170" spans="10:10" x14ac:dyDescent="0.35">
      <c r="J3170" s="1">
        <v>0</v>
      </c>
    </row>
    <row r="3171" spans="10:10" x14ac:dyDescent="0.35">
      <c r="J3171" s="1">
        <v>0</v>
      </c>
    </row>
    <row r="3172" spans="10:10" x14ac:dyDescent="0.35">
      <c r="J3172" s="1">
        <v>0</v>
      </c>
    </row>
    <row r="3173" spans="10:10" x14ac:dyDescent="0.35">
      <c r="J3173" s="1">
        <v>0</v>
      </c>
    </row>
    <row r="3174" spans="10:10" x14ac:dyDescent="0.35">
      <c r="J3174" s="1">
        <v>0</v>
      </c>
    </row>
    <row r="3175" spans="10:10" x14ac:dyDescent="0.35">
      <c r="J3175" s="1">
        <v>0</v>
      </c>
    </row>
    <row r="3176" spans="10:10" x14ac:dyDescent="0.35">
      <c r="J3176" s="1">
        <v>0</v>
      </c>
    </row>
    <row r="3177" spans="10:10" x14ac:dyDescent="0.35">
      <c r="J3177" s="1">
        <v>0</v>
      </c>
    </row>
    <row r="3178" spans="10:10" x14ac:dyDescent="0.35">
      <c r="J3178" s="1">
        <v>0</v>
      </c>
    </row>
    <row r="3179" spans="10:10" x14ac:dyDescent="0.35">
      <c r="J3179" s="1">
        <v>0</v>
      </c>
    </row>
    <row r="3180" spans="10:10" x14ac:dyDescent="0.35">
      <c r="J3180" s="1">
        <v>0</v>
      </c>
    </row>
    <row r="3181" spans="10:10" x14ac:dyDescent="0.35">
      <c r="J3181" s="1">
        <v>0</v>
      </c>
    </row>
    <row r="3182" spans="10:10" x14ac:dyDescent="0.35">
      <c r="J3182" s="1">
        <v>1</v>
      </c>
    </row>
    <row r="3183" spans="10:10" x14ac:dyDescent="0.35">
      <c r="J3183" s="1">
        <v>0</v>
      </c>
    </row>
    <row r="3184" spans="10:10" x14ac:dyDescent="0.35">
      <c r="J3184" s="1">
        <v>0</v>
      </c>
    </row>
    <row r="3185" spans="10:10" x14ac:dyDescent="0.35">
      <c r="J3185" s="1">
        <v>0</v>
      </c>
    </row>
    <row r="3186" spans="10:10" x14ac:dyDescent="0.35">
      <c r="J3186" s="1">
        <v>0</v>
      </c>
    </row>
    <row r="3187" spans="10:10" x14ac:dyDescent="0.35">
      <c r="J3187" s="1">
        <v>0</v>
      </c>
    </row>
    <row r="3188" spans="10:10" x14ac:dyDescent="0.35">
      <c r="J3188" s="1">
        <v>0</v>
      </c>
    </row>
    <row r="3189" spans="10:10" x14ac:dyDescent="0.35">
      <c r="J3189" s="1">
        <v>0</v>
      </c>
    </row>
    <row r="3190" spans="10:10" x14ac:dyDescent="0.35">
      <c r="J3190" s="1">
        <v>0</v>
      </c>
    </row>
    <row r="3191" spans="10:10" x14ac:dyDescent="0.35">
      <c r="J3191" s="1">
        <v>0</v>
      </c>
    </row>
    <row r="3192" spans="10:10" x14ac:dyDescent="0.35">
      <c r="J3192" s="1">
        <v>0</v>
      </c>
    </row>
    <row r="3193" spans="10:10" x14ac:dyDescent="0.35">
      <c r="J3193" s="1">
        <v>0</v>
      </c>
    </row>
    <row r="3194" spans="10:10" x14ac:dyDescent="0.35">
      <c r="J3194" s="1">
        <v>0</v>
      </c>
    </row>
    <row r="3195" spans="10:10" x14ac:dyDescent="0.35">
      <c r="J3195" s="1">
        <v>1</v>
      </c>
    </row>
    <row r="3196" spans="10:10" x14ac:dyDescent="0.35">
      <c r="J3196" s="1">
        <v>1</v>
      </c>
    </row>
    <row r="3197" spans="10:10" x14ac:dyDescent="0.35">
      <c r="J3197" s="1">
        <v>1</v>
      </c>
    </row>
    <row r="3198" spans="10:10" x14ac:dyDescent="0.35">
      <c r="J3198" s="1">
        <v>1</v>
      </c>
    </row>
    <row r="3199" spans="10:10" x14ac:dyDescent="0.35">
      <c r="J3199" s="1">
        <v>1</v>
      </c>
    </row>
    <row r="3200" spans="10:10" x14ac:dyDescent="0.35">
      <c r="J3200" s="1">
        <v>1</v>
      </c>
    </row>
    <row r="3201" spans="10:10" x14ac:dyDescent="0.35">
      <c r="J3201" s="1">
        <v>0</v>
      </c>
    </row>
    <row r="3202" spans="10:10" x14ac:dyDescent="0.35">
      <c r="J3202" s="1">
        <v>0</v>
      </c>
    </row>
    <row r="3203" spans="10:10" x14ac:dyDescent="0.35">
      <c r="J3203" s="1">
        <v>0</v>
      </c>
    </row>
    <row r="3204" spans="10:10" x14ac:dyDescent="0.35">
      <c r="J3204" s="1">
        <v>0</v>
      </c>
    </row>
    <row r="3205" spans="10:10" x14ac:dyDescent="0.35">
      <c r="J3205" s="1">
        <v>0</v>
      </c>
    </row>
    <row r="3206" spans="10:10" x14ac:dyDescent="0.35">
      <c r="J3206" s="1">
        <v>0</v>
      </c>
    </row>
    <row r="3207" spans="10:10" x14ac:dyDescent="0.35">
      <c r="J3207" s="1">
        <v>0</v>
      </c>
    </row>
    <row r="3208" spans="10:10" x14ac:dyDescent="0.35">
      <c r="J3208" s="1">
        <v>1</v>
      </c>
    </row>
    <row r="3209" spans="10:10" x14ac:dyDescent="0.35">
      <c r="J3209" s="1">
        <v>0</v>
      </c>
    </row>
    <row r="3210" spans="10:10" x14ac:dyDescent="0.35">
      <c r="J3210" s="1">
        <v>0</v>
      </c>
    </row>
    <row r="3211" spans="10:10" x14ac:dyDescent="0.35">
      <c r="J3211" s="1">
        <v>1</v>
      </c>
    </row>
    <row r="3212" spans="10:10" x14ac:dyDescent="0.35">
      <c r="J3212" s="1">
        <v>1</v>
      </c>
    </row>
    <row r="3213" spans="10:10" x14ac:dyDescent="0.35">
      <c r="J3213" s="1">
        <v>0</v>
      </c>
    </row>
    <row r="3214" spans="10:10" x14ac:dyDescent="0.35">
      <c r="J3214" s="1">
        <v>0</v>
      </c>
    </row>
    <row r="3215" spans="10:10" x14ac:dyDescent="0.35">
      <c r="J3215" s="1">
        <v>0</v>
      </c>
    </row>
    <row r="3216" spans="10:10" x14ac:dyDescent="0.35">
      <c r="J3216" s="1">
        <v>0</v>
      </c>
    </row>
    <row r="3217" spans="10:10" x14ac:dyDescent="0.35">
      <c r="J3217" s="1">
        <v>0</v>
      </c>
    </row>
    <row r="3218" spans="10:10" x14ac:dyDescent="0.35">
      <c r="J3218" s="1">
        <v>0</v>
      </c>
    </row>
    <row r="3219" spans="10:10" x14ac:dyDescent="0.35">
      <c r="J3219" s="1">
        <v>0</v>
      </c>
    </row>
    <row r="3220" spans="10:10" x14ac:dyDescent="0.35">
      <c r="J3220" s="1">
        <v>0</v>
      </c>
    </row>
    <row r="3221" spans="10:10" x14ac:dyDescent="0.35">
      <c r="J3221" s="1">
        <v>0</v>
      </c>
    </row>
    <row r="3222" spans="10:10" x14ac:dyDescent="0.35">
      <c r="J3222" s="1">
        <v>0</v>
      </c>
    </row>
    <row r="3223" spans="10:10" x14ac:dyDescent="0.35">
      <c r="J3223" s="1">
        <v>0</v>
      </c>
    </row>
    <row r="3224" spans="10:10" x14ac:dyDescent="0.35">
      <c r="J3224" s="1">
        <v>0</v>
      </c>
    </row>
    <row r="3225" spans="10:10" x14ac:dyDescent="0.35">
      <c r="J3225" s="1">
        <v>0</v>
      </c>
    </row>
    <row r="3226" spans="10:10" x14ac:dyDescent="0.35">
      <c r="J3226" s="1">
        <v>0</v>
      </c>
    </row>
    <row r="3227" spans="10:10" x14ac:dyDescent="0.35">
      <c r="J3227" s="1">
        <v>1</v>
      </c>
    </row>
    <row r="3228" spans="10:10" x14ac:dyDescent="0.35">
      <c r="J3228" s="1">
        <v>1</v>
      </c>
    </row>
    <row r="3229" spans="10:10" x14ac:dyDescent="0.35">
      <c r="J3229" s="1">
        <v>0</v>
      </c>
    </row>
    <row r="3230" spans="10:10" x14ac:dyDescent="0.35">
      <c r="J3230" s="1">
        <v>0</v>
      </c>
    </row>
    <row r="3231" spans="10:10" x14ac:dyDescent="0.35">
      <c r="J3231" s="1">
        <v>0</v>
      </c>
    </row>
    <row r="3232" spans="10:10" x14ac:dyDescent="0.35">
      <c r="J3232" s="1">
        <v>0</v>
      </c>
    </row>
    <row r="3233" spans="10:10" x14ac:dyDescent="0.35">
      <c r="J3233" s="1">
        <v>0</v>
      </c>
    </row>
    <row r="3234" spans="10:10" x14ac:dyDescent="0.35">
      <c r="J3234" s="1">
        <v>1</v>
      </c>
    </row>
    <row r="3235" spans="10:10" x14ac:dyDescent="0.35">
      <c r="J3235" s="1">
        <v>0</v>
      </c>
    </row>
    <row r="3236" spans="10:10" x14ac:dyDescent="0.35">
      <c r="J3236" s="1">
        <v>0</v>
      </c>
    </row>
    <row r="3237" spans="10:10" x14ac:dyDescent="0.35">
      <c r="J3237" s="1">
        <v>1</v>
      </c>
    </row>
    <row r="3238" spans="10:10" x14ac:dyDescent="0.35">
      <c r="J3238" s="1">
        <v>1</v>
      </c>
    </row>
    <row r="3239" spans="10:10" x14ac:dyDescent="0.35">
      <c r="J3239" s="1">
        <v>1</v>
      </c>
    </row>
    <row r="3240" spans="10:10" x14ac:dyDescent="0.35">
      <c r="J3240" s="1">
        <v>0</v>
      </c>
    </row>
    <row r="3241" spans="10:10" x14ac:dyDescent="0.35">
      <c r="J3241" s="1">
        <v>0</v>
      </c>
    </row>
    <row r="3242" spans="10:10" x14ac:dyDescent="0.35">
      <c r="J3242" s="1">
        <v>0</v>
      </c>
    </row>
    <row r="3243" spans="10:10" x14ac:dyDescent="0.35">
      <c r="J3243" s="1">
        <v>0</v>
      </c>
    </row>
    <row r="3244" spans="10:10" x14ac:dyDescent="0.35">
      <c r="J3244" s="1">
        <v>0</v>
      </c>
    </row>
    <row r="3245" spans="10:10" x14ac:dyDescent="0.35">
      <c r="J3245" s="1">
        <v>1</v>
      </c>
    </row>
    <row r="3246" spans="10:10" x14ac:dyDescent="0.35">
      <c r="J3246" s="1">
        <v>0</v>
      </c>
    </row>
    <row r="3247" spans="10:10" x14ac:dyDescent="0.35">
      <c r="J3247" s="1">
        <v>0</v>
      </c>
    </row>
    <row r="3248" spans="10:10" x14ac:dyDescent="0.35">
      <c r="J3248" s="1">
        <v>0</v>
      </c>
    </row>
    <row r="3249" spans="10:10" x14ac:dyDescent="0.35">
      <c r="J3249" s="1">
        <v>0</v>
      </c>
    </row>
    <row r="3250" spans="10:10" x14ac:dyDescent="0.35">
      <c r="J3250" s="1">
        <v>0</v>
      </c>
    </row>
    <row r="3251" spans="10:10" x14ac:dyDescent="0.35">
      <c r="J3251" s="1">
        <v>0</v>
      </c>
    </row>
    <row r="3252" spans="10:10" x14ac:dyDescent="0.35">
      <c r="J3252" s="1">
        <v>1</v>
      </c>
    </row>
    <row r="3253" spans="10:10" x14ac:dyDescent="0.35">
      <c r="J3253" s="1">
        <v>1</v>
      </c>
    </row>
    <row r="3254" spans="10:10" x14ac:dyDescent="0.35">
      <c r="J3254" s="1">
        <v>0</v>
      </c>
    </row>
    <row r="3255" spans="10:10" x14ac:dyDescent="0.35">
      <c r="J3255" s="1">
        <v>0</v>
      </c>
    </row>
    <row r="3256" spans="10:10" x14ac:dyDescent="0.35">
      <c r="J3256" s="1">
        <v>0</v>
      </c>
    </row>
    <row r="3257" spans="10:10" x14ac:dyDescent="0.35">
      <c r="J3257" s="1">
        <v>0</v>
      </c>
    </row>
    <row r="3258" spans="10:10" x14ac:dyDescent="0.35">
      <c r="J3258" s="1">
        <v>1</v>
      </c>
    </row>
    <row r="3259" spans="10:10" x14ac:dyDescent="0.35">
      <c r="J3259" s="1">
        <v>0</v>
      </c>
    </row>
    <row r="3260" spans="10:10" x14ac:dyDescent="0.35">
      <c r="J3260" s="1">
        <v>0</v>
      </c>
    </row>
    <row r="3261" spans="10:10" x14ac:dyDescent="0.35">
      <c r="J3261" s="1">
        <v>0</v>
      </c>
    </row>
    <row r="3262" spans="10:10" x14ac:dyDescent="0.35">
      <c r="J3262" s="1">
        <v>0</v>
      </c>
    </row>
    <row r="3263" spans="10:10" x14ac:dyDescent="0.35">
      <c r="J3263" s="1">
        <v>0</v>
      </c>
    </row>
    <row r="3264" spans="10:10" x14ac:dyDescent="0.35">
      <c r="J3264" s="1">
        <v>1</v>
      </c>
    </row>
    <row r="3265" spans="10:10" x14ac:dyDescent="0.35">
      <c r="J3265" s="1">
        <v>0</v>
      </c>
    </row>
    <row r="3266" spans="10:10" x14ac:dyDescent="0.35">
      <c r="J3266" s="1">
        <v>0</v>
      </c>
    </row>
    <row r="3267" spans="10:10" x14ac:dyDescent="0.35">
      <c r="J3267" s="1">
        <v>0</v>
      </c>
    </row>
    <row r="3268" spans="10:10" x14ac:dyDescent="0.35">
      <c r="J3268" s="1">
        <v>1</v>
      </c>
    </row>
    <row r="3269" spans="10:10" x14ac:dyDescent="0.35">
      <c r="J3269" s="1">
        <v>0</v>
      </c>
    </row>
    <row r="3270" spans="10:10" x14ac:dyDescent="0.35">
      <c r="J3270" s="1">
        <v>1</v>
      </c>
    </row>
    <row r="3271" spans="10:10" x14ac:dyDescent="0.35">
      <c r="J3271" s="1">
        <v>0</v>
      </c>
    </row>
    <row r="3272" spans="10:10" x14ac:dyDescent="0.35">
      <c r="J3272" s="1">
        <v>0</v>
      </c>
    </row>
    <row r="3273" spans="10:10" x14ac:dyDescent="0.35">
      <c r="J3273" s="1">
        <v>1</v>
      </c>
    </row>
    <row r="3274" spans="10:10" x14ac:dyDescent="0.35">
      <c r="J3274" s="1">
        <v>1</v>
      </c>
    </row>
    <row r="3275" spans="10:10" x14ac:dyDescent="0.35">
      <c r="J3275" s="1">
        <v>0</v>
      </c>
    </row>
    <row r="3276" spans="10:10" x14ac:dyDescent="0.35">
      <c r="J3276" s="1">
        <v>0</v>
      </c>
    </row>
    <row r="3277" spans="10:10" x14ac:dyDescent="0.35">
      <c r="J3277" s="1">
        <v>0</v>
      </c>
    </row>
    <row r="3278" spans="10:10" x14ac:dyDescent="0.35">
      <c r="J3278" s="1">
        <v>0</v>
      </c>
    </row>
    <row r="3279" spans="10:10" x14ac:dyDescent="0.35">
      <c r="J3279" s="1">
        <v>0</v>
      </c>
    </row>
    <row r="3280" spans="10:10" x14ac:dyDescent="0.35">
      <c r="J3280" s="1">
        <v>1</v>
      </c>
    </row>
    <row r="3281" spans="10:10" x14ac:dyDescent="0.35">
      <c r="J3281" s="1">
        <v>0</v>
      </c>
    </row>
    <row r="3282" spans="10:10" x14ac:dyDescent="0.35">
      <c r="J3282" s="1">
        <v>1</v>
      </c>
    </row>
    <row r="3283" spans="10:10" x14ac:dyDescent="0.35">
      <c r="J3283" s="1">
        <v>1</v>
      </c>
    </row>
    <row r="3284" spans="10:10" x14ac:dyDescent="0.35">
      <c r="J3284" s="1">
        <v>1</v>
      </c>
    </row>
    <row r="3285" spans="10:10" x14ac:dyDescent="0.35">
      <c r="J3285" s="1">
        <v>1</v>
      </c>
    </row>
    <row r="3286" spans="10:10" x14ac:dyDescent="0.35">
      <c r="J3286" s="1">
        <v>0</v>
      </c>
    </row>
    <row r="3287" spans="10:10" x14ac:dyDescent="0.35">
      <c r="J3287" s="1">
        <v>0</v>
      </c>
    </row>
    <row r="3288" spans="10:10" x14ac:dyDescent="0.35">
      <c r="J3288" s="1">
        <v>0</v>
      </c>
    </row>
    <row r="3289" spans="10:10" x14ac:dyDescent="0.35">
      <c r="J3289" s="1">
        <v>0</v>
      </c>
    </row>
    <row r="3290" spans="10:10" x14ac:dyDescent="0.35">
      <c r="J3290" s="1">
        <v>0</v>
      </c>
    </row>
    <row r="3291" spans="10:10" x14ac:dyDescent="0.35">
      <c r="J3291" s="1">
        <v>0</v>
      </c>
    </row>
    <row r="3292" spans="10:10" x14ac:dyDescent="0.35">
      <c r="J3292" s="1">
        <v>1</v>
      </c>
    </row>
    <row r="3293" spans="10:10" x14ac:dyDescent="0.35">
      <c r="J3293" s="1">
        <v>0</v>
      </c>
    </row>
    <row r="3294" spans="10:10" x14ac:dyDescent="0.35">
      <c r="J3294" s="1">
        <v>0</v>
      </c>
    </row>
    <row r="3295" spans="10:10" x14ac:dyDescent="0.35">
      <c r="J3295" s="1">
        <v>0</v>
      </c>
    </row>
    <row r="3296" spans="10:10" x14ac:dyDescent="0.35">
      <c r="J3296" s="1">
        <v>0</v>
      </c>
    </row>
    <row r="3297" spans="10:10" x14ac:dyDescent="0.35">
      <c r="J3297" s="1">
        <v>1</v>
      </c>
    </row>
    <row r="3298" spans="10:10" x14ac:dyDescent="0.35">
      <c r="J3298" s="1">
        <v>1</v>
      </c>
    </row>
    <row r="3299" spans="10:10" x14ac:dyDescent="0.35">
      <c r="J3299" s="1">
        <v>0</v>
      </c>
    </row>
    <row r="3300" spans="10:10" x14ac:dyDescent="0.35">
      <c r="J3300" s="1">
        <v>1</v>
      </c>
    </row>
    <row r="3301" spans="10:10" x14ac:dyDescent="0.35">
      <c r="J3301" s="1">
        <v>1</v>
      </c>
    </row>
    <row r="3302" spans="10:10" x14ac:dyDescent="0.35">
      <c r="J3302" s="1">
        <v>1</v>
      </c>
    </row>
    <row r="3303" spans="10:10" x14ac:dyDescent="0.35">
      <c r="J3303" s="1">
        <v>0</v>
      </c>
    </row>
    <row r="3304" spans="10:10" x14ac:dyDescent="0.35">
      <c r="J3304" s="1">
        <v>0</v>
      </c>
    </row>
    <row r="3305" spans="10:10" x14ac:dyDescent="0.35">
      <c r="J3305" s="1">
        <v>0</v>
      </c>
    </row>
    <row r="3306" spans="10:10" x14ac:dyDescent="0.35">
      <c r="J3306" s="1">
        <v>0</v>
      </c>
    </row>
    <row r="3307" spans="10:10" x14ac:dyDescent="0.35">
      <c r="J3307" s="1">
        <v>0</v>
      </c>
    </row>
    <row r="3308" spans="10:10" x14ac:dyDescent="0.35">
      <c r="J3308" s="1">
        <v>0</v>
      </c>
    </row>
    <row r="3309" spans="10:10" x14ac:dyDescent="0.35">
      <c r="J3309" s="1">
        <v>0</v>
      </c>
    </row>
    <row r="3310" spans="10:10" x14ac:dyDescent="0.35">
      <c r="J3310" s="1">
        <v>0</v>
      </c>
    </row>
    <row r="3311" spans="10:10" x14ac:dyDescent="0.35">
      <c r="J3311" s="1">
        <v>0</v>
      </c>
    </row>
    <row r="3312" spans="10:10" x14ac:dyDescent="0.35">
      <c r="J3312" s="1">
        <v>0</v>
      </c>
    </row>
    <row r="3313" spans="10:10" x14ac:dyDescent="0.35">
      <c r="J3313" s="1">
        <v>0</v>
      </c>
    </row>
    <row r="3314" spans="10:10" x14ac:dyDescent="0.35">
      <c r="J3314" s="1">
        <v>0</v>
      </c>
    </row>
    <row r="3315" spans="10:10" x14ac:dyDescent="0.35">
      <c r="J3315" s="1">
        <v>0</v>
      </c>
    </row>
    <row r="3316" spans="10:10" x14ac:dyDescent="0.35">
      <c r="J3316" s="1">
        <v>1</v>
      </c>
    </row>
    <row r="3317" spans="10:10" x14ac:dyDescent="0.35">
      <c r="J3317" s="1">
        <v>0</v>
      </c>
    </row>
    <row r="3318" spans="10:10" x14ac:dyDescent="0.35">
      <c r="J3318" s="1">
        <v>1</v>
      </c>
    </row>
    <row r="3319" spans="10:10" x14ac:dyDescent="0.35">
      <c r="J3319" s="1">
        <v>1</v>
      </c>
    </row>
    <row r="3320" spans="10:10" x14ac:dyDescent="0.35">
      <c r="J3320" s="1">
        <v>0</v>
      </c>
    </row>
    <row r="3321" spans="10:10" x14ac:dyDescent="0.35">
      <c r="J3321" s="1">
        <v>0</v>
      </c>
    </row>
    <row r="3322" spans="10:10" x14ac:dyDescent="0.35">
      <c r="J3322" s="1">
        <v>0</v>
      </c>
    </row>
    <row r="3323" spans="10:10" x14ac:dyDescent="0.35">
      <c r="J3323" s="1">
        <v>1</v>
      </c>
    </row>
    <row r="3324" spans="10:10" x14ac:dyDescent="0.35">
      <c r="J3324" s="1">
        <v>1</v>
      </c>
    </row>
    <row r="3325" spans="10:10" x14ac:dyDescent="0.35">
      <c r="J3325" s="1">
        <v>1</v>
      </c>
    </row>
    <row r="3326" spans="10:10" x14ac:dyDescent="0.35">
      <c r="J3326" s="1">
        <v>0</v>
      </c>
    </row>
    <row r="3327" spans="10:10" x14ac:dyDescent="0.35">
      <c r="J3327" s="1">
        <v>1</v>
      </c>
    </row>
    <row r="3328" spans="10:10" x14ac:dyDescent="0.35">
      <c r="J3328" s="1">
        <v>1</v>
      </c>
    </row>
    <row r="3329" spans="10:10" x14ac:dyDescent="0.35">
      <c r="J3329" s="1">
        <v>0</v>
      </c>
    </row>
    <row r="3330" spans="10:10" x14ac:dyDescent="0.35">
      <c r="J3330" s="1">
        <v>0</v>
      </c>
    </row>
    <row r="3331" spans="10:10" x14ac:dyDescent="0.35">
      <c r="J3331" s="1">
        <v>0</v>
      </c>
    </row>
    <row r="3332" spans="10:10" x14ac:dyDescent="0.35">
      <c r="J3332" s="1">
        <v>1</v>
      </c>
    </row>
    <row r="3333" spans="10:10" x14ac:dyDescent="0.35">
      <c r="J3333" s="1">
        <v>1</v>
      </c>
    </row>
    <row r="3334" spans="10:10" x14ac:dyDescent="0.35">
      <c r="J3334" s="1">
        <v>0</v>
      </c>
    </row>
    <row r="3335" spans="10:10" x14ac:dyDescent="0.35">
      <c r="J3335" s="1">
        <v>1</v>
      </c>
    </row>
    <row r="3336" spans="10:10" x14ac:dyDescent="0.35">
      <c r="J3336" s="1">
        <v>0</v>
      </c>
    </row>
    <row r="3337" spans="10:10" x14ac:dyDescent="0.35">
      <c r="J3337" s="1">
        <v>1</v>
      </c>
    </row>
    <row r="3338" spans="10:10" x14ac:dyDescent="0.35">
      <c r="J3338" s="1">
        <v>0</v>
      </c>
    </row>
    <row r="3339" spans="10:10" x14ac:dyDescent="0.35">
      <c r="J3339" s="1">
        <v>1</v>
      </c>
    </row>
    <row r="3340" spans="10:10" x14ac:dyDescent="0.35">
      <c r="J3340" s="1">
        <v>1</v>
      </c>
    </row>
    <row r="3341" spans="10:10" x14ac:dyDescent="0.35">
      <c r="J3341" s="1">
        <v>1</v>
      </c>
    </row>
    <row r="3342" spans="10:10" x14ac:dyDescent="0.35">
      <c r="J3342" s="1">
        <v>0</v>
      </c>
    </row>
    <row r="3343" spans="10:10" x14ac:dyDescent="0.35">
      <c r="J3343" s="1">
        <v>0</v>
      </c>
    </row>
    <row r="3344" spans="10:10" x14ac:dyDescent="0.35">
      <c r="J3344" s="1">
        <v>0</v>
      </c>
    </row>
    <row r="3345" spans="10:10" x14ac:dyDescent="0.35">
      <c r="J3345" s="1">
        <v>0</v>
      </c>
    </row>
    <row r="3346" spans="10:10" x14ac:dyDescent="0.35">
      <c r="J3346" s="1">
        <v>1</v>
      </c>
    </row>
    <row r="3347" spans="10:10" x14ac:dyDescent="0.35">
      <c r="J3347" s="1">
        <v>0</v>
      </c>
    </row>
    <row r="3348" spans="10:10" x14ac:dyDescent="0.35">
      <c r="J3348" s="1">
        <v>1</v>
      </c>
    </row>
    <row r="3349" spans="10:10" x14ac:dyDescent="0.35">
      <c r="J3349" s="1">
        <v>1</v>
      </c>
    </row>
    <row r="3350" spans="10:10" x14ac:dyDescent="0.35">
      <c r="J3350" s="1">
        <v>0</v>
      </c>
    </row>
    <row r="3351" spans="10:10" x14ac:dyDescent="0.35">
      <c r="J3351" s="1">
        <v>0</v>
      </c>
    </row>
    <row r="3352" spans="10:10" x14ac:dyDescent="0.35">
      <c r="J3352" s="1">
        <v>1</v>
      </c>
    </row>
    <row r="3353" spans="10:10" x14ac:dyDescent="0.35">
      <c r="J3353" s="1">
        <v>1</v>
      </c>
    </row>
    <row r="3354" spans="10:10" x14ac:dyDescent="0.35">
      <c r="J3354" s="1">
        <v>0</v>
      </c>
    </row>
    <row r="3355" spans="10:10" x14ac:dyDescent="0.35">
      <c r="J3355" s="1">
        <v>1</v>
      </c>
    </row>
    <row r="3356" spans="10:10" x14ac:dyDescent="0.35">
      <c r="J3356" s="1">
        <v>1</v>
      </c>
    </row>
    <row r="3357" spans="10:10" x14ac:dyDescent="0.35">
      <c r="J3357" s="1">
        <v>0</v>
      </c>
    </row>
    <row r="3358" spans="10:10" x14ac:dyDescent="0.35">
      <c r="J3358" s="1">
        <v>1</v>
      </c>
    </row>
    <row r="3359" spans="10:10" x14ac:dyDescent="0.35">
      <c r="J3359" s="1">
        <v>1</v>
      </c>
    </row>
    <row r="3360" spans="10:10" x14ac:dyDescent="0.35">
      <c r="J3360" s="1">
        <v>0</v>
      </c>
    </row>
    <row r="3361" spans="10:10" x14ac:dyDescent="0.35">
      <c r="J3361" s="1">
        <v>0</v>
      </c>
    </row>
    <row r="3362" spans="10:10" x14ac:dyDescent="0.35">
      <c r="J3362" s="1">
        <v>1</v>
      </c>
    </row>
    <row r="3363" spans="10:10" x14ac:dyDescent="0.35">
      <c r="J3363" s="1">
        <v>0</v>
      </c>
    </row>
    <row r="3364" spans="10:10" x14ac:dyDescent="0.35">
      <c r="J3364" s="1">
        <v>1</v>
      </c>
    </row>
    <row r="3365" spans="10:10" x14ac:dyDescent="0.35">
      <c r="J3365" s="1">
        <v>1</v>
      </c>
    </row>
    <row r="3366" spans="10:10" x14ac:dyDescent="0.35">
      <c r="J3366" s="1">
        <v>1</v>
      </c>
    </row>
    <row r="3367" spans="10:10" x14ac:dyDescent="0.35">
      <c r="J3367" s="1">
        <v>1</v>
      </c>
    </row>
    <row r="3368" spans="10:10" x14ac:dyDescent="0.35">
      <c r="J3368" s="1">
        <v>0</v>
      </c>
    </row>
    <row r="3369" spans="10:10" x14ac:dyDescent="0.35">
      <c r="J3369" s="1">
        <v>0</v>
      </c>
    </row>
    <row r="3370" spans="10:10" x14ac:dyDescent="0.35">
      <c r="J3370" s="1">
        <v>0</v>
      </c>
    </row>
    <row r="3371" spans="10:10" x14ac:dyDescent="0.35">
      <c r="J3371" s="1">
        <v>1</v>
      </c>
    </row>
    <row r="3372" spans="10:10" x14ac:dyDescent="0.35">
      <c r="J3372" s="1">
        <v>0</v>
      </c>
    </row>
    <row r="3373" spans="10:10" x14ac:dyDescent="0.35">
      <c r="J3373" s="1">
        <v>1</v>
      </c>
    </row>
    <row r="3374" spans="10:10" x14ac:dyDescent="0.35">
      <c r="J3374" s="1">
        <v>1</v>
      </c>
    </row>
    <row r="3375" spans="10:10" x14ac:dyDescent="0.35">
      <c r="J3375" s="1">
        <v>1</v>
      </c>
    </row>
    <row r="3376" spans="10:10" x14ac:dyDescent="0.35">
      <c r="J3376" s="1">
        <v>1</v>
      </c>
    </row>
    <row r="3377" spans="10:10" x14ac:dyDescent="0.35">
      <c r="J3377" s="1">
        <v>1</v>
      </c>
    </row>
    <row r="3378" spans="10:10" x14ac:dyDescent="0.35">
      <c r="J3378" s="1">
        <v>0</v>
      </c>
    </row>
    <row r="3379" spans="10:10" x14ac:dyDescent="0.35">
      <c r="J3379" s="1">
        <v>1</v>
      </c>
    </row>
    <row r="3380" spans="10:10" x14ac:dyDescent="0.35">
      <c r="J3380" s="1">
        <v>1</v>
      </c>
    </row>
    <row r="3381" spans="10:10" x14ac:dyDescent="0.35">
      <c r="J3381" s="1">
        <v>1</v>
      </c>
    </row>
    <row r="3382" spans="10:10" x14ac:dyDescent="0.35">
      <c r="J3382" s="1">
        <v>1</v>
      </c>
    </row>
    <row r="3383" spans="10:10" x14ac:dyDescent="0.35">
      <c r="J3383" s="1">
        <v>1</v>
      </c>
    </row>
    <row r="3384" spans="10:10" x14ac:dyDescent="0.35">
      <c r="J3384" s="1">
        <v>1</v>
      </c>
    </row>
    <row r="3385" spans="10:10" x14ac:dyDescent="0.35">
      <c r="J3385" s="1">
        <v>0</v>
      </c>
    </row>
    <row r="3386" spans="10:10" x14ac:dyDescent="0.35">
      <c r="J3386" s="1">
        <v>0</v>
      </c>
    </row>
    <row r="3387" spans="10:10" x14ac:dyDescent="0.35">
      <c r="J3387" s="1">
        <v>0</v>
      </c>
    </row>
    <row r="3388" spans="10:10" x14ac:dyDescent="0.35">
      <c r="J3388" s="1">
        <v>0</v>
      </c>
    </row>
    <row r="3389" spans="10:10" x14ac:dyDescent="0.35">
      <c r="J3389" s="1">
        <v>0</v>
      </c>
    </row>
    <row r="3390" spans="10:10" x14ac:dyDescent="0.35">
      <c r="J3390" s="1">
        <v>1</v>
      </c>
    </row>
    <row r="3391" spans="10:10" x14ac:dyDescent="0.35">
      <c r="J3391" s="1">
        <v>0</v>
      </c>
    </row>
    <row r="3392" spans="10:10" x14ac:dyDescent="0.35">
      <c r="J3392" s="1">
        <v>1</v>
      </c>
    </row>
    <row r="3393" spans="10:10" x14ac:dyDescent="0.35">
      <c r="J3393" s="1">
        <v>1</v>
      </c>
    </row>
    <row r="3394" spans="10:10" x14ac:dyDescent="0.35">
      <c r="J3394" s="1">
        <v>0</v>
      </c>
    </row>
    <row r="3395" spans="10:10" x14ac:dyDescent="0.35">
      <c r="J3395" s="1">
        <v>1</v>
      </c>
    </row>
    <row r="3396" spans="10:10" x14ac:dyDescent="0.35">
      <c r="J3396" s="1">
        <v>0</v>
      </c>
    </row>
    <row r="3397" spans="10:10" x14ac:dyDescent="0.35">
      <c r="J3397" s="1">
        <v>1</v>
      </c>
    </row>
    <row r="3398" spans="10:10" x14ac:dyDescent="0.35">
      <c r="J3398" s="1">
        <v>1</v>
      </c>
    </row>
    <row r="3399" spans="10:10" x14ac:dyDescent="0.35">
      <c r="J3399" s="1">
        <v>1</v>
      </c>
    </row>
    <row r="3400" spans="10:10" x14ac:dyDescent="0.35">
      <c r="J3400" s="1">
        <v>1</v>
      </c>
    </row>
    <row r="3401" spans="10:10" x14ac:dyDescent="0.35">
      <c r="J3401" s="1">
        <v>0</v>
      </c>
    </row>
    <row r="3402" spans="10:10" x14ac:dyDescent="0.35">
      <c r="J3402" s="1">
        <v>1</v>
      </c>
    </row>
    <row r="3403" spans="10:10" x14ac:dyDescent="0.35">
      <c r="J3403" s="1">
        <v>0</v>
      </c>
    </row>
    <row r="3404" spans="10:10" x14ac:dyDescent="0.35">
      <c r="J3404" s="1">
        <v>0</v>
      </c>
    </row>
    <row r="3405" spans="10:10" x14ac:dyDescent="0.35">
      <c r="J3405" s="1">
        <v>1</v>
      </c>
    </row>
    <row r="3406" spans="10:10" x14ac:dyDescent="0.35">
      <c r="J3406" s="1">
        <v>0</v>
      </c>
    </row>
    <row r="3407" spans="10:10" x14ac:dyDescent="0.35">
      <c r="J3407" s="1">
        <v>0</v>
      </c>
    </row>
    <row r="3408" spans="10:10" x14ac:dyDescent="0.35">
      <c r="J3408" s="1">
        <v>0</v>
      </c>
    </row>
    <row r="3409" spans="10:10" x14ac:dyDescent="0.35">
      <c r="J3409" s="1">
        <v>1</v>
      </c>
    </row>
    <row r="3410" spans="10:10" x14ac:dyDescent="0.35">
      <c r="J3410" s="1">
        <v>1</v>
      </c>
    </row>
    <row r="3411" spans="10:10" x14ac:dyDescent="0.35">
      <c r="J3411" s="1">
        <v>1</v>
      </c>
    </row>
    <row r="3412" spans="10:10" x14ac:dyDescent="0.35">
      <c r="J3412" s="1">
        <v>1</v>
      </c>
    </row>
    <row r="3413" spans="10:10" x14ac:dyDescent="0.35">
      <c r="J3413" s="1">
        <v>1</v>
      </c>
    </row>
    <row r="3414" spans="10:10" x14ac:dyDescent="0.35">
      <c r="J3414" s="1">
        <v>1</v>
      </c>
    </row>
    <row r="3415" spans="10:10" x14ac:dyDescent="0.35">
      <c r="J3415" s="1">
        <v>1</v>
      </c>
    </row>
    <row r="3416" spans="10:10" x14ac:dyDescent="0.35">
      <c r="J3416" s="1">
        <v>0</v>
      </c>
    </row>
    <row r="3417" spans="10:10" x14ac:dyDescent="0.35">
      <c r="J3417" s="1">
        <v>1</v>
      </c>
    </row>
    <row r="3418" spans="10:10" x14ac:dyDescent="0.35">
      <c r="J3418" s="1">
        <v>1</v>
      </c>
    </row>
    <row r="3419" spans="10:10" x14ac:dyDescent="0.35">
      <c r="J3419" s="1">
        <v>1</v>
      </c>
    </row>
    <row r="3420" spans="10:10" x14ac:dyDescent="0.35">
      <c r="J3420" s="1">
        <v>0</v>
      </c>
    </row>
    <row r="3421" spans="10:10" x14ac:dyDescent="0.35">
      <c r="J3421" s="1">
        <v>1</v>
      </c>
    </row>
    <row r="3422" spans="10:10" x14ac:dyDescent="0.35">
      <c r="J3422" s="1">
        <v>1</v>
      </c>
    </row>
    <row r="3423" spans="10:10" x14ac:dyDescent="0.35">
      <c r="J3423" s="1">
        <v>1</v>
      </c>
    </row>
    <row r="3424" spans="10:10" x14ac:dyDescent="0.35">
      <c r="J3424" s="1">
        <v>1</v>
      </c>
    </row>
    <row r="3425" spans="10:10" x14ac:dyDescent="0.35">
      <c r="J3425" s="1">
        <v>0</v>
      </c>
    </row>
    <row r="3426" spans="10:10" x14ac:dyDescent="0.35">
      <c r="J3426" s="1">
        <v>0</v>
      </c>
    </row>
    <row r="3427" spans="10:10" x14ac:dyDescent="0.35">
      <c r="J3427" s="1">
        <v>0</v>
      </c>
    </row>
    <row r="3428" spans="10:10" x14ac:dyDescent="0.35">
      <c r="J3428" s="1">
        <v>0</v>
      </c>
    </row>
    <row r="3429" spans="10:10" x14ac:dyDescent="0.35">
      <c r="J3429" s="1">
        <v>0</v>
      </c>
    </row>
    <row r="3430" spans="10:10" x14ac:dyDescent="0.35">
      <c r="J3430" s="1">
        <v>1</v>
      </c>
    </row>
    <row r="3431" spans="10:10" x14ac:dyDescent="0.35">
      <c r="J3431" s="1">
        <v>0</v>
      </c>
    </row>
    <row r="3432" spans="10:10" x14ac:dyDescent="0.35">
      <c r="J3432" s="1">
        <v>1</v>
      </c>
    </row>
    <row r="3433" spans="10:10" x14ac:dyDescent="0.35">
      <c r="J3433" s="1">
        <v>0</v>
      </c>
    </row>
    <row r="3434" spans="10:10" x14ac:dyDescent="0.35">
      <c r="J3434" s="1">
        <v>1</v>
      </c>
    </row>
    <row r="3435" spans="10:10" x14ac:dyDescent="0.35">
      <c r="J3435" s="1">
        <v>1</v>
      </c>
    </row>
    <row r="3436" spans="10:10" x14ac:dyDescent="0.35">
      <c r="J3436" s="1">
        <v>0</v>
      </c>
    </row>
    <row r="3437" spans="10:10" x14ac:dyDescent="0.35">
      <c r="J3437" s="1">
        <v>0</v>
      </c>
    </row>
    <row r="3438" spans="10:10" x14ac:dyDescent="0.35">
      <c r="J3438" s="1">
        <v>0</v>
      </c>
    </row>
    <row r="3439" spans="10:10" x14ac:dyDescent="0.35">
      <c r="J3439" s="1">
        <v>0</v>
      </c>
    </row>
    <row r="3440" spans="10:10" x14ac:dyDescent="0.35">
      <c r="J3440" s="1">
        <v>0</v>
      </c>
    </row>
    <row r="3441" spans="10:10" x14ac:dyDescent="0.35">
      <c r="J3441" s="1">
        <v>0</v>
      </c>
    </row>
    <row r="3442" spans="10:10" x14ac:dyDescent="0.35">
      <c r="J3442" s="1">
        <v>0</v>
      </c>
    </row>
    <row r="3443" spans="10:10" x14ac:dyDescent="0.35">
      <c r="J3443" s="1">
        <v>1</v>
      </c>
    </row>
    <row r="3444" spans="10:10" x14ac:dyDescent="0.35">
      <c r="J3444" s="1">
        <v>0</v>
      </c>
    </row>
    <row r="3445" spans="10:10" x14ac:dyDescent="0.35">
      <c r="J3445" s="1">
        <v>1</v>
      </c>
    </row>
    <row r="3446" spans="10:10" x14ac:dyDescent="0.35">
      <c r="J3446" s="1">
        <v>1</v>
      </c>
    </row>
    <row r="3447" spans="10:10" x14ac:dyDescent="0.35">
      <c r="J3447" s="1">
        <v>0</v>
      </c>
    </row>
    <row r="3448" spans="10:10" x14ac:dyDescent="0.35">
      <c r="J3448" s="1">
        <v>1</v>
      </c>
    </row>
    <row r="3449" spans="10:10" x14ac:dyDescent="0.35">
      <c r="J3449" s="1">
        <v>0</v>
      </c>
    </row>
    <row r="3450" spans="10:10" x14ac:dyDescent="0.35">
      <c r="J3450" s="1">
        <v>1</v>
      </c>
    </row>
    <row r="3451" spans="10:10" x14ac:dyDescent="0.35">
      <c r="J3451" s="1">
        <v>1</v>
      </c>
    </row>
    <row r="3452" spans="10:10" x14ac:dyDescent="0.35">
      <c r="J3452" s="1">
        <v>0</v>
      </c>
    </row>
    <row r="3453" spans="10:10" x14ac:dyDescent="0.35">
      <c r="J3453" s="1">
        <v>0</v>
      </c>
    </row>
    <row r="3454" spans="10:10" x14ac:dyDescent="0.35">
      <c r="J3454" s="1">
        <v>0</v>
      </c>
    </row>
    <row r="3455" spans="10:10" x14ac:dyDescent="0.35">
      <c r="J3455" s="1">
        <v>0</v>
      </c>
    </row>
    <row r="3456" spans="10:10" x14ac:dyDescent="0.35">
      <c r="J3456" s="1">
        <v>1</v>
      </c>
    </row>
    <row r="3457" spans="10:10" x14ac:dyDescent="0.35">
      <c r="J3457" s="1">
        <v>0</v>
      </c>
    </row>
    <row r="3458" spans="10:10" x14ac:dyDescent="0.35">
      <c r="J3458" s="1">
        <v>0</v>
      </c>
    </row>
    <row r="3459" spans="10:10" x14ac:dyDescent="0.35">
      <c r="J3459" s="1">
        <v>0</v>
      </c>
    </row>
    <row r="3460" spans="10:10" x14ac:dyDescent="0.35">
      <c r="J3460" s="1">
        <v>1</v>
      </c>
    </row>
    <row r="3461" spans="10:10" x14ac:dyDescent="0.35">
      <c r="J3461" s="1">
        <v>0</v>
      </c>
    </row>
    <row r="3462" spans="10:10" x14ac:dyDescent="0.35">
      <c r="J3462" s="1">
        <v>0</v>
      </c>
    </row>
    <row r="3463" spans="10:10" x14ac:dyDescent="0.35">
      <c r="J3463" s="1">
        <v>0</v>
      </c>
    </row>
    <row r="3464" spans="10:10" x14ac:dyDescent="0.35">
      <c r="J3464" s="1">
        <v>0</v>
      </c>
    </row>
    <row r="3465" spans="10:10" x14ac:dyDescent="0.35">
      <c r="J3465" s="1">
        <v>0</v>
      </c>
    </row>
    <row r="3466" spans="10:10" x14ac:dyDescent="0.35">
      <c r="J3466" s="1">
        <v>0</v>
      </c>
    </row>
    <row r="3467" spans="10:10" x14ac:dyDescent="0.35">
      <c r="J3467" s="1">
        <v>0</v>
      </c>
    </row>
    <row r="3468" spans="10:10" x14ac:dyDescent="0.35">
      <c r="J3468" s="1">
        <v>0</v>
      </c>
    </row>
    <row r="3469" spans="10:10" x14ac:dyDescent="0.35">
      <c r="J3469" s="1">
        <v>0</v>
      </c>
    </row>
    <row r="3470" spans="10:10" x14ac:dyDescent="0.35">
      <c r="J3470" s="1">
        <v>1</v>
      </c>
    </row>
    <row r="3471" spans="10:10" x14ac:dyDescent="0.35">
      <c r="J3471" s="1">
        <v>0</v>
      </c>
    </row>
    <row r="3472" spans="10:10" x14ac:dyDescent="0.35">
      <c r="J3472" s="1">
        <v>0</v>
      </c>
    </row>
    <row r="3473" spans="10:10" x14ac:dyDescent="0.35">
      <c r="J3473" s="1">
        <v>0</v>
      </c>
    </row>
    <row r="3474" spans="10:10" x14ac:dyDescent="0.35">
      <c r="J3474" s="1">
        <v>0</v>
      </c>
    </row>
    <row r="3475" spans="10:10" x14ac:dyDescent="0.35">
      <c r="J3475" s="1">
        <v>0</v>
      </c>
    </row>
    <row r="3476" spans="10:10" x14ac:dyDescent="0.35">
      <c r="J3476" s="1">
        <v>1</v>
      </c>
    </row>
    <row r="3477" spans="10:10" x14ac:dyDescent="0.35">
      <c r="J3477" s="1">
        <v>1</v>
      </c>
    </row>
    <row r="3478" spans="10:10" x14ac:dyDescent="0.35">
      <c r="J3478" s="1">
        <v>0</v>
      </c>
    </row>
    <row r="3479" spans="10:10" x14ac:dyDescent="0.35">
      <c r="J3479" s="1">
        <v>1</v>
      </c>
    </row>
    <row r="3480" spans="10:10" x14ac:dyDescent="0.35">
      <c r="J3480" s="1">
        <v>1</v>
      </c>
    </row>
    <row r="3481" spans="10:10" x14ac:dyDescent="0.35">
      <c r="J3481" s="1">
        <v>0</v>
      </c>
    </row>
    <row r="3482" spans="10:10" x14ac:dyDescent="0.35">
      <c r="J3482" s="1">
        <v>1</v>
      </c>
    </row>
    <row r="3483" spans="10:10" x14ac:dyDescent="0.35">
      <c r="J3483" s="1">
        <v>1</v>
      </c>
    </row>
    <row r="3484" spans="10:10" x14ac:dyDescent="0.35">
      <c r="J3484" s="1">
        <v>1</v>
      </c>
    </row>
    <row r="3485" spans="10:10" x14ac:dyDescent="0.35">
      <c r="J3485" s="1">
        <v>1</v>
      </c>
    </row>
    <row r="3486" spans="10:10" x14ac:dyDescent="0.35">
      <c r="J3486" s="1">
        <v>0</v>
      </c>
    </row>
    <row r="3487" spans="10:10" x14ac:dyDescent="0.35">
      <c r="J3487" s="1">
        <v>0</v>
      </c>
    </row>
    <row r="3488" spans="10:10" x14ac:dyDescent="0.35">
      <c r="J3488" s="1">
        <v>1</v>
      </c>
    </row>
    <row r="3489" spans="10:10" x14ac:dyDescent="0.35">
      <c r="J3489" s="1">
        <v>1</v>
      </c>
    </row>
    <row r="3490" spans="10:10" x14ac:dyDescent="0.35">
      <c r="J3490" s="1">
        <v>0</v>
      </c>
    </row>
    <row r="3491" spans="10:10" x14ac:dyDescent="0.35">
      <c r="J3491" s="1">
        <v>0</v>
      </c>
    </row>
    <row r="3492" spans="10:10" x14ac:dyDescent="0.35">
      <c r="J3492" s="1">
        <v>1</v>
      </c>
    </row>
    <row r="3493" spans="10:10" x14ac:dyDescent="0.35">
      <c r="J3493" s="1">
        <v>0</v>
      </c>
    </row>
    <row r="3494" spans="10:10" x14ac:dyDescent="0.35">
      <c r="J3494" s="1">
        <v>0</v>
      </c>
    </row>
    <row r="3495" spans="10:10" x14ac:dyDescent="0.35">
      <c r="J3495" s="1">
        <v>0</v>
      </c>
    </row>
    <row r="3496" spans="10:10" x14ac:dyDescent="0.35">
      <c r="J3496" s="1">
        <v>0</v>
      </c>
    </row>
    <row r="3497" spans="10:10" x14ac:dyDescent="0.35">
      <c r="J3497" s="1">
        <v>0</v>
      </c>
    </row>
    <row r="3498" spans="10:10" x14ac:dyDescent="0.35">
      <c r="J3498" s="1">
        <v>0</v>
      </c>
    </row>
    <row r="3499" spans="10:10" x14ac:dyDescent="0.35">
      <c r="J3499" s="1">
        <v>1</v>
      </c>
    </row>
    <row r="3500" spans="10:10" x14ac:dyDescent="0.35">
      <c r="J3500" s="1">
        <v>1</v>
      </c>
    </row>
    <row r="3501" spans="10:10" x14ac:dyDescent="0.35">
      <c r="J3501" s="1">
        <v>1</v>
      </c>
    </row>
    <row r="3502" spans="10:10" x14ac:dyDescent="0.35">
      <c r="J3502" s="1">
        <v>1</v>
      </c>
    </row>
    <row r="3503" spans="10:10" x14ac:dyDescent="0.35">
      <c r="J3503" s="1">
        <v>1</v>
      </c>
    </row>
    <row r="3504" spans="10:10" x14ac:dyDescent="0.35">
      <c r="J3504" s="1">
        <v>1</v>
      </c>
    </row>
    <row r="3505" spans="10:10" x14ac:dyDescent="0.35">
      <c r="J3505" s="1">
        <v>1</v>
      </c>
    </row>
    <row r="3506" spans="10:10" x14ac:dyDescent="0.35">
      <c r="J3506" s="1">
        <v>0</v>
      </c>
    </row>
    <row r="3507" spans="10:10" x14ac:dyDescent="0.35">
      <c r="J3507" s="1">
        <v>1</v>
      </c>
    </row>
    <row r="3508" spans="10:10" x14ac:dyDescent="0.35">
      <c r="J3508" s="1">
        <v>1</v>
      </c>
    </row>
    <row r="3509" spans="10:10" x14ac:dyDescent="0.35">
      <c r="J3509" s="1">
        <v>0</v>
      </c>
    </row>
    <row r="3510" spans="10:10" x14ac:dyDescent="0.35">
      <c r="J3510" s="1">
        <v>0</v>
      </c>
    </row>
    <row r="3511" spans="10:10" x14ac:dyDescent="0.35">
      <c r="J3511" s="1">
        <v>0</v>
      </c>
    </row>
    <row r="3512" spans="10:10" x14ac:dyDescent="0.35">
      <c r="J3512" s="1">
        <v>1</v>
      </c>
    </row>
    <row r="3513" spans="10:10" x14ac:dyDescent="0.35">
      <c r="J3513" s="1">
        <v>0</v>
      </c>
    </row>
    <row r="3514" spans="10:10" x14ac:dyDescent="0.35">
      <c r="J3514" s="1">
        <v>1</v>
      </c>
    </row>
    <row r="3515" spans="10:10" x14ac:dyDescent="0.35">
      <c r="J3515" s="1">
        <v>0</v>
      </c>
    </row>
    <row r="3516" spans="10:10" x14ac:dyDescent="0.35">
      <c r="J3516" s="1">
        <v>1</v>
      </c>
    </row>
    <row r="3517" spans="10:10" x14ac:dyDescent="0.35">
      <c r="J3517" s="1">
        <v>0</v>
      </c>
    </row>
    <row r="3518" spans="10:10" x14ac:dyDescent="0.35">
      <c r="J3518" s="1">
        <v>0</v>
      </c>
    </row>
    <row r="3519" spans="10:10" x14ac:dyDescent="0.35">
      <c r="J3519" s="1">
        <v>1</v>
      </c>
    </row>
    <row r="3520" spans="10:10" x14ac:dyDescent="0.35">
      <c r="J3520" s="1">
        <v>1</v>
      </c>
    </row>
    <row r="3521" spans="10:10" x14ac:dyDescent="0.35">
      <c r="J3521" s="1">
        <v>0</v>
      </c>
    </row>
    <row r="3522" spans="10:10" x14ac:dyDescent="0.35">
      <c r="J3522" s="1">
        <v>0</v>
      </c>
    </row>
    <row r="3523" spans="10:10" x14ac:dyDescent="0.35">
      <c r="J3523" s="1">
        <v>1</v>
      </c>
    </row>
    <row r="3524" spans="10:10" x14ac:dyDescent="0.35">
      <c r="J3524" s="1">
        <v>0</v>
      </c>
    </row>
    <row r="3525" spans="10:10" x14ac:dyDescent="0.35">
      <c r="J3525" s="1">
        <v>1</v>
      </c>
    </row>
    <row r="3526" spans="10:10" x14ac:dyDescent="0.35">
      <c r="J3526" s="1">
        <v>0</v>
      </c>
    </row>
    <row r="3527" spans="10:10" x14ac:dyDescent="0.35">
      <c r="J3527" s="1">
        <v>1</v>
      </c>
    </row>
    <row r="3528" spans="10:10" x14ac:dyDescent="0.35">
      <c r="J3528" s="1">
        <v>0</v>
      </c>
    </row>
    <row r="3529" spans="10:10" x14ac:dyDescent="0.35">
      <c r="J3529" s="1">
        <v>1</v>
      </c>
    </row>
    <row r="3530" spans="10:10" x14ac:dyDescent="0.35">
      <c r="J3530" s="1">
        <v>1</v>
      </c>
    </row>
    <row r="3531" spans="10:10" x14ac:dyDescent="0.35">
      <c r="J3531" s="1">
        <v>0</v>
      </c>
    </row>
    <row r="3532" spans="10:10" x14ac:dyDescent="0.35">
      <c r="J3532" s="1">
        <v>0</v>
      </c>
    </row>
    <row r="3533" spans="10:10" x14ac:dyDescent="0.35">
      <c r="J3533" s="1">
        <v>0</v>
      </c>
    </row>
    <row r="3534" spans="10:10" x14ac:dyDescent="0.35">
      <c r="J3534" s="1">
        <v>1</v>
      </c>
    </row>
    <row r="3535" spans="10:10" x14ac:dyDescent="0.35">
      <c r="J3535" s="1">
        <v>1</v>
      </c>
    </row>
    <row r="3536" spans="10:10" x14ac:dyDescent="0.35">
      <c r="J3536" s="1">
        <v>0</v>
      </c>
    </row>
    <row r="3537" spans="10:10" x14ac:dyDescent="0.35">
      <c r="J3537" s="1">
        <v>0</v>
      </c>
    </row>
    <row r="3538" spans="10:10" x14ac:dyDescent="0.35">
      <c r="J3538" s="1">
        <v>1</v>
      </c>
    </row>
    <row r="3539" spans="10:10" x14ac:dyDescent="0.35">
      <c r="J3539" s="1">
        <v>0</v>
      </c>
    </row>
    <row r="3540" spans="10:10" x14ac:dyDescent="0.35">
      <c r="J3540" s="1">
        <v>1</v>
      </c>
    </row>
    <row r="3541" spans="10:10" x14ac:dyDescent="0.35">
      <c r="J3541" s="1">
        <v>0</v>
      </c>
    </row>
    <row r="3542" spans="10:10" x14ac:dyDescent="0.35">
      <c r="J3542" s="1">
        <v>1</v>
      </c>
    </row>
    <row r="3543" spans="10:10" x14ac:dyDescent="0.35">
      <c r="J3543" s="1">
        <v>1</v>
      </c>
    </row>
    <row r="3544" spans="10:10" x14ac:dyDescent="0.35">
      <c r="J3544" s="1">
        <v>1</v>
      </c>
    </row>
    <row r="3545" spans="10:10" x14ac:dyDescent="0.35">
      <c r="J3545" s="1">
        <v>1</v>
      </c>
    </row>
    <row r="3546" spans="10:10" x14ac:dyDescent="0.35">
      <c r="J3546" s="1">
        <v>0</v>
      </c>
    </row>
    <row r="3547" spans="10:10" x14ac:dyDescent="0.35">
      <c r="J3547" s="1">
        <v>1</v>
      </c>
    </row>
    <row r="3548" spans="10:10" x14ac:dyDescent="0.35">
      <c r="J3548" s="1">
        <v>1</v>
      </c>
    </row>
    <row r="3549" spans="10:10" x14ac:dyDescent="0.35">
      <c r="J3549" s="1">
        <v>1</v>
      </c>
    </row>
    <row r="3550" spans="10:10" x14ac:dyDescent="0.35">
      <c r="J3550" s="1">
        <v>1</v>
      </c>
    </row>
    <row r="3551" spans="10:10" x14ac:dyDescent="0.35">
      <c r="J3551" s="1">
        <v>1</v>
      </c>
    </row>
    <row r="3552" spans="10:10" x14ac:dyDescent="0.35">
      <c r="J3552" s="1">
        <v>1</v>
      </c>
    </row>
    <row r="3553" spans="10:10" x14ac:dyDescent="0.35">
      <c r="J3553" s="1">
        <v>1</v>
      </c>
    </row>
    <row r="3554" spans="10:10" x14ac:dyDescent="0.35">
      <c r="J3554" s="1">
        <v>1</v>
      </c>
    </row>
    <row r="3555" spans="10:10" x14ac:dyDescent="0.35">
      <c r="J3555" s="1">
        <v>1</v>
      </c>
    </row>
    <row r="3556" spans="10:10" x14ac:dyDescent="0.35">
      <c r="J3556" s="1">
        <v>1</v>
      </c>
    </row>
    <row r="3557" spans="10:10" x14ac:dyDescent="0.35">
      <c r="J3557" s="1">
        <v>0</v>
      </c>
    </row>
    <row r="3558" spans="10:10" x14ac:dyDescent="0.35">
      <c r="J3558" s="1">
        <v>0</v>
      </c>
    </row>
    <row r="3559" spans="10:10" x14ac:dyDescent="0.35">
      <c r="J3559" s="1">
        <v>1</v>
      </c>
    </row>
    <row r="3560" spans="10:10" x14ac:dyDescent="0.35">
      <c r="J3560" s="1">
        <v>1</v>
      </c>
    </row>
    <row r="3561" spans="10:10" x14ac:dyDescent="0.35">
      <c r="J3561" s="1">
        <v>1</v>
      </c>
    </row>
    <row r="3562" spans="10:10" x14ac:dyDescent="0.35">
      <c r="J3562" s="1">
        <v>1</v>
      </c>
    </row>
    <row r="3563" spans="10:10" x14ac:dyDescent="0.35">
      <c r="J3563" s="1">
        <v>1</v>
      </c>
    </row>
    <row r="3564" spans="10:10" x14ac:dyDescent="0.35">
      <c r="J3564" s="1">
        <v>0</v>
      </c>
    </row>
    <row r="3565" spans="10:10" x14ac:dyDescent="0.35">
      <c r="J3565" s="1">
        <v>1</v>
      </c>
    </row>
    <row r="3566" spans="10:10" x14ac:dyDescent="0.35">
      <c r="J3566" s="1">
        <v>1</v>
      </c>
    </row>
    <row r="3567" spans="10:10" x14ac:dyDescent="0.35">
      <c r="J3567" s="1">
        <v>0</v>
      </c>
    </row>
    <row r="3568" spans="10:10" x14ac:dyDescent="0.35">
      <c r="J3568" s="1">
        <v>1</v>
      </c>
    </row>
    <row r="3569" spans="10:10" x14ac:dyDescent="0.35">
      <c r="J3569" s="1">
        <v>1</v>
      </c>
    </row>
    <row r="3570" spans="10:10" x14ac:dyDescent="0.35">
      <c r="J3570" s="1">
        <v>0</v>
      </c>
    </row>
    <row r="3571" spans="10:10" x14ac:dyDescent="0.35">
      <c r="J3571" s="1">
        <v>1</v>
      </c>
    </row>
    <row r="3572" spans="10:10" x14ac:dyDescent="0.35">
      <c r="J3572" s="1">
        <v>1</v>
      </c>
    </row>
    <row r="3573" spans="10:10" x14ac:dyDescent="0.35">
      <c r="J3573" s="1">
        <v>1</v>
      </c>
    </row>
    <row r="3574" spans="10:10" x14ac:dyDescent="0.35">
      <c r="J3574" s="1">
        <v>1</v>
      </c>
    </row>
    <row r="3575" spans="10:10" x14ac:dyDescent="0.35">
      <c r="J3575" s="1">
        <v>1</v>
      </c>
    </row>
    <row r="3576" spans="10:10" x14ac:dyDescent="0.35">
      <c r="J3576" s="1">
        <v>1</v>
      </c>
    </row>
    <row r="3577" spans="10:10" x14ac:dyDescent="0.35">
      <c r="J3577" s="1">
        <v>1</v>
      </c>
    </row>
    <row r="3578" spans="10:10" x14ac:dyDescent="0.35">
      <c r="J3578" s="1">
        <v>1</v>
      </c>
    </row>
    <row r="3579" spans="10:10" x14ac:dyDescent="0.35">
      <c r="J3579" s="1">
        <v>1</v>
      </c>
    </row>
    <row r="3580" spans="10:10" x14ac:dyDescent="0.35">
      <c r="J3580" s="1">
        <v>1</v>
      </c>
    </row>
    <row r="3581" spans="10:10" x14ac:dyDescent="0.35">
      <c r="J3581" s="1">
        <v>0</v>
      </c>
    </row>
    <row r="3582" spans="10:10" x14ac:dyDescent="0.35">
      <c r="J3582" s="1">
        <v>1</v>
      </c>
    </row>
    <row r="3583" spans="10:10" x14ac:dyDescent="0.35">
      <c r="J3583" s="1">
        <v>1</v>
      </c>
    </row>
    <row r="3584" spans="10:10" x14ac:dyDescent="0.35">
      <c r="J3584" s="1">
        <v>1</v>
      </c>
    </row>
    <row r="3585" spans="10:10" x14ac:dyDescent="0.35">
      <c r="J3585" s="1">
        <v>1</v>
      </c>
    </row>
    <row r="3586" spans="10:10" x14ac:dyDescent="0.35">
      <c r="J3586" s="1">
        <v>1</v>
      </c>
    </row>
    <row r="3587" spans="10:10" x14ac:dyDescent="0.35">
      <c r="J3587" s="1">
        <v>1</v>
      </c>
    </row>
    <row r="3588" spans="10:10" x14ac:dyDescent="0.35">
      <c r="J3588" s="1">
        <v>1</v>
      </c>
    </row>
    <row r="3589" spans="10:10" x14ac:dyDescent="0.35">
      <c r="J3589" s="1">
        <v>0</v>
      </c>
    </row>
    <row r="3590" spans="10:10" x14ac:dyDescent="0.35">
      <c r="J3590" s="1">
        <v>0</v>
      </c>
    </row>
    <row r="3591" spans="10:10" x14ac:dyDescent="0.35">
      <c r="J3591" s="1">
        <v>0</v>
      </c>
    </row>
    <row r="3592" spans="10:10" x14ac:dyDescent="0.35">
      <c r="J3592" s="1">
        <v>0</v>
      </c>
    </row>
    <row r="3593" spans="10:10" x14ac:dyDescent="0.35">
      <c r="J3593" s="1">
        <v>1</v>
      </c>
    </row>
    <row r="3594" spans="10:10" x14ac:dyDescent="0.35">
      <c r="J3594" s="1">
        <v>1</v>
      </c>
    </row>
    <row r="3595" spans="10:10" x14ac:dyDescent="0.35">
      <c r="J3595" s="1">
        <v>1</v>
      </c>
    </row>
    <row r="3596" spans="10:10" x14ac:dyDescent="0.35">
      <c r="J3596" s="1">
        <v>1</v>
      </c>
    </row>
    <row r="3597" spans="10:10" x14ac:dyDescent="0.35">
      <c r="J3597" s="1">
        <v>0</v>
      </c>
    </row>
    <row r="3598" spans="10:10" x14ac:dyDescent="0.35">
      <c r="J3598" s="1">
        <v>1</v>
      </c>
    </row>
    <row r="3599" spans="10:10" x14ac:dyDescent="0.35">
      <c r="J3599" s="1">
        <v>1</v>
      </c>
    </row>
    <row r="3600" spans="10:10" x14ac:dyDescent="0.35">
      <c r="J3600" s="1">
        <v>1</v>
      </c>
    </row>
    <row r="3601" spans="10:10" x14ac:dyDescent="0.35">
      <c r="J3601" s="1">
        <v>1</v>
      </c>
    </row>
    <row r="3602" spans="10:10" x14ac:dyDescent="0.35">
      <c r="J3602" s="1">
        <v>1</v>
      </c>
    </row>
    <row r="3603" spans="10:10" x14ac:dyDescent="0.35">
      <c r="J3603" s="1">
        <v>1</v>
      </c>
    </row>
    <row r="3604" spans="10:10" x14ac:dyDescent="0.35">
      <c r="J3604" s="1">
        <v>1</v>
      </c>
    </row>
    <row r="3605" spans="10:10" x14ac:dyDescent="0.35">
      <c r="J3605" s="1">
        <v>1</v>
      </c>
    </row>
    <row r="3606" spans="10:10" x14ac:dyDescent="0.35">
      <c r="J3606" s="1">
        <v>1</v>
      </c>
    </row>
    <row r="3607" spans="10:10" x14ac:dyDescent="0.35">
      <c r="J3607" s="1">
        <v>0</v>
      </c>
    </row>
    <row r="3608" spans="10:10" x14ac:dyDescent="0.35">
      <c r="J3608" s="1">
        <v>1</v>
      </c>
    </row>
    <row r="3609" spans="10:10" x14ac:dyDescent="0.35">
      <c r="J3609" s="1">
        <v>0</v>
      </c>
    </row>
    <row r="3610" spans="10:10" x14ac:dyDescent="0.35">
      <c r="J3610" s="1">
        <v>1</v>
      </c>
    </row>
    <row r="3611" spans="10:10" x14ac:dyDescent="0.35">
      <c r="J3611" s="1">
        <v>1</v>
      </c>
    </row>
    <row r="3612" spans="10:10" x14ac:dyDescent="0.35">
      <c r="J3612" s="1">
        <v>1</v>
      </c>
    </row>
    <row r="3613" spans="10:10" x14ac:dyDescent="0.35">
      <c r="J3613" s="1">
        <v>1</v>
      </c>
    </row>
    <row r="3614" spans="10:10" x14ac:dyDescent="0.35">
      <c r="J3614" s="1">
        <v>1</v>
      </c>
    </row>
    <row r="3615" spans="10:10" x14ac:dyDescent="0.35">
      <c r="J3615" s="1">
        <v>1</v>
      </c>
    </row>
    <row r="3616" spans="10:10" x14ac:dyDescent="0.35">
      <c r="J3616" s="1">
        <v>1</v>
      </c>
    </row>
    <row r="3617" spans="10:10" x14ac:dyDescent="0.35">
      <c r="J3617" s="1">
        <v>1</v>
      </c>
    </row>
    <row r="3618" spans="10:10" x14ac:dyDescent="0.35">
      <c r="J3618" s="1">
        <v>0</v>
      </c>
    </row>
    <row r="3619" spans="10:10" x14ac:dyDescent="0.35">
      <c r="J3619" s="1">
        <v>1</v>
      </c>
    </row>
    <row r="3620" spans="10:10" x14ac:dyDescent="0.35">
      <c r="J3620" s="1">
        <v>1</v>
      </c>
    </row>
    <row r="3621" spans="10:10" x14ac:dyDescent="0.35">
      <c r="J3621" s="1">
        <v>0</v>
      </c>
    </row>
    <row r="3622" spans="10:10" x14ac:dyDescent="0.35">
      <c r="J3622" s="1">
        <v>0</v>
      </c>
    </row>
    <row r="3623" spans="10:10" x14ac:dyDescent="0.35">
      <c r="J3623" s="1">
        <v>1</v>
      </c>
    </row>
    <row r="3624" spans="10:10" x14ac:dyDescent="0.35">
      <c r="J3624" s="1">
        <v>1</v>
      </c>
    </row>
    <row r="3625" spans="10:10" x14ac:dyDescent="0.35">
      <c r="J3625" s="1">
        <v>0</v>
      </c>
    </row>
    <row r="3626" spans="10:10" x14ac:dyDescent="0.35">
      <c r="J3626" s="1">
        <v>1</v>
      </c>
    </row>
    <row r="3627" spans="10:10" x14ac:dyDescent="0.35">
      <c r="J3627" s="1">
        <v>1</v>
      </c>
    </row>
    <row r="3628" spans="10:10" x14ac:dyDescent="0.35">
      <c r="J3628" s="1">
        <v>0</v>
      </c>
    </row>
    <row r="3629" spans="10:10" x14ac:dyDescent="0.35">
      <c r="J3629" s="1">
        <v>1</v>
      </c>
    </row>
    <row r="3630" spans="10:10" x14ac:dyDescent="0.35">
      <c r="J3630" s="1">
        <v>1</v>
      </c>
    </row>
    <row r="3631" spans="10:10" x14ac:dyDescent="0.35">
      <c r="J3631" s="1">
        <v>1</v>
      </c>
    </row>
    <row r="3632" spans="10:10" x14ac:dyDescent="0.35">
      <c r="J3632" s="1">
        <v>1</v>
      </c>
    </row>
    <row r="3633" spans="10:10" x14ac:dyDescent="0.35">
      <c r="J3633" s="1">
        <v>1</v>
      </c>
    </row>
    <row r="3634" spans="10:10" x14ac:dyDescent="0.35">
      <c r="J3634" s="1">
        <v>1</v>
      </c>
    </row>
    <row r="3635" spans="10:10" x14ac:dyDescent="0.35">
      <c r="J3635" s="1">
        <v>1</v>
      </c>
    </row>
    <row r="3636" spans="10:10" x14ac:dyDescent="0.35">
      <c r="J3636" s="1">
        <v>1</v>
      </c>
    </row>
    <row r="3637" spans="10:10" x14ac:dyDescent="0.35">
      <c r="J3637" s="1">
        <v>1</v>
      </c>
    </row>
    <row r="3638" spans="10:10" x14ac:dyDescent="0.35">
      <c r="J3638" s="1">
        <v>1</v>
      </c>
    </row>
    <row r="3639" spans="10:10" x14ac:dyDescent="0.35">
      <c r="J3639" s="1">
        <v>1</v>
      </c>
    </row>
    <row r="3640" spans="10:10" x14ac:dyDescent="0.35">
      <c r="J3640" s="1">
        <v>1</v>
      </c>
    </row>
    <row r="3641" spans="10:10" x14ac:dyDescent="0.35">
      <c r="J3641" s="1">
        <v>1</v>
      </c>
    </row>
    <row r="3642" spans="10:10" x14ac:dyDescent="0.35">
      <c r="J3642" s="1">
        <v>1</v>
      </c>
    </row>
    <row r="3643" spans="10:10" x14ac:dyDescent="0.35">
      <c r="J3643" s="1">
        <v>0</v>
      </c>
    </row>
    <row r="3644" spans="10:10" x14ac:dyDescent="0.35">
      <c r="J3644" s="1">
        <v>1</v>
      </c>
    </row>
    <row r="3645" spans="10:10" x14ac:dyDescent="0.35">
      <c r="J3645" s="1">
        <v>1</v>
      </c>
    </row>
    <row r="3646" spans="10:10" x14ac:dyDescent="0.35">
      <c r="J3646" s="1">
        <v>1</v>
      </c>
    </row>
    <row r="3647" spans="10:10" x14ac:dyDescent="0.35">
      <c r="J3647" s="1">
        <v>1</v>
      </c>
    </row>
    <row r="3648" spans="10:10" x14ac:dyDescent="0.35">
      <c r="J3648" s="1">
        <v>1</v>
      </c>
    </row>
    <row r="3649" spans="10:10" x14ac:dyDescent="0.35">
      <c r="J3649" s="1">
        <v>1</v>
      </c>
    </row>
    <row r="3650" spans="10:10" x14ac:dyDescent="0.35">
      <c r="J3650" s="1">
        <v>1</v>
      </c>
    </row>
    <row r="3651" spans="10:10" x14ac:dyDescent="0.35">
      <c r="J3651" s="1">
        <v>1</v>
      </c>
    </row>
    <row r="3652" spans="10:10" x14ac:dyDescent="0.35">
      <c r="J3652" s="1">
        <v>1</v>
      </c>
    </row>
    <row r="3653" spans="10:10" x14ac:dyDescent="0.35">
      <c r="J3653" s="1">
        <v>1</v>
      </c>
    </row>
    <row r="3654" spans="10:10" x14ac:dyDescent="0.35">
      <c r="J3654" s="1">
        <v>1</v>
      </c>
    </row>
    <row r="3655" spans="10:10" x14ac:dyDescent="0.35">
      <c r="J3655" s="1">
        <v>0</v>
      </c>
    </row>
    <row r="3656" spans="10:10" x14ac:dyDescent="0.35">
      <c r="J3656" s="1">
        <v>1</v>
      </c>
    </row>
    <row r="3657" spans="10:10" x14ac:dyDescent="0.35">
      <c r="J3657" s="1">
        <v>1</v>
      </c>
    </row>
    <row r="3658" spans="10:10" x14ac:dyDescent="0.35">
      <c r="J3658" s="1">
        <v>1</v>
      </c>
    </row>
    <row r="3659" spans="10:10" x14ac:dyDescent="0.35">
      <c r="J3659" s="1">
        <v>1</v>
      </c>
    </row>
    <row r="3660" spans="10:10" x14ac:dyDescent="0.35">
      <c r="J3660" s="1">
        <v>1</v>
      </c>
    </row>
    <row r="3661" spans="10:10" x14ac:dyDescent="0.35">
      <c r="J3661" s="1">
        <v>1</v>
      </c>
    </row>
    <row r="3662" spans="10:10" x14ac:dyDescent="0.35">
      <c r="J3662" s="1">
        <v>1</v>
      </c>
    </row>
    <row r="3663" spans="10:10" x14ac:dyDescent="0.35">
      <c r="J3663" s="1">
        <v>1</v>
      </c>
    </row>
    <row r="3664" spans="10:10" x14ac:dyDescent="0.35">
      <c r="J3664" s="1">
        <v>0</v>
      </c>
    </row>
    <row r="3665" spans="10:10" x14ac:dyDescent="0.35">
      <c r="J3665" s="1">
        <v>0</v>
      </c>
    </row>
    <row r="3666" spans="10:10" x14ac:dyDescent="0.35">
      <c r="J3666" s="1">
        <v>0</v>
      </c>
    </row>
    <row r="3667" spans="10:10" x14ac:dyDescent="0.35">
      <c r="J3667" s="1">
        <v>0</v>
      </c>
    </row>
    <row r="3668" spans="10:10" x14ac:dyDescent="0.35">
      <c r="J3668" s="1">
        <v>1</v>
      </c>
    </row>
    <row r="3669" spans="10:10" x14ac:dyDescent="0.35">
      <c r="J3669" s="1">
        <v>0</v>
      </c>
    </row>
    <row r="3670" spans="10:10" x14ac:dyDescent="0.35">
      <c r="J3670" s="1">
        <v>0</v>
      </c>
    </row>
    <row r="3671" spans="10:10" x14ac:dyDescent="0.35">
      <c r="J3671" s="1">
        <v>0</v>
      </c>
    </row>
    <row r="3672" spans="10:10" x14ac:dyDescent="0.35">
      <c r="J3672" s="1">
        <v>0</v>
      </c>
    </row>
    <row r="3673" spans="10:10" x14ac:dyDescent="0.35">
      <c r="J3673" s="1">
        <v>0</v>
      </c>
    </row>
    <row r="3674" spans="10:10" x14ac:dyDescent="0.35">
      <c r="J3674" s="1">
        <v>1</v>
      </c>
    </row>
    <row r="3675" spans="10:10" x14ac:dyDescent="0.35">
      <c r="J3675" s="1">
        <v>0</v>
      </c>
    </row>
    <row r="3676" spans="10:10" x14ac:dyDescent="0.35">
      <c r="J3676" s="1">
        <v>1</v>
      </c>
    </row>
    <row r="3677" spans="10:10" x14ac:dyDescent="0.35">
      <c r="J3677" s="1">
        <v>1</v>
      </c>
    </row>
    <row r="3678" spans="10:10" x14ac:dyDescent="0.35">
      <c r="J3678" s="1">
        <v>0</v>
      </c>
    </row>
    <row r="3679" spans="10:10" x14ac:dyDescent="0.35">
      <c r="J3679" s="1">
        <v>0</v>
      </c>
    </row>
    <row r="3680" spans="10:10" x14ac:dyDescent="0.35">
      <c r="J3680" s="1">
        <v>0</v>
      </c>
    </row>
    <row r="3681" spans="10:10" x14ac:dyDescent="0.35">
      <c r="J3681" s="1">
        <v>0</v>
      </c>
    </row>
    <row r="3682" spans="10:10" x14ac:dyDescent="0.35">
      <c r="J3682" s="1">
        <v>0</v>
      </c>
    </row>
    <row r="3683" spans="10:10" x14ac:dyDescent="0.35">
      <c r="J3683" s="1">
        <v>0</v>
      </c>
    </row>
    <row r="3684" spans="10:10" x14ac:dyDescent="0.35">
      <c r="J3684" s="1">
        <v>0</v>
      </c>
    </row>
    <row r="3685" spans="10:10" x14ac:dyDescent="0.35">
      <c r="J3685" s="1">
        <v>0</v>
      </c>
    </row>
    <row r="3686" spans="10:10" x14ac:dyDescent="0.35">
      <c r="J3686" s="1">
        <v>0</v>
      </c>
    </row>
    <row r="3687" spans="10:10" x14ac:dyDescent="0.35">
      <c r="J3687" s="1">
        <v>0</v>
      </c>
    </row>
    <row r="3688" spans="10:10" x14ac:dyDescent="0.35">
      <c r="J3688" s="1">
        <v>1</v>
      </c>
    </row>
    <row r="3689" spans="10:10" x14ac:dyDescent="0.35">
      <c r="J3689" s="1">
        <v>0</v>
      </c>
    </row>
    <row r="3690" spans="10:10" x14ac:dyDescent="0.35">
      <c r="J3690" s="1">
        <v>0</v>
      </c>
    </row>
    <row r="3691" spans="10:10" x14ac:dyDescent="0.35">
      <c r="J3691" s="1">
        <v>0</v>
      </c>
    </row>
    <row r="3692" spans="10:10" x14ac:dyDescent="0.35">
      <c r="J3692" s="1">
        <v>0</v>
      </c>
    </row>
    <row r="3693" spans="10:10" x14ac:dyDescent="0.35">
      <c r="J3693" s="1">
        <v>0</v>
      </c>
    </row>
    <row r="3694" spans="10:10" x14ac:dyDescent="0.35">
      <c r="J3694" s="1">
        <v>0</v>
      </c>
    </row>
    <row r="3695" spans="10:10" x14ac:dyDescent="0.35">
      <c r="J3695" s="1">
        <v>0</v>
      </c>
    </row>
    <row r="3696" spans="10:10" x14ac:dyDescent="0.35">
      <c r="J3696" s="1">
        <v>0</v>
      </c>
    </row>
    <row r="3697" spans="10:10" x14ac:dyDescent="0.35">
      <c r="J3697" s="1">
        <v>0</v>
      </c>
    </row>
    <row r="3698" spans="10:10" x14ac:dyDescent="0.35">
      <c r="J3698" s="1">
        <v>1</v>
      </c>
    </row>
    <row r="3699" spans="10:10" x14ac:dyDescent="0.35">
      <c r="J3699" s="1">
        <v>0</v>
      </c>
    </row>
    <row r="3700" spans="10:10" x14ac:dyDescent="0.35">
      <c r="J3700" s="1">
        <v>0</v>
      </c>
    </row>
    <row r="3701" spans="10:10" x14ac:dyDescent="0.35">
      <c r="J3701" s="1">
        <v>1</v>
      </c>
    </row>
    <row r="3702" spans="10:10" x14ac:dyDescent="0.35">
      <c r="J3702" s="1">
        <v>1</v>
      </c>
    </row>
    <row r="3703" spans="10:10" x14ac:dyDescent="0.35">
      <c r="J3703" s="1">
        <v>1</v>
      </c>
    </row>
    <row r="3704" spans="10:10" x14ac:dyDescent="0.35">
      <c r="J3704" s="1">
        <v>1</v>
      </c>
    </row>
    <row r="3705" spans="10:10" x14ac:dyDescent="0.35">
      <c r="J3705" s="1">
        <v>1</v>
      </c>
    </row>
    <row r="3706" spans="10:10" x14ac:dyDescent="0.35">
      <c r="J3706" s="1">
        <v>0</v>
      </c>
    </row>
    <row r="3707" spans="10:10" x14ac:dyDescent="0.35">
      <c r="J3707" s="1">
        <v>0</v>
      </c>
    </row>
    <row r="3708" spans="10:10" x14ac:dyDescent="0.35">
      <c r="J3708" s="1">
        <v>0</v>
      </c>
    </row>
    <row r="3709" spans="10:10" x14ac:dyDescent="0.35">
      <c r="J3709" s="1">
        <v>0</v>
      </c>
    </row>
    <row r="3710" spans="10:10" x14ac:dyDescent="0.35">
      <c r="J3710" s="1">
        <v>1</v>
      </c>
    </row>
    <row r="3711" spans="10:10" x14ac:dyDescent="0.35">
      <c r="J3711" s="1">
        <v>0</v>
      </c>
    </row>
    <row r="3712" spans="10:10" x14ac:dyDescent="0.35">
      <c r="J3712" s="1">
        <v>0</v>
      </c>
    </row>
    <row r="3713" spans="10:10" x14ac:dyDescent="0.35">
      <c r="J3713" s="1">
        <v>0</v>
      </c>
    </row>
    <row r="3714" spans="10:10" x14ac:dyDescent="0.35">
      <c r="J3714" s="1">
        <v>0</v>
      </c>
    </row>
    <row r="3715" spans="10:10" x14ac:dyDescent="0.35">
      <c r="J3715" s="1">
        <v>0</v>
      </c>
    </row>
    <row r="3716" spans="10:10" x14ac:dyDescent="0.35">
      <c r="J3716" s="1">
        <v>0</v>
      </c>
    </row>
    <row r="3717" spans="10:10" x14ac:dyDescent="0.35">
      <c r="J3717" s="1">
        <v>0</v>
      </c>
    </row>
    <row r="3718" spans="10:10" x14ac:dyDescent="0.35">
      <c r="J3718" s="1">
        <v>0</v>
      </c>
    </row>
    <row r="3719" spans="10:10" x14ac:dyDescent="0.35">
      <c r="J3719" s="1">
        <v>0</v>
      </c>
    </row>
    <row r="3720" spans="10:10" x14ac:dyDescent="0.35">
      <c r="J3720" s="1">
        <v>0</v>
      </c>
    </row>
    <row r="3721" spans="10:10" x14ac:dyDescent="0.35">
      <c r="J3721" s="1">
        <v>0</v>
      </c>
    </row>
    <row r="3722" spans="10:10" x14ac:dyDescent="0.35">
      <c r="J3722" s="1">
        <v>0</v>
      </c>
    </row>
    <row r="3723" spans="10:10" x14ac:dyDescent="0.35">
      <c r="J3723" s="1">
        <v>0</v>
      </c>
    </row>
    <row r="3724" spans="10:10" x14ac:dyDescent="0.35">
      <c r="J3724" s="1">
        <v>0</v>
      </c>
    </row>
    <row r="3725" spans="10:10" x14ac:dyDescent="0.35">
      <c r="J3725" s="1">
        <v>0</v>
      </c>
    </row>
    <row r="3726" spans="10:10" x14ac:dyDescent="0.35">
      <c r="J3726" s="1">
        <v>0</v>
      </c>
    </row>
    <row r="3727" spans="10:10" x14ac:dyDescent="0.35">
      <c r="J3727" s="1">
        <v>0</v>
      </c>
    </row>
    <row r="3728" spans="10:10" x14ac:dyDescent="0.35">
      <c r="J3728" s="1">
        <v>0</v>
      </c>
    </row>
    <row r="3729" spans="10:10" x14ac:dyDescent="0.35">
      <c r="J3729" s="1">
        <v>0</v>
      </c>
    </row>
    <row r="3730" spans="10:10" x14ac:dyDescent="0.35">
      <c r="J3730" s="1">
        <v>0</v>
      </c>
    </row>
    <row r="3731" spans="10:10" x14ac:dyDescent="0.35">
      <c r="J3731" s="1">
        <v>1</v>
      </c>
    </row>
    <row r="3732" spans="10:10" x14ac:dyDescent="0.35">
      <c r="J3732" s="1">
        <v>0</v>
      </c>
    </row>
    <row r="3733" spans="10:10" x14ac:dyDescent="0.35">
      <c r="J3733" s="1">
        <v>0</v>
      </c>
    </row>
    <row r="3734" spans="10:10" x14ac:dyDescent="0.35">
      <c r="J3734" s="1">
        <v>0</v>
      </c>
    </row>
    <row r="3735" spans="10:10" x14ac:dyDescent="0.35">
      <c r="J3735" s="1">
        <v>0</v>
      </c>
    </row>
    <row r="3736" spans="10:10" x14ac:dyDescent="0.35">
      <c r="J3736" s="1">
        <v>0</v>
      </c>
    </row>
    <row r="3737" spans="10:10" x14ac:dyDescent="0.35">
      <c r="J3737" s="1">
        <v>1</v>
      </c>
    </row>
    <row r="3738" spans="10:10" x14ac:dyDescent="0.35">
      <c r="J3738" s="1">
        <v>1</v>
      </c>
    </row>
    <row r="3739" spans="10:10" x14ac:dyDescent="0.35">
      <c r="J3739" s="1">
        <v>0</v>
      </c>
    </row>
    <row r="3740" spans="10:10" x14ac:dyDescent="0.35">
      <c r="J3740" s="1">
        <v>1</v>
      </c>
    </row>
    <row r="3741" spans="10:10" x14ac:dyDescent="0.35">
      <c r="J3741" s="1">
        <v>1</v>
      </c>
    </row>
    <row r="3742" spans="10:10" x14ac:dyDescent="0.35">
      <c r="J3742" s="1">
        <v>0</v>
      </c>
    </row>
    <row r="3743" spans="10:10" x14ac:dyDescent="0.35">
      <c r="J3743" s="1">
        <v>0</v>
      </c>
    </row>
    <row r="3744" spans="10:10" x14ac:dyDescent="0.35">
      <c r="J3744" s="1">
        <v>0</v>
      </c>
    </row>
    <row r="3745" spans="10:10" x14ac:dyDescent="0.35">
      <c r="J3745" s="1">
        <v>1</v>
      </c>
    </row>
    <row r="3746" spans="10:10" x14ac:dyDescent="0.35">
      <c r="J3746" s="1">
        <v>0</v>
      </c>
    </row>
    <row r="3747" spans="10:10" x14ac:dyDescent="0.35">
      <c r="J3747" s="1">
        <v>1</v>
      </c>
    </row>
    <row r="3748" spans="10:10" x14ac:dyDescent="0.35">
      <c r="J3748" s="1">
        <v>0</v>
      </c>
    </row>
    <row r="3749" spans="10:10" x14ac:dyDescent="0.35">
      <c r="J3749" s="1">
        <v>0</v>
      </c>
    </row>
    <row r="3750" spans="10:10" x14ac:dyDescent="0.35">
      <c r="J3750" s="1">
        <v>1</v>
      </c>
    </row>
    <row r="3751" spans="10:10" x14ac:dyDescent="0.35">
      <c r="J3751" s="1">
        <v>1</v>
      </c>
    </row>
    <row r="3752" spans="10:10" x14ac:dyDescent="0.35">
      <c r="J3752" s="1">
        <v>1</v>
      </c>
    </row>
    <row r="3753" spans="10:10" x14ac:dyDescent="0.35">
      <c r="J3753" s="1">
        <v>0</v>
      </c>
    </row>
    <row r="3754" spans="10:10" x14ac:dyDescent="0.35">
      <c r="J3754" s="1">
        <v>0</v>
      </c>
    </row>
    <row r="3755" spans="10:10" x14ac:dyDescent="0.35">
      <c r="J3755" s="1">
        <v>0</v>
      </c>
    </row>
    <row r="3756" spans="10:10" x14ac:dyDescent="0.35">
      <c r="J3756" s="1">
        <v>0</v>
      </c>
    </row>
    <row r="3757" spans="10:10" x14ac:dyDescent="0.35">
      <c r="J3757" s="1">
        <v>0</v>
      </c>
    </row>
    <row r="3758" spans="10:10" x14ac:dyDescent="0.35">
      <c r="J3758" s="1">
        <v>1</v>
      </c>
    </row>
    <row r="3759" spans="10:10" x14ac:dyDescent="0.35">
      <c r="J3759" s="1">
        <v>0</v>
      </c>
    </row>
    <row r="3760" spans="10:10" x14ac:dyDescent="0.35">
      <c r="J3760" s="1">
        <v>0</v>
      </c>
    </row>
    <row r="3761" spans="10:10" x14ac:dyDescent="0.35">
      <c r="J3761" s="1">
        <v>0</v>
      </c>
    </row>
    <row r="3762" spans="10:10" x14ac:dyDescent="0.35">
      <c r="J3762" s="1">
        <v>0</v>
      </c>
    </row>
    <row r="3763" spans="10:10" x14ac:dyDescent="0.35">
      <c r="J3763" s="1">
        <v>0</v>
      </c>
    </row>
    <row r="3764" spans="10:10" x14ac:dyDescent="0.35">
      <c r="J3764" s="1">
        <v>0</v>
      </c>
    </row>
    <row r="3765" spans="10:10" x14ac:dyDescent="0.35">
      <c r="J3765" s="1">
        <v>0</v>
      </c>
    </row>
    <row r="3766" spans="10:10" x14ac:dyDescent="0.35">
      <c r="J3766" s="1">
        <v>0</v>
      </c>
    </row>
    <row r="3767" spans="10:10" x14ac:dyDescent="0.35">
      <c r="J3767" s="1">
        <v>0</v>
      </c>
    </row>
    <row r="3768" spans="10:10" x14ac:dyDescent="0.35">
      <c r="J3768" s="1">
        <v>0</v>
      </c>
    </row>
    <row r="3769" spans="10:10" x14ac:dyDescent="0.35">
      <c r="J3769" s="1">
        <v>0</v>
      </c>
    </row>
    <row r="3770" spans="10:10" x14ac:dyDescent="0.35">
      <c r="J3770" s="1">
        <v>0</v>
      </c>
    </row>
    <row r="3771" spans="10:10" x14ac:dyDescent="0.35">
      <c r="J3771" s="1">
        <v>0</v>
      </c>
    </row>
    <row r="3772" spans="10:10" x14ac:dyDescent="0.35">
      <c r="J3772" s="1">
        <v>0</v>
      </c>
    </row>
    <row r="3773" spans="10:10" x14ac:dyDescent="0.35">
      <c r="J3773" s="1">
        <v>0</v>
      </c>
    </row>
    <row r="3774" spans="10:10" x14ac:dyDescent="0.35">
      <c r="J3774" s="1">
        <v>0</v>
      </c>
    </row>
    <row r="3775" spans="10:10" x14ac:dyDescent="0.35">
      <c r="J3775" s="1">
        <v>0</v>
      </c>
    </row>
    <row r="3776" spans="10:10" x14ac:dyDescent="0.35">
      <c r="J3776" s="1">
        <v>0</v>
      </c>
    </row>
    <row r="3777" spans="10:10" x14ac:dyDescent="0.35">
      <c r="J3777" s="1">
        <v>0</v>
      </c>
    </row>
    <row r="3778" spans="10:10" x14ac:dyDescent="0.35">
      <c r="J3778" s="1">
        <v>0</v>
      </c>
    </row>
    <row r="3779" spans="10:10" x14ac:dyDescent="0.35">
      <c r="J3779" s="1">
        <v>0</v>
      </c>
    </row>
    <row r="3780" spans="10:10" x14ac:dyDescent="0.35">
      <c r="J3780" s="1">
        <v>1</v>
      </c>
    </row>
    <row r="3781" spans="10:10" x14ac:dyDescent="0.35">
      <c r="J3781" s="1">
        <v>0</v>
      </c>
    </row>
    <row r="3782" spans="10:10" x14ac:dyDescent="0.35">
      <c r="J3782" s="1">
        <v>1</v>
      </c>
    </row>
    <row r="3783" spans="10:10" x14ac:dyDescent="0.35">
      <c r="J3783" s="1">
        <v>0</v>
      </c>
    </row>
    <row r="3784" spans="10:10" x14ac:dyDescent="0.35">
      <c r="J3784" s="1">
        <v>0</v>
      </c>
    </row>
    <row r="3785" spans="10:10" x14ac:dyDescent="0.35">
      <c r="J3785" s="1">
        <v>0</v>
      </c>
    </row>
    <row r="3786" spans="10:10" x14ac:dyDescent="0.35">
      <c r="J3786" s="1">
        <v>0</v>
      </c>
    </row>
    <row r="3787" spans="10:10" x14ac:dyDescent="0.35">
      <c r="J3787" s="1">
        <v>0</v>
      </c>
    </row>
    <row r="3788" spans="10:10" x14ac:dyDescent="0.35">
      <c r="J3788" s="1">
        <v>0</v>
      </c>
    </row>
    <row r="3789" spans="10:10" x14ac:dyDescent="0.35">
      <c r="J3789" s="1">
        <v>0</v>
      </c>
    </row>
    <row r="3790" spans="10:10" x14ac:dyDescent="0.35">
      <c r="J3790" s="1">
        <v>0</v>
      </c>
    </row>
    <row r="3791" spans="10:10" x14ac:dyDescent="0.35">
      <c r="J3791" s="1">
        <v>0</v>
      </c>
    </row>
    <row r="3792" spans="10:10" x14ac:dyDescent="0.35">
      <c r="J3792" s="1">
        <v>0</v>
      </c>
    </row>
    <row r="3793" spans="10:10" x14ac:dyDescent="0.35">
      <c r="J3793" s="1">
        <v>0</v>
      </c>
    </row>
    <row r="3794" spans="10:10" x14ac:dyDescent="0.35">
      <c r="J3794" s="1">
        <v>0</v>
      </c>
    </row>
    <row r="3795" spans="10:10" x14ac:dyDescent="0.35">
      <c r="J3795" s="1">
        <v>0</v>
      </c>
    </row>
    <row r="3796" spans="10:10" x14ac:dyDescent="0.35">
      <c r="J3796" s="1">
        <v>0</v>
      </c>
    </row>
    <row r="3797" spans="10:10" x14ac:dyDescent="0.35">
      <c r="J3797" s="1">
        <v>0</v>
      </c>
    </row>
    <row r="3798" spans="10:10" x14ac:dyDescent="0.35">
      <c r="J3798" s="1">
        <v>0</v>
      </c>
    </row>
    <row r="3799" spans="10:10" x14ac:dyDescent="0.35">
      <c r="J3799" s="1">
        <v>0</v>
      </c>
    </row>
    <row r="3800" spans="10:10" x14ac:dyDescent="0.35">
      <c r="J3800" s="1">
        <v>0</v>
      </c>
    </row>
    <row r="3801" spans="10:10" x14ac:dyDescent="0.35">
      <c r="J3801" s="1">
        <v>0</v>
      </c>
    </row>
    <row r="3802" spans="10:10" x14ac:dyDescent="0.35">
      <c r="J3802" s="1">
        <v>0</v>
      </c>
    </row>
    <row r="3803" spans="10:10" x14ac:dyDescent="0.35">
      <c r="J3803" s="1">
        <v>0</v>
      </c>
    </row>
    <row r="3804" spans="10:10" x14ac:dyDescent="0.35">
      <c r="J3804" s="1">
        <v>0</v>
      </c>
    </row>
    <row r="3805" spans="10:10" x14ac:dyDescent="0.35">
      <c r="J3805" s="1">
        <v>1</v>
      </c>
    </row>
    <row r="3806" spans="10:10" x14ac:dyDescent="0.35">
      <c r="J3806" s="1">
        <v>0</v>
      </c>
    </row>
    <row r="3807" spans="10:10" x14ac:dyDescent="0.35">
      <c r="J3807" s="1">
        <v>1</v>
      </c>
    </row>
    <row r="3808" spans="10:10" x14ac:dyDescent="0.35">
      <c r="J3808" s="1">
        <v>0</v>
      </c>
    </row>
    <row r="3809" spans="10:10" x14ac:dyDescent="0.35">
      <c r="J3809" s="1">
        <v>0</v>
      </c>
    </row>
    <row r="3810" spans="10:10" x14ac:dyDescent="0.35">
      <c r="J3810" s="1">
        <v>0</v>
      </c>
    </row>
    <row r="3811" spans="10:10" x14ac:dyDescent="0.35">
      <c r="J3811" s="1">
        <v>0</v>
      </c>
    </row>
    <row r="3812" spans="10:10" x14ac:dyDescent="0.35">
      <c r="J3812" s="1">
        <v>0</v>
      </c>
    </row>
    <row r="3813" spans="10:10" x14ac:dyDescent="0.35">
      <c r="J3813" s="1">
        <v>0</v>
      </c>
    </row>
    <row r="3814" spans="10:10" x14ac:dyDescent="0.35">
      <c r="J3814" s="1">
        <v>0</v>
      </c>
    </row>
    <row r="3815" spans="10:10" x14ac:dyDescent="0.35">
      <c r="J3815" s="1">
        <v>0</v>
      </c>
    </row>
    <row r="3816" spans="10:10" x14ac:dyDescent="0.35">
      <c r="J3816" s="1">
        <v>0</v>
      </c>
    </row>
    <row r="3817" spans="10:10" x14ac:dyDescent="0.35">
      <c r="J3817" s="1">
        <v>1</v>
      </c>
    </row>
    <row r="3818" spans="10:10" x14ac:dyDescent="0.35">
      <c r="J3818" s="1">
        <v>0</v>
      </c>
    </row>
    <row r="3819" spans="10:10" x14ac:dyDescent="0.35">
      <c r="J3819" s="1">
        <v>0</v>
      </c>
    </row>
    <row r="3820" spans="10:10" x14ac:dyDescent="0.35">
      <c r="J3820" s="1">
        <v>0</v>
      </c>
    </row>
    <row r="3821" spans="10:10" x14ac:dyDescent="0.35">
      <c r="J3821" s="1">
        <v>0</v>
      </c>
    </row>
    <row r="3822" spans="10:10" x14ac:dyDescent="0.35">
      <c r="J3822" s="1">
        <v>0</v>
      </c>
    </row>
    <row r="3823" spans="10:10" x14ac:dyDescent="0.35">
      <c r="J3823" s="1">
        <v>0</v>
      </c>
    </row>
    <row r="3824" spans="10:10" x14ac:dyDescent="0.35">
      <c r="J3824" s="1">
        <v>0</v>
      </c>
    </row>
    <row r="3825" spans="10:10" x14ac:dyDescent="0.35">
      <c r="J3825" s="1">
        <v>0</v>
      </c>
    </row>
    <row r="3826" spans="10:10" x14ac:dyDescent="0.35">
      <c r="J3826" s="1">
        <v>1</v>
      </c>
    </row>
    <row r="3827" spans="10:10" x14ac:dyDescent="0.35">
      <c r="J3827" s="1">
        <v>0</v>
      </c>
    </row>
    <row r="3828" spans="10:10" x14ac:dyDescent="0.35">
      <c r="J3828" s="1">
        <v>0</v>
      </c>
    </row>
    <row r="3829" spans="10:10" x14ac:dyDescent="0.35">
      <c r="J3829" s="1">
        <v>0</v>
      </c>
    </row>
    <row r="3830" spans="10:10" x14ac:dyDescent="0.35">
      <c r="J3830" s="1">
        <v>1</v>
      </c>
    </row>
    <row r="3831" spans="10:10" x14ac:dyDescent="0.35">
      <c r="J3831" s="1">
        <v>1</v>
      </c>
    </row>
    <row r="3832" spans="10:10" x14ac:dyDescent="0.35">
      <c r="J3832" s="1">
        <v>0</v>
      </c>
    </row>
    <row r="3833" spans="10:10" x14ac:dyDescent="0.35">
      <c r="J3833" s="1">
        <v>1</v>
      </c>
    </row>
    <row r="3834" spans="10:10" x14ac:dyDescent="0.35">
      <c r="J3834" s="1">
        <v>1</v>
      </c>
    </row>
    <row r="3835" spans="10:10" x14ac:dyDescent="0.35">
      <c r="J3835" s="1">
        <v>1</v>
      </c>
    </row>
    <row r="3836" spans="10:10" x14ac:dyDescent="0.35">
      <c r="J3836" s="1">
        <v>1</v>
      </c>
    </row>
    <row r="3837" spans="10:10" x14ac:dyDescent="0.35">
      <c r="J3837" s="1">
        <v>0</v>
      </c>
    </row>
    <row r="3838" spans="10:10" x14ac:dyDescent="0.35">
      <c r="J3838" s="1">
        <v>1</v>
      </c>
    </row>
    <row r="3839" spans="10:10" x14ac:dyDescent="0.35">
      <c r="J3839" s="1">
        <v>1</v>
      </c>
    </row>
    <row r="3840" spans="10:10" x14ac:dyDescent="0.35">
      <c r="J3840" s="1">
        <v>0</v>
      </c>
    </row>
    <row r="3841" spans="10:10" x14ac:dyDescent="0.35">
      <c r="J3841" s="1">
        <v>0</v>
      </c>
    </row>
    <row r="3842" spans="10:10" x14ac:dyDescent="0.35">
      <c r="J3842" s="1">
        <v>0</v>
      </c>
    </row>
    <row r="3843" spans="10:10" x14ac:dyDescent="0.35">
      <c r="J3843" s="1">
        <v>0</v>
      </c>
    </row>
    <row r="3844" spans="10:10" x14ac:dyDescent="0.35">
      <c r="J3844" s="1">
        <v>0</v>
      </c>
    </row>
    <row r="3845" spans="10:10" x14ac:dyDescent="0.35">
      <c r="J3845" s="1">
        <v>0</v>
      </c>
    </row>
    <row r="3846" spans="10:10" x14ac:dyDescent="0.35">
      <c r="J3846" s="1">
        <v>0</v>
      </c>
    </row>
    <row r="3847" spans="10:10" x14ac:dyDescent="0.35">
      <c r="J3847" s="1">
        <v>0</v>
      </c>
    </row>
    <row r="3848" spans="10:10" x14ac:dyDescent="0.35">
      <c r="J3848" s="1">
        <v>0</v>
      </c>
    </row>
    <row r="3849" spans="10:10" x14ac:dyDescent="0.35">
      <c r="J3849" s="1">
        <v>1</v>
      </c>
    </row>
    <row r="3850" spans="10:10" x14ac:dyDescent="0.35">
      <c r="J3850" s="1">
        <v>1</v>
      </c>
    </row>
    <row r="3851" spans="10:10" x14ac:dyDescent="0.35">
      <c r="J3851" s="1">
        <v>1</v>
      </c>
    </row>
    <row r="3852" spans="10:10" x14ac:dyDescent="0.35">
      <c r="J3852" s="1">
        <v>0</v>
      </c>
    </row>
    <row r="3853" spans="10:10" x14ac:dyDescent="0.35">
      <c r="J3853" s="1">
        <v>1</v>
      </c>
    </row>
    <row r="3854" spans="10:10" x14ac:dyDescent="0.35">
      <c r="J3854" s="1">
        <v>1</v>
      </c>
    </row>
    <row r="3855" spans="10:10" x14ac:dyDescent="0.35">
      <c r="J3855" s="1">
        <v>0</v>
      </c>
    </row>
    <row r="3856" spans="10:10" x14ac:dyDescent="0.35">
      <c r="J3856" s="1">
        <v>0</v>
      </c>
    </row>
    <row r="3857" spans="10:10" x14ac:dyDescent="0.35">
      <c r="J3857" s="1">
        <v>1</v>
      </c>
    </row>
    <row r="3858" spans="10:10" x14ac:dyDescent="0.35">
      <c r="J3858" s="1">
        <v>0</v>
      </c>
    </row>
    <row r="3859" spans="10:10" x14ac:dyDescent="0.35">
      <c r="J3859" s="1">
        <v>1</v>
      </c>
    </row>
    <row r="3860" spans="10:10" x14ac:dyDescent="0.35">
      <c r="J3860" s="1">
        <v>0</v>
      </c>
    </row>
    <row r="3861" spans="10:10" x14ac:dyDescent="0.35">
      <c r="J3861" s="1">
        <v>0</v>
      </c>
    </row>
    <row r="3862" spans="10:10" x14ac:dyDescent="0.35">
      <c r="J3862" s="1">
        <v>1</v>
      </c>
    </row>
    <row r="3863" spans="10:10" x14ac:dyDescent="0.35">
      <c r="J3863" s="1">
        <v>0</v>
      </c>
    </row>
    <row r="3864" spans="10:10" x14ac:dyDescent="0.35">
      <c r="J3864" s="1">
        <v>1</v>
      </c>
    </row>
    <row r="3865" spans="10:10" x14ac:dyDescent="0.35">
      <c r="J3865" s="1">
        <v>1</v>
      </c>
    </row>
    <row r="3866" spans="10:10" x14ac:dyDescent="0.35">
      <c r="J3866" s="1">
        <v>1</v>
      </c>
    </row>
    <row r="3867" spans="10:10" x14ac:dyDescent="0.35">
      <c r="J3867" s="1">
        <v>0</v>
      </c>
    </row>
    <row r="3868" spans="10:10" x14ac:dyDescent="0.35">
      <c r="J3868" s="1">
        <v>0</v>
      </c>
    </row>
    <row r="3869" spans="10:10" x14ac:dyDescent="0.35">
      <c r="J3869" s="1">
        <v>1</v>
      </c>
    </row>
    <row r="3870" spans="10:10" x14ac:dyDescent="0.35">
      <c r="J3870" s="1">
        <v>0</v>
      </c>
    </row>
    <row r="3871" spans="10:10" x14ac:dyDescent="0.35">
      <c r="J3871" s="1">
        <v>0</v>
      </c>
    </row>
    <row r="3872" spans="10:10" x14ac:dyDescent="0.35">
      <c r="J3872" s="1">
        <v>1</v>
      </c>
    </row>
    <row r="3873" spans="10:10" x14ac:dyDescent="0.35">
      <c r="J3873" s="1">
        <v>1</v>
      </c>
    </row>
    <row r="3874" spans="10:10" x14ac:dyDescent="0.35">
      <c r="J3874" s="1">
        <v>1</v>
      </c>
    </row>
    <row r="3875" spans="10:10" x14ac:dyDescent="0.35">
      <c r="J3875" s="1">
        <v>0</v>
      </c>
    </row>
    <row r="3876" spans="10:10" x14ac:dyDescent="0.35">
      <c r="J3876" s="1">
        <v>0</v>
      </c>
    </row>
    <row r="3877" spans="10:10" x14ac:dyDescent="0.35">
      <c r="J3877" s="1">
        <v>0</v>
      </c>
    </row>
    <row r="3878" spans="10:10" x14ac:dyDescent="0.35">
      <c r="J3878" s="1">
        <v>1</v>
      </c>
    </row>
    <row r="3879" spans="10:10" x14ac:dyDescent="0.35">
      <c r="J3879" s="1">
        <v>0</v>
      </c>
    </row>
    <row r="3880" spans="10:10" x14ac:dyDescent="0.35">
      <c r="J3880" s="1">
        <v>0</v>
      </c>
    </row>
    <row r="3881" spans="10:10" x14ac:dyDescent="0.35">
      <c r="J3881" s="1">
        <v>0</v>
      </c>
    </row>
    <row r="3882" spans="10:10" x14ac:dyDescent="0.35">
      <c r="J3882" s="1">
        <v>0</v>
      </c>
    </row>
    <row r="3883" spans="10:10" x14ac:dyDescent="0.35">
      <c r="J3883" s="1">
        <v>0</v>
      </c>
    </row>
    <row r="3884" spans="10:10" x14ac:dyDescent="0.35">
      <c r="J3884" s="1">
        <v>1</v>
      </c>
    </row>
    <row r="3885" spans="10:10" x14ac:dyDescent="0.35">
      <c r="J3885" s="1">
        <v>0</v>
      </c>
    </row>
    <row r="3886" spans="10:10" x14ac:dyDescent="0.35">
      <c r="J3886" s="1">
        <v>1</v>
      </c>
    </row>
    <row r="3887" spans="10:10" x14ac:dyDescent="0.35">
      <c r="J3887" s="1">
        <v>0</v>
      </c>
    </row>
    <row r="3888" spans="10:10" x14ac:dyDescent="0.35">
      <c r="J3888" s="1">
        <v>0</v>
      </c>
    </row>
    <row r="3889" spans="10:10" x14ac:dyDescent="0.35">
      <c r="J3889" s="1">
        <v>1</v>
      </c>
    </row>
    <row r="3890" spans="10:10" x14ac:dyDescent="0.35">
      <c r="J3890" s="1">
        <v>0</v>
      </c>
    </row>
    <row r="3891" spans="10:10" x14ac:dyDescent="0.35">
      <c r="J3891" s="1">
        <v>0</v>
      </c>
    </row>
    <row r="3892" spans="10:10" x14ac:dyDescent="0.35">
      <c r="J3892" s="1">
        <v>1</v>
      </c>
    </row>
    <row r="3893" spans="10:10" x14ac:dyDescent="0.35">
      <c r="J3893" s="1">
        <v>0</v>
      </c>
    </row>
    <row r="3894" spans="10:10" x14ac:dyDescent="0.35">
      <c r="J3894" s="1">
        <v>1</v>
      </c>
    </row>
    <row r="3895" spans="10:10" x14ac:dyDescent="0.35">
      <c r="J3895" s="1">
        <v>1</v>
      </c>
    </row>
    <row r="3896" spans="10:10" x14ac:dyDescent="0.35">
      <c r="J3896" s="1">
        <v>1</v>
      </c>
    </row>
    <row r="3897" spans="10:10" x14ac:dyDescent="0.35">
      <c r="J3897" s="1">
        <v>0</v>
      </c>
    </row>
    <row r="3898" spans="10:10" x14ac:dyDescent="0.35">
      <c r="J3898" s="1">
        <v>1</v>
      </c>
    </row>
    <row r="3899" spans="10:10" x14ac:dyDescent="0.35">
      <c r="J3899" s="1">
        <v>1</v>
      </c>
    </row>
    <row r="3900" spans="10:10" x14ac:dyDescent="0.35">
      <c r="J3900" s="1">
        <v>1</v>
      </c>
    </row>
    <row r="3901" spans="10:10" x14ac:dyDescent="0.35">
      <c r="J3901" s="1">
        <v>1</v>
      </c>
    </row>
    <row r="3902" spans="10:10" x14ac:dyDescent="0.35">
      <c r="J3902" s="1">
        <v>1</v>
      </c>
    </row>
    <row r="3903" spans="10:10" x14ac:dyDescent="0.35">
      <c r="J3903" s="1">
        <v>0</v>
      </c>
    </row>
    <row r="3904" spans="10:10" x14ac:dyDescent="0.35">
      <c r="J3904" s="1">
        <v>1</v>
      </c>
    </row>
    <row r="3905" spans="10:10" x14ac:dyDescent="0.35">
      <c r="J3905" s="1">
        <v>1</v>
      </c>
    </row>
    <row r="3906" spans="10:10" x14ac:dyDescent="0.35">
      <c r="J3906" s="1">
        <v>1</v>
      </c>
    </row>
    <row r="3907" spans="10:10" x14ac:dyDescent="0.35">
      <c r="J3907" s="1">
        <v>1</v>
      </c>
    </row>
    <row r="3908" spans="10:10" x14ac:dyDescent="0.35">
      <c r="J3908" s="1">
        <v>0</v>
      </c>
    </row>
    <row r="3909" spans="10:10" x14ac:dyDescent="0.35">
      <c r="J3909" s="1">
        <v>0</v>
      </c>
    </row>
    <row r="3910" spans="10:10" x14ac:dyDescent="0.35">
      <c r="J3910" s="1">
        <v>1</v>
      </c>
    </row>
    <row r="3911" spans="10:10" x14ac:dyDescent="0.35">
      <c r="J3911" s="1">
        <v>1</v>
      </c>
    </row>
    <row r="3912" spans="10:10" x14ac:dyDescent="0.35">
      <c r="J3912" s="1">
        <v>0</v>
      </c>
    </row>
    <row r="3913" spans="10:10" x14ac:dyDescent="0.35">
      <c r="J3913" s="1">
        <v>0</v>
      </c>
    </row>
    <row r="3914" spans="10:10" x14ac:dyDescent="0.35">
      <c r="J3914" s="1">
        <v>0</v>
      </c>
    </row>
    <row r="3915" spans="10:10" x14ac:dyDescent="0.35">
      <c r="J3915" s="1">
        <v>0</v>
      </c>
    </row>
    <row r="3916" spans="10:10" x14ac:dyDescent="0.35">
      <c r="J3916" s="1">
        <v>0</v>
      </c>
    </row>
    <row r="3917" spans="10:10" x14ac:dyDescent="0.35">
      <c r="J3917" s="1">
        <v>1</v>
      </c>
    </row>
    <row r="3918" spans="10:10" x14ac:dyDescent="0.35">
      <c r="J3918" s="1">
        <v>1</v>
      </c>
    </row>
    <row r="3919" spans="10:10" x14ac:dyDescent="0.35">
      <c r="J3919" s="1">
        <v>1</v>
      </c>
    </row>
    <row r="3920" spans="10:10" x14ac:dyDescent="0.35">
      <c r="J3920" s="1">
        <v>0</v>
      </c>
    </row>
    <row r="3921" spans="10:10" x14ac:dyDescent="0.35">
      <c r="J3921" s="1">
        <v>1</v>
      </c>
    </row>
    <row r="3922" spans="10:10" x14ac:dyDescent="0.35">
      <c r="J3922" s="1">
        <v>0</v>
      </c>
    </row>
    <row r="3923" spans="10:10" x14ac:dyDescent="0.35">
      <c r="J3923" s="1">
        <v>1</v>
      </c>
    </row>
    <row r="3924" spans="10:10" x14ac:dyDescent="0.35">
      <c r="J3924" s="1">
        <v>1</v>
      </c>
    </row>
    <row r="3925" spans="10:10" x14ac:dyDescent="0.35">
      <c r="J3925" s="1">
        <v>1</v>
      </c>
    </row>
    <row r="3926" spans="10:10" x14ac:dyDescent="0.35">
      <c r="J3926" s="1">
        <v>1</v>
      </c>
    </row>
    <row r="3927" spans="10:10" x14ac:dyDescent="0.35">
      <c r="J3927" s="1">
        <v>1</v>
      </c>
    </row>
    <row r="3928" spans="10:10" x14ac:dyDescent="0.35">
      <c r="J3928" s="1">
        <v>1</v>
      </c>
    </row>
    <row r="3929" spans="10:10" x14ac:dyDescent="0.35">
      <c r="J3929" s="1">
        <v>1</v>
      </c>
    </row>
    <row r="3930" spans="10:10" x14ac:dyDescent="0.35">
      <c r="J3930" s="1">
        <v>1</v>
      </c>
    </row>
    <row r="3931" spans="10:10" x14ac:dyDescent="0.35">
      <c r="J3931" s="1">
        <v>1</v>
      </c>
    </row>
    <row r="3932" spans="10:10" x14ac:dyDescent="0.35">
      <c r="J3932" s="1">
        <v>1</v>
      </c>
    </row>
    <row r="3933" spans="10:10" x14ac:dyDescent="0.35">
      <c r="J3933" s="1">
        <v>1</v>
      </c>
    </row>
    <row r="3934" spans="10:10" x14ac:dyDescent="0.35">
      <c r="J3934" s="1">
        <v>1</v>
      </c>
    </row>
    <row r="3935" spans="10:10" x14ac:dyDescent="0.35">
      <c r="J3935" s="1">
        <v>0</v>
      </c>
    </row>
    <row r="3936" spans="10:10" x14ac:dyDescent="0.35">
      <c r="J3936" s="1">
        <v>1</v>
      </c>
    </row>
    <row r="3937" spans="10:10" x14ac:dyDescent="0.35">
      <c r="J3937" s="1">
        <v>1</v>
      </c>
    </row>
    <row r="3938" spans="10:10" x14ac:dyDescent="0.35">
      <c r="J3938" s="1">
        <v>0</v>
      </c>
    </row>
    <row r="3939" spans="10:10" x14ac:dyDescent="0.35">
      <c r="J3939" s="1">
        <v>0</v>
      </c>
    </row>
    <row r="3940" spans="10:10" x14ac:dyDescent="0.35">
      <c r="J3940" s="1">
        <v>0</v>
      </c>
    </row>
    <row r="3941" spans="10:10" x14ac:dyDescent="0.35">
      <c r="J3941" s="1">
        <v>0</v>
      </c>
    </row>
    <row r="3942" spans="10:10" x14ac:dyDescent="0.35">
      <c r="J3942" s="1">
        <v>0</v>
      </c>
    </row>
    <row r="3943" spans="10:10" x14ac:dyDescent="0.35">
      <c r="J3943" s="1">
        <v>0</v>
      </c>
    </row>
    <row r="3944" spans="10:10" x14ac:dyDescent="0.35">
      <c r="J3944" s="1">
        <v>1</v>
      </c>
    </row>
    <row r="3945" spans="10:10" x14ac:dyDescent="0.35">
      <c r="J3945" s="1">
        <v>0</v>
      </c>
    </row>
    <row r="3946" spans="10:10" x14ac:dyDescent="0.35">
      <c r="J3946" s="1">
        <v>1</v>
      </c>
    </row>
    <row r="3947" spans="10:10" x14ac:dyDescent="0.35">
      <c r="J3947" s="1">
        <v>1</v>
      </c>
    </row>
    <row r="3948" spans="10:10" x14ac:dyDescent="0.35">
      <c r="J3948" s="1">
        <v>0</v>
      </c>
    </row>
    <row r="3949" spans="10:10" x14ac:dyDescent="0.35">
      <c r="J3949" s="1">
        <v>0</v>
      </c>
    </row>
    <row r="3950" spans="10:10" x14ac:dyDescent="0.35">
      <c r="J3950" s="1">
        <v>1</v>
      </c>
    </row>
    <row r="3951" spans="10:10" x14ac:dyDescent="0.35">
      <c r="J3951" s="1">
        <v>0</v>
      </c>
    </row>
    <row r="3952" spans="10:10" x14ac:dyDescent="0.35">
      <c r="J3952" s="1">
        <v>1</v>
      </c>
    </row>
    <row r="3953" spans="10:10" x14ac:dyDescent="0.35">
      <c r="J3953" s="1">
        <v>0</v>
      </c>
    </row>
    <row r="3954" spans="10:10" x14ac:dyDescent="0.35">
      <c r="J3954" s="1">
        <v>0</v>
      </c>
    </row>
    <row r="3955" spans="10:10" x14ac:dyDescent="0.35">
      <c r="J3955" s="1">
        <v>0</v>
      </c>
    </row>
    <row r="3956" spans="10:10" x14ac:dyDescent="0.35">
      <c r="J3956" s="1">
        <v>0</v>
      </c>
    </row>
    <row r="3957" spans="10:10" x14ac:dyDescent="0.35">
      <c r="J3957" s="1">
        <v>0</v>
      </c>
    </row>
    <row r="3958" spans="10:10" x14ac:dyDescent="0.35">
      <c r="J3958" s="1">
        <v>0</v>
      </c>
    </row>
    <row r="3959" spans="10:10" x14ac:dyDescent="0.35">
      <c r="J3959" s="1">
        <v>0</v>
      </c>
    </row>
    <row r="3960" spans="10:10" x14ac:dyDescent="0.35">
      <c r="J3960" s="1">
        <v>1</v>
      </c>
    </row>
    <row r="3961" spans="10:10" x14ac:dyDescent="0.35">
      <c r="J3961" s="1">
        <v>1</v>
      </c>
    </row>
    <row r="3962" spans="10:10" x14ac:dyDescent="0.35">
      <c r="J3962" s="1">
        <v>1</v>
      </c>
    </row>
    <row r="3963" spans="10:10" x14ac:dyDescent="0.35">
      <c r="J3963" s="1">
        <v>0</v>
      </c>
    </row>
    <row r="3964" spans="10:10" x14ac:dyDescent="0.35">
      <c r="J3964" s="1">
        <v>0</v>
      </c>
    </row>
    <row r="3965" spans="10:10" x14ac:dyDescent="0.35">
      <c r="J3965" s="1">
        <v>1</v>
      </c>
    </row>
    <row r="3966" spans="10:10" x14ac:dyDescent="0.35">
      <c r="J3966" s="1">
        <v>0</v>
      </c>
    </row>
    <row r="3967" spans="10:10" x14ac:dyDescent="0.35">
      <c r="J3967" s="1">
        <v>0</v>
      </c>
    </row>
    <row r="3968" spans="10:10" x14ac:dyDescent="0.35">
      <c r="J3968" s="1">
        <v>0</v>
      </c>
    </row>
    <row r="3969" spans="10:10" x14ac:dyDescent="0.35">
      <c r="J3969" s="1">
        <v>1</v>
      </c>
    </row>
    <row r="3970" spans="10:10" x14ac:dyDescent="0.35">
      <c r="J3970" s="1">
        <v>1</v>
      </c>
    </row>
    <row r="3971" spans="10:10" x14ac:dyDescent="0.35">
      <c r="J3971" s="1">
        <v>1</v>
      </c>
    </row>
    <row r="3972" spans="10:10" x14ac:dyDescent="0.35">
      <c r="J3972" s="1">
        <v>1</v>
      </c>
    </row>
    <row r="3973" spans="10:10" x14ac:dyDescent="0.35">
      <c r="J3973" s="1">
        <v>0</v>
      </c>
    </row>
    <row r="3974" spans="10:10" x14ac:dyDescent="0.35">
      <c r="J3974" s="1">
        <v>0</v>
      </c>
    </row>
    <row r="3975" spans="10:10" x14ac:dyDescent="0.35">
      <c r="J3975" s="1">
        <v>1</v>
      </c>
    </row>
    <row r="3976" spans="10:10" x14ac:dyDescent="0.35">
      <c r="J3976" s="1">
        <v>1</v>
      </c>
    </row>
    <row r="3977" spans="10:10" x14ac:dyDescent="0.35">
      <c r="J3977" s="1">
        <v>0</v>
      </c>
    </row>
    <row r="3978" spans="10:10" x14ac:dyDescent="0.35">
      <c r="J3978" s="1">
        <v>0</v>
      </c>
    </row>
    <row r="3979" spans="10:10" x14ac:dyDescent="0.35">
      <c r="J3979" s="1">
        <v>0</v>
      </c>
    </row>
    <row r="3980" spans="10:10" x14ac:dyDescent="0.35">
      <c r="J3980" s="1">
        <v>0</v>
      </c>
    </row>
    <row r="3981" spans="10:10" x14ac:dyDescent="0.35">
      <c r="J3981" s="1">
        <v>0</v>
      </c>
    </row>
    <row r="3982" spans="10:10" x14ac:dyDescent="0.35">
      <c r="J3982" s="1">
        <v>1</v>
      </c>
    </row>
    <row r="3983" spans="10:10" x14ac:dyDescent="0.35">
      <c r="J3983" s="1">
        <v>0</v>
      </c>
    </row>
    <row r="3984" spans="10:10" x14ac:dyDescent="0.35">
      <c r="J3984" s="1">
        <v>1</v>
      </c>
    </row>
    <row r="3985" spans="10:10" x14ac:dyDescent="0.35">
      <c r="J3985" s="1">
        <v>1</v>
      </c>
    </row>
    <row r="3986" spans="10:10" x14ac:dyDescent="0.35">
      <c r="J3986" s="1">
        <v>0</v>
      </c>
    </row>
    <row r="3987" spans="10:10" x14ac:dyDescent="0.35">
      <c r="J3987" s="1">
        <v>0</v>
      </c>
    </row>
    <row r="3988" spans="10:10" x14ac:dyDescent="0.35">
      <c r="J3988" s="1">
        <v>0</v>
      </c>
    </row>
    <row r="3989" spans="10:10" x14ac:dyDescent="0.35">
      <c r="J3989" s="1">
        <v>0</v>
      </c>
    </row>
    <row r="3990" spans="10:10" x14ac:dyDescent="0.35">
      <c r="J3990" s="1">
        <v>1</v>
      </c>
    </row>
    <row r="3991" spans="10:10" x14ac:dyDescent="0.35">
      <c r="J3991" s="1">
        <v>1</v>
      </c>
    </row>
    <row r="3992" spans="10:10" x14ac:dyDescent="0.35">
      <c r="J3992" s="1">
        <v>1</v>
      </c>
    </row>
    <row r="3993" spans="10:10" x14ac:dyDescent="0.35">
      <c r="J3993" s="1">
        <v>0</v>
      </c>
    </row>
    <row r="3994" spans="10:10" x14ac:dyDescent="0.35">
      <c r="J3994" s="1">
        <v>0</v>
      </c>
    </row>
    <row r="3995" spans="10:10" x14ac:dyDescent="0.35">
      <c r="J3995" s="1">
        <v>0</v>
      </c>
    </row>
    <row r="3996" spans="10:10" x14ac:dyDescent="0.35">
      <c r="J3996" s="1">
        <v>1</v>
      </c>
    </row>
    <row r="3997" spans="10:10" x14ac:dyDescent="0.35">
      <c r="J3997" s="1">
        <v>0</v>
      </c>
    </row>
    <row r="3998" spans="10:10" x14ac:dyDescent="0.35">
      <c r="J3998" s="1">
        <v>1</v>
      </c>
    </row>
    <row r="3999" spans="10:10" x14ac:dyDescent="0.35">
      <c r="J3999" s="1">
        <v>0</v>
      </c>
    </row>
    <row r="4000" spans="10:10" x14ac:dyDescent="0.35">
      <c r="J4000" s="1">
        <v>0</v>
      </c>
    </row>
    <row r="4001" spans="10:10" x14ac:dyDescent="0.35">
      <c r="J4001" s="1">
        <v>0</v>
      </c>
    </row>
    <row r="4002" spans="10:10" x14ac:dyDescent="0.35">
      <c r="J4002" s="1">
        <v>1</v>
      </c>
    </row>
    <row r="4003" spans="10:10" x14ac:dyDescent="0.35">
      <c r="J4003" s="1">
        <v>0</v>
      </c>
    </row>
    <row r="4004" spans="10:10" x14ac:dyDescent="0.35">
      <c r="J4004" s="1">
        <v>0</v>
      </c>
    </row>
    <row r="4005" spans="10:10" x14ac:dyDescent="0.35">
      <c r="J4005" s="1">
        <v>0</v>
      </c>
    </row>
    <row r="4006" spans="10:10" x14ac:dyDescent="0.35">
      <c r="J4006" s="1">
        <v>0</v>
      </c>
    </row>
    <row r="4007" spans="10:10" x14ac:dyDescent="0.35">
      <c r="J4007" s="1">
        <v>0</v>
      </c>
    </row>
    <row r="4008" spans="10:10" x14ac:dyDescent="0.35">
      <c r="J4008" s="1">
        <v>1</v>
      </c>
    </row>
    <row r="4009" spans="10:10" x14ac:dyDescent="0.35">
      <c r="J4009" s="1">
        <v>0</v>
      </c>
    </row>
    <row r="4010" spans="10:10" x14ac:dyDescent="0.35">
      <c r="J4010" s="1">
        <v>0</v>
      </c>
    </row>
    <row r="4011" spans="10:10" x14ac:dyDescent="0.35">
      <c r="J4011" s="1">
        <v>1</v>
      </c>
    </row>
    <row r="4012" spans="10:10" x14ac:dyDescent="0.35">
      <c r="J4012" s="1">
        <v>0</v>
      </c>
    </row>
    <row r="4013" spans="10:10" x14ac:dyDescent="0.35">
      <c r="J4013" s="1">
        <v>0</v>
      </c>
    </row>
    <row r="4014" spans="10:10" x14ac:dyDescent="0.35">
      <c r="J4014" s="1">
        <v>0</v>
      </c>
    </row>
    <row r="4015" spans="10:10" x14ac:dyDescent="0.35">
      <c r="J4015" s="1">
        <v>1</v>
      </c>
    </row>
    <row r="4016" spans="10:10" x14ac:dyDescent="0.35">
      <c r="J4016" s="1">
        <v>1</v>
      </c>
    </row>
    <row r="4017" spans="10:10" x14ac:dyDescent="0.35">
      <c r="J4017" s="1">
        <v>0</v>
      </c>
    </row>
    <row r="4018" spans="10:10" x14ac:dyDescent="0.35">
      <c r="J4018" s="1">
        <v>0</v>
      </c>
    </row>
    <row r="4019" spans="10:10" x14ac:dyDescent="0.35">
      <c r="J4019" s="1">
        <v>0</v>
      </c>
    </row>
    <row r="4020" spans="10:10" x14ac:dyDescent="0.35">
      <c r="J4020" s="1">
        <v>0</v>
      </c>
    </row>
    <row r="4021" spans="10:10" x14ac:dyDescent="0.35">
      <c r="J4021" s="1">
        <v>1</v>
      </c>
    </row>
    <row r="4022" spans="10:10" x14ac:dyDescent="0.35">
      <c r="J4022" s="1">
        <v>0</v>
      </c>
    </row>
    <row r="4023" spans="10:10" x14ac:dyDescent="0.35">
      <c r="J4023" s="1">
        <v>1</v>
      </c>
    </row>
    <row r="4024" spans="10:10" x14ac:dyDescent="0.35">
      <c r="J4024" s="1">
        <v>0</v>
      </c>
    </row>
    <row r="4025" spans="10:10" x14ac:dyDescent="0.35">
      <c r="J4025" s="1">
        <v>0</v>
      </c>
    </row>
    <row r="4026" spans="10:10" x14ac:dyDescent="0.35">
      <c r="J4026" s="1">
        <v>0</v>
      </c>
    </row>
    <row r="4027" spans="10:10" x14ac:dyDescent="0.35">
      <c r="J4027" s="1">
        <v>0</v>
      </c>
    </row>
    <row r="4028" spans="10:10" x14ac:dyDescent="0.35">
      <c r="J4028" s="1">
        <v>0</v>
      </c>
    </row>
    <row r="4029" spans="10:10" x14ac:dyDescent="0.35">
      <c r="J4029" s="1">
        <v>0</v>
      </c>
    </row>
    <row r="4030" spans="10:10" x14ac:dyDescent="0.35">
      <c r="J4030" s="1">
        <v>1</v>
      </c>
    </row>
    <row r="4031" spans="10:10" x14ac:dyDescent="0.35">
      <c r="J4031" s="1">
        <v>0</v>
      </c>
    </row>
    <row r="4032" spans="10:10" x14ac:dyDescent="0.35">
      <c r="J4032" s="1">
        <v>0</v>
      </c>
    </row>
    <row r="4033" spans="10:10" x14ac:dyDescent="0.35">
      <c r="J4033" s="1">
        <v>1</v>
      </c>
    </row>
    <row r="4034" spans="10:10" x14ac:dyDescent="0.35">
      <c r="J4034" s="1">
        <v>1</v>
      </c>
    </row>
    <row r="4035" spans="10:10" x14ac:dyDescent="0.35">
      <c r="J4035" s="1">
        <v>1</v>
      </c>
    </row>
    <row r="4036" spans="10:10" x14ac:dyDescent="0.35">
      <c r="J4036" s="1">
        <v>0</v>
      </c>
    </row>
    <row r="4037" spans="10:10" x14ac:dyDescent="0.35">
      <c r="J4037" s="1">
        <v>0</v>
      </c>
    </row>
    <row r="4038" spans="10:10" x14ac:dyDescent="0.35">
      <c r="J4038" s="1">
        <v>0</v>
      </c>
    </row>
    <row r="4039" spans="10:10" x14ac:dyDescent="0.35">
      <c r="J4039" s="1">
        <v>1</v>
      </c>
    </row>
    <row r="4040" spans="10:10" x14ac:dyDescent="0.35">
      <c r="J4040" s="1">
        <v>0</v>
      </c>
    </row>
    <row r="4041" spans="10:10" x14ac:dyDescent="0.35">
      <c r="J4041" s="1">
        <v>0</v>
      </c>
    </row>
    <row r="4042" spans="10:10" x14ac:dyDescent="0.35">
      <c r="J4042" s="1">
        <v>0</v>
      </c>
    </row>
    <row r="4043" spans="10:10" x14ac:dyDescent="0.35">
      <c r="J4043" s="1">
        <v>0</v>
      </c>
    </row>
    <row r="4044" spans="10:10" x14ac:dyDescent="0.35">
      <c r="J4044" s="1">
        <v>0</v>
      </c>
    </row>
    <row r="4045" spans="10:10" x14ac:dyDescent="0.35">
      <c r="J4045" s="1">
        <v>0</v>
      </c>
    </row>
    <row r="4046" spans="10:10" x14ac:dyDescent="0.35">
      <c r="J4046" s="1">
        <v>0</v>
      </c>
    </row>
    <row r="4047" spans="10:10" x14ac:dyDescent="0.35">
      <c r="J4047" s="1">
        <v>1</v>
      </c>
    </row>
    <row r="4048" spans="10:10" x14ac:dyDescent="0.35">
      <c r="J4048" s="1">
        <v>1</v>
      </c>
    </row>
    <row r="4049" spans="10:10" x14ac:dyDescent="0.35">
      <c r="J4049" s="1">
        <v>0</v>
      </c>
    </row>
    <row r="4050" spans="10:10" x14ac:dyDescent="0.35">
      <c r="J4050" s="1">
        <v>0</v>
      </c>
    </row>
    <row r="4051" spans="10:10" x14ac:dyDescent="0.35">
      <c r="J4051" s="1">
        <v>0</v>
      </c>
    </row>
    <row r="4052" spans="10:10" x14ac:dyDescent="0.35">
      <c r="J4052" s="1">
        <v>0</v>
      </c>
    </row>
    <row r="4053" spans="10:10" x14ac:dyDescent="0.35">
      <c r="J4053" s="1">
        <v>0</v>
      </c>
    </row>
    <row r="4054" spans="10:10" x14ac:dyDescent="0.35">
      <c r="J4054" s="1">
        <v>0</v>
      </c>
    </row>
    <row r="4055" spans="10:10" x14ac:dyDescent="0.35">
      <c r="J4055" s="1">
        <v>0</v>
      </c>
    </row>
    <row r="4056" spans="10:10" x14ac:dyDescent="0.35">
      <c r="J4056" s="1">
        <v>0</v>
      </c>
    </row>
    <row r="4057" spans="10:10" x14ac:dyDescent="0.35">
      <c r="J4057" s="1">
        <v>0</v>
      </c>
    </row>
    <row r="4058" spans="10:10" x14ac:dyDescent="0.35">
      <c r="J4058" s="1">
        <v>1</v>
      </c>
    </row>
    <row r="4059" spans="10:10" x14ac:dyDescent="0.35">
      <c r="J4059" s="1">
        <v>0</v>
      </c>
    </row>
    <row r="4060" spans="10:10" x14ac:dyDescent="0.35">
      <c r="J4060" s="1">
        <v>0</v>
      </c>
    </row>
    <row r="4061" spans="10:10" x14ac:dyDescent="0.35">
      <c r="J4061" s="1">
        <v>1</v>
      </c>
    </row>
    <row r="4062" spans="10:10" x14ac:dyDescent="0.35">
      <c r="J4062" s="1">
        <v>0</v>
      </c>
    </row>
    <row r="4063" spans="10:10" x14ac:dyDescent="0.35">
      <c r="J4063" s="1">
        <v>0</v>
      </c>
    </row>
    <row r="4064" spans="10:10" x14ac:dyDescent="0.35">
      <c r="J4064" s="1">
        <v>0</v>
      </c>
    </row>
    <row r="4065" spans="10:10" x14ac:dyDescent="0.35">
      <c r="J4065" s="1">
        <v>0</v>
      </c>
    </row>
    <row r="4066" spans="10:10" x14ac:dyDescent="0.35">
      <c r="J4066" s="1">
        <v>0</v>
      </c>
    </row>
    <row r="4067" spans="10:10" x14ac:dyDescent="0.35">
      <c r="J4067" s="1">
        <v>0</v>
      </c>
    </row>
    <row r="4068" spans="10:10" x14ac:dyDescent="0.35">
      <c r="J4068" s="1">
        <v>1</v>
      </c>
    </row>
    <row r="4069" spans="10:10" x14ac:dyDescent="0.35">
      <c r="J4069" s="1">
        <v>0</v>
      </c>
    </row>
    <row r="4070" spans="10:10" x14ac:dyDescent="0.35">
      <c r="J4070" s="1">
        <v>0</v>
      </c>
    </row>
    <row r="4071" spans="10:10" x14ac:dyDescent="0.35">
      <c r="J4071" s="1">
        <v>0</v>
      </c>
    </row>
    <row r="4072" spans="10:10" x14ac:dyDescent="0.35">
      <c r="J4072" s="1">
        <v>0</v>
      </c>
    </row>
    <row r="4073" spans="10:10" x14ac:dyDescent="0.35">
      <c r="J4073" s="1">
        <v>1</v>
      </c>
    </row>
    <row r="4074" spans="10:10" x14ac:dyDescent="0.35">
      <c r="J4074" s="1">
        <v>0</v>
      </c>
    </row>
    <row r="4075" spans="10:10" x14ac:dyDescent="0.35">
      <c r="J4075" s="1">
        <v>1</v>
      </c>
    </row>
    <row r="4076" spans="10:10" x14ac:dyDescent="0.35">
      <c r="J4076" s="1">
        <v>0</v>
      </c>
    </row>
    <row r="4077" spans="10:10" x14ac:dyDescent="0.35">
      <c r="J4077" s="1">
        <v>1</v>
      </c>
    </row>
    <row r="4078" spans="10:10" x14ac:dyDescent="0.35">
      <c r="J4078" s="1">
        <v>0</v>
      </c>
    </row>
    <row r="4079" spans="10:10" x14ac:dyDescent="0.35">
      <c r="J4079" s="1">
        <v>0</v>
      </c>
    </row>
    <row r="4080" spans="10:10" x14ac:dyDescent="0.35">
      <c r="J4080" s="1">
        <v>0</v>
      </c>
    </row>
    <row r="4081" spans="10:10" x14ac:dyDescent="0.35">
      <c r="J4081" s="1">
        <v>0</v>
      </c>
    </row>
    <row r="4082" spans="10:10" x14ac:dyDescent="0.35">
      <c r="J4082" s="1">
        <v>0</v>
      </c>
    </row>
    <row r="4083" spans="10:10" x14ac:dyDescent="0.35">
      <c r="J4083" s="1">
        <v>0</v>
      </c>
    </row>
    <row r="4084" spans="10:10" x14ac:dyDescent="0.35">
      <c r="J4084" s="1">
        <v>0</v>
      </c>
    </row>
    <row r="4085" spans="10:10" x14ac:dyDescent="0.35">
      <c r="J4085" s="1">
        <v>0</v>
      </c>
    </row>
    <row r="4086" spans="10:10" x14ac:dyDescent="0.35">
      <c r="J4086" s="1">
        <v>0</v>
      </c>
    </row>
    <row r="4087" spans="10:10" x14ac:dyDescent="0.35">
      <c r="J4087" s="1">
        <v>0</v>
      </c>
    </row>
    <row r="4088" spans="10:10" x14ac:dyDescent="0.35">
      <c r="J4088" s="1">
        <v>0</v>
      </c>
    </row>
    <row r="4089" spans="10:10" x14ac:dyDescent="0.35">
      <c r="J4089" s="1">
        <v>0</v>
      </c>
    </row>
    <row r="4090" spans="10:10" x14ac:dyDescent="0.35">
      <c r="J4090" s="1">
        <v>0</v>
      </c>
    </row>
    <row r="4091" spans="10:10" x14ac:dyDescent="0.35">
      <c r="J4091" s="1">
        <v>1</v>
      </c>
    </row>
    <row r="4092" spans="10:10" x14ac:dyDescent="0.35">
      <c r="J4092" s="1">
        <v>1</v>
      </c>
    </row>
    <row r="4093" spans="10:10" x14ac:dyDescent="0.35">
      <c r="J4093" s="1">
        <v>1</v>
      </c>
    </row>
    <row r="4094" spans="10:10" x14ac:dyDescent="0.35">
      <c r="J4094" s="1">
        <v>1</v>
      </c>
    </row>
    <row r="4095" spans="10:10" x14ac:dyDescent="0.35">
      <c r="J4095" s="1">
        <v>0</v>
      </c>
    </row>
    <row r="4096" spans="10:10" x14ac:dyDescent="0.35">
      <c r="J4096" s="1">
        <v>0</v>
      </c>
    </row>
    <row r="4097" spans="10:10" x14ac:dyDescent="0.35">
      <c r="J4097" s="1">
        <v>0</v>
      </c>
    </row>
    <row r="4098" spans="10:10" x14ac:dyDescent="0.35">
      <c r="J4098" s="1">
        <v>0</v>
      </c>
    </row>
    <row r="4099" spans="10:10" x14ac:dyDescent="0.35">
      <c r="J4099" s="1">
        <v>1</v>
      </c>
    </row>
    <row r="4100" spans="10:10" x14ac:dyDescent="0.35">
      <c r="J4100" s="1">
        <v>0</v>
      </c>
    </row>
    <row r="4101" spans="10:10" x14ac:dyDescent="0.35">
      <c r="J4101" s="1">
        <v>0</v>
      </c>
    </row>
    <row r="4102" spans="10:10" x14ac:dyDescent="0.35">
      <c r="J4102" s="1">
        <v>0</v>
      </c>
    </row>
    <row r="4103" spans="10:10" x14ac:dyDescent="0.35">
      <c r="J4103" s="1">
        <v>0</v>
      </c>
    </row>
    <row r="4104" spans="10:10" x14ac:dyDescent="0.35">
      <c r="J4104" s="1">
        <v>0</v>
      </c>
    </row>
    <row r="4105" spans="10:10" x14ac:dyDescent="0.35">
      <c r="J4105" s="1">
        <v>0</v>
      </c>
    </row>
    <row r="4106" spans="10:10" x14ac:dyDescent="0.35">
      <c r="J4106" s="1">
        <v>0</v>
      </c>
    </row>
    <row r="4107" spans="10:10" x14ac:dyDescent="0.35">
      <c r="J4107" s="1">
        <v>1</v>
      </c>
    </row>
    <row r="4108" spans="10:10" x14ac:dyDescent="0.35">
      <c r="J4108" s="1">
        <v>0</v>
      </c>
    </row>
    <row r="4109" spans="10:10" x14ac:dyDescent="0.35">
      <c r="J4109" s="1">
        <v>0</v>
      </c>
    </row>
    <row r="4110" spans="10:10" x14ac:dyDescent="0.35">
      <c r="J4110" s="1">
        <v>0</v>
      </c>
    </row>
    <row r="4111" spans="10:10" x14ac:dyDescent="0.35">
      <c r="J4111" s="1">
        <v>1</v>
      </c>
    </row>
    <row r="4112" spans="10:10" x14ac:dyDescent="0.35">
      <c r="J4112" s="1">
        <v>1</v>
      </c>
    </row>
    <row r="4113" spans="10:10" x14ac:dyDescent="0.35">
      <c r="J4113" s="1">
        <v>1</v>
      </c>
    </row>
    <row r="4114" spans="10:10" x14ac:dyDescent="0.35">
      <c r="J4114" s="1">
        <v>1</v>
      </c>
    </row>
    <row r="4115" spans="10:10" x14ac:dyDescent="0.35">
      <c r="J4115" s="1">
        <v>1</v>
      </c>
    </row>
    <row r="4116" spans="10:10" x14ac:dyDescent="0.35">
      <c r="J4116" s="1">
        <v>1</v>
      </c>
    </row>
    <row r="4117" spans="10:10" x14ac:dyDescent="0.35">
      <c r="J4117" s="1">
        <v>0</v>
      </c>
    </row>
    <row r="4118" spans="10:10" x14ac:dyDescent="0.35">
      <c r="J4118" s="1">
        <v>1</v>
      </c>
    </row>
    <row r="4119" spans="10:10" x14ac:dyDescent="0.35">
      <c r="J4119" s="1">
        <v>0</v>
      </c>
    </row>
    <row r="4120" spans="10:10" x14ac:dyDescent="0.35">
      <c r="J4120" s="1">
        <v>1</v>
      </c>
    </row>
    <row r="4121" spans="10:10" x14ac:dyDescent="0.35">
      <c r="J4121" s="1">
        <v>0</v>
      </c>
    </row>
    <row r="4122" spans="10:10" x14ac:dyDescent="0.35">
      <c r="J4122" s="1">
        <v>0</v>
      </c>
    </row>
    <row r="4123" spans="10:10" x14ac:dyDescent="0.35">
      <c r="J4123" s="1">
        <v>0</v>
      </c>
    </row>
    <row r="4124" spans="10:10" x14ac:dyDescent="0.35">
      <c r="J4124" s="1">
        <v>0</v>
      </c>
    </row>
    <row r="4125" spans="10:10" x14ac:dyDescent="0.35">
      <c r="J4125" s="1">
        <v>0</v>
      </c>
    </row>
    <row r="4126" spans="10:10" x14ac:dyDescent="0.35">
      <c r="J4126" s="1">
        <v>0</v>
      </c>
    </row>
    <row r="4127" spans="10:10" x14ac:dyDescent="0.35">
      <c r="J4127" s="1">
        <v>0</v>
      </c>
    </row>
    <row r="4128" spans="10:10" x14ac:dyDescent="0.35">
      <c r="J4128" s="1">
        <v>0</v>
      </c>
    </row>
    <row r="4129" spans="10:10" x14ac:dyDescent="0.35">
      <c r="J4129" s="1">
        <v>0</v>
      </c>
    </row>
    <row r="4130" spans="10:10" x14ac:dyDescent="0.35">
      <c r="J4130" s="1">
        <v>0</v>
      </c>
    </row>
    <row r="4131" spans="10:10" x14ac:dyDescent="0.35">
      <c r="J4131" s="1">
        <v>0</v>
      </c>
    </row>
    <row r="4132" spans="10:10" x14ac:dyDescent="0.35">
      <c r="J4132" s="1">
        <v>0</v>
      </c>
    </row>
    <row r="4133" spans="10:10" x14ac:dyDescent="0.35">
      <c r="J4133" s="1">
        <v>0</v>
      </c>
    </row>
    <row r="4134" spans="10:10" x14ac:dyDescent="0.35">
      <c r="J4134" s="1">
        <v>0</v>
      </c>
    </row>
    <row r="4135" spans="10:10" x14ac:dyDescent="0.35">
      <c r="J4135" s="1">
        <v>0</v>
      </c>
    </row>
    <row r="4136" spans="10:10" x14ac:dyDescent="0.35">
      <c r="J4136" s="1">
        <v>0</v>
      </c>
    </row>
    <row r="4137" spans="10:10" x14ac:dyDescent="0.35">
      <c r="J4137" s="1">
        <v>0</v>
      </c>
    </row>
    <row r="4138" spans="10:10" x14ac:dyDescent="0.35">
      <c r="J4138" s="1">
        <v>0</v>
      </c>
    </row>
    <row r="4139" spans="10:10" x14ac:dyDescent="0.35">
      <c r="J4139" s="1">
        <v>0</v>
      </c>
    </row>
    <row r="4140" spans="10:10" x14ac:dyDescent="0.35">
      <c r="J4140" s="1">
        <v>0</v>
      </c>
    </row>
    <row r="4141" spans="10:10" x14ac:dyDescent="0.35">
      <c r="J4141" s="1">
        <v>0</v>
      </c>
    </row>
    <row r="4142" spans="10:10" x14ac:dyDescent="0.35">
      <c r="J4142" s="1">
        <v>0</v>
      </c>
    </row>
    <row r="4143" spans="10:10" x14ac:dyDescent="0.35">
      <c r="J4143" s="1">
        <v>0</v>
      </c>
    </row>
    <row r="4144" spans="10:10" x14ac:dyDescent="0.35">
      <c r="J4144" s="1">
        <v>0</v>
      </c>
    </row>
    <row r="4145" spans="10:10" x14ac:dyDescent="0.35">
      <c r="J4145" s="1">
        <v>0</v>
      </c>
    </row>
    <row r="4146" spans="10:10" x14ac:dyDescent="0.35">
      <c r="J4146" s="1">
        <v>1</v>
      </c>
    </row>
    <row r="4147" spans="10:10" x14ac:dyDescent="0.35">
      <c r="J4147" s="1">
        <v>0</v>
      </c>
    </row>
    <row r="4148" spans="10:10" x14ac:dyDescent="0.35">
      <c r="J4148" s="1">
        <v>0</v>
      </c>
    </row>
    <row r="4149" spans="10:10" x14ac:dyDescent="0.35">
      <c r="J4149" s="1">
        <v>0</v>
      </c>
    </row>
    <row r="4150" spans="10:10" x14ac:dyDescent="0.35">
      <c r="J4150" s="1">
        <v>0</v>
      </c>
    </row>
    <row r="4151" spans="10:10" x14ac:dyDescent="0.35">
      <c r="J4151" s="1">
        <v>0</v>
      </c>
    </row>
    <row r="4152" spans="10:10" x14ac:dyDescent="0.35">
      <c r="J4152" s="1">
        <v>1</v>
      </c>
    </row>
    <row r="4153" spans="10:10" x14ac:dyDescent="0.35">
      <c r="J4153" s="1">
        <v>0</v>
      </c>
    </row>
    <row r="4154" spans="10:10" x14ac:dyDescent="0.35">
      <c r="J4154" s="1">
        <v>0</v>
      </c>
    </row>
    <row r="4155" spans="10:10" x14ac:dyDescent="0.35">
      <c r="J4155" s="1">
        <v>0</v>
      </c>
    </row>
    <row r="4156" spans="10:10" x14ac:dyDescent="0.35">
      <c r="J4156" s="1">
        <v>0</v>
      </c>
    </row>
    <row r="4157" spans="10:10" x14ac:dyDescent="0.35">
      <c r="J4157" s="1">
        <v>0</v>
      </c>
    </row>
    <row r="4158" spans="10:10" x14ac:dyDescent="0.35">
      <c r="J4158" s="1">
        <v>0</v>
      </c>
    </row>
    <row r="4159" spans="10:10" x14ac:dyDescent="0.35">
      <c r="J4159" s="1">
        <v>0</v>
      </c>
    </row>
    <row r="4160" spans="10:10" x14ac:dyDescent="0.35">
      <c r="J4160" s="1">
        <v>0</v>
      </c>
    </row>
    <row r="4161" spans="10:10" x14ac:dyDescent="0.35">
      <c r="J4161" s="1">
        <v>0</v>
      </c>
    </row>
    <row r="4162" spans="10:10" x14ac:dyDescent="0.35">
      <c r="J4162" s="1">
        <v>0</v>
      </c>
    </row>
    <row r="4163" spans="10:10" x14ac:dyDescent="0.35">
      <c r="J4163" s="1">
        <v>0</v>
      </c>
    </row>
    <row r="4164" spans="10:10" x14ac:dyDescent="0.35">
      <c r="J4164" s="1">
        <v>0</v>
      </c>
    </row>
    <row r="4165" spans="10:10" x14ac:dyDescent="0.35">
      <c r="J4165" s="1">
        <v>1</v>
      </c>
    </row>
    <row r="4166" spans="10:10" x14ac:dyDescent="0.35">
      <c r="J4166" s="1">
        <v>0</v>
      </c>
    </row>
    <row r="4167" spans="10:10" x14ac:dyDescent="0.35">
      <c r="J4167" s="1">
        <v>1</v>
      </c>
    </row>
    <row r="4168" spans="10:10" x14ac:dyDescent="0.35">
      <c r="J4168" s="1">
        <v>1</v>
      </c>
    </row>
    <row r="4169" spans="10:10" x14ac:dyDescent="0.35">
      <c r="J4169" s="1">
        <v>1</v>
      </c>
    </row>
    <row r="4170" spans="10:10" x14ac:dyDescent="0.35">
      <c r="J4170" s="1">
        <v>0</v>
      </c>
    </row>
    <row r="4171" spans="10:10" x14ac:dyDescent="0.35">
      <c r="J4171" s="1">
        <v>1</v>
      </c>
    </row>
    <row r="4172" spans="10:10" x14ac:dyDescent="0.35">
      <c r="J4172" s="1">
        <v>1</v>
      </c>
    </row>
    <row r="4173" spans="10:10" x14ac:dyDescent="0.35">
      <c r="J4173" s="1">
        <v>0</v>
      </c>
    </row>
    <row r="4174" spans="10:10" x14ac:dyDescent="0.35">
      <c r="J4174" s="1">
        <v>1</v>
      </c>
    </row>
    <row r="4175" spans="10:10" x14ac:dyDescent="0.35">
      <c r="J4175" s="1">
        <v>1</v>
      </c>
    </row>
    <row r="4176" spans="10:10" x14ac:dyDescent="0.35">
      <c r="J4176" s="1">
        <v>0</v>
      </c>
    </row>
    <row r="4177" spans="10:10" x14ac:dyDescent="0.35">
      <c r="J4177" s="1">
        <v>1</v>
      </c>
    </row>
    <row r="4178" spans="10:10" x14ac:dyDescent="0.35">
      <c r="J4178" s="1">
        <v>1</v>
      </c>
    </row>
    <row r="4179" spans="10:10" x14ac:dyDescent="0.35">
      <c r="J4179" s="1">
        <v>1</v>
      </c>
    </row>
    <row r="4180" spans="10:10" x14ac:dyDescent="0.35">
      <c r="J4180" s="1">
        <v>0</v>
      </c>
    </row>
    <row r="4181" spans="10:10" x14ac:dyDescent="0.35">
      <c r="J4181" s="1">
        <v>0</v>
      </c>
    </row>
    <row r="4182" spans="10:10" x14ac:dyDescent="0.35">
      <c r="J4182" s="1">
        <v>0</v>
      </c>
    </row>
    <row r="4183" spans="10:10" x14ac:dyDescent="0.35">
      <c r="J4183" s="1">
        <v>1</v>
      </c>
    </row>
    <row r="4184" spans="10:10" x14ac:dyDescent="0.35">
      <c r="J4184" s="1">
        <v>1</v>
      </c>
    </row>
    <row r="4185" spans="10:10" x14ac:dyDescent="0.35">
      <c r="J4185" s="1">
        <v>0</v>
      </c>
    </row>
    <row r="4186" spans="10:10" x14ac:dyDescent="0.35">
      <c r="J4186" s="1">
        <v>0</v>
      </c>
    </row>
    <row r="4187" spans="10:10" x14ac:dyDescent="0.35">
      <c r="J4187" s="1">
        <v>1</v>
      </c>
    </row>
    <row r="4188" spans="10:10" x14ac:dyDescent="0.35">
      <c r="J4188" s="1">
        <v>0</v>
      </c>
    </row>
    <row r="4189" spans="10:10" x14ac:dyDescent="0.35">
      <c r="J4189" s="1">
        <v>1</v>
      </c>
    </row>
    <row r="4190" spans="10:10" x14ac:dyDescent="0.35">
      <c r="J4190" s="1">
        <v>1</v>
      </c>
    </row>
    <row r="4191" spans="10:10" x14ac:dyDescent="0.35">
      <c r="J4191" s="1">
        <v>1</v>
      </c>
    </row>
    <row r="4192" spans="10:10" x14ac:dyDescent="0.35">
      <c r="J4192" s="1">
        <v>1</v>
      </c>
    </row>
    <row r="4193" spans="10:10" x14ac:dyDescent="0.35">
      <c r="J4193" s="1">
        <v>0</v>
      </c>
    </row>
    <row r="4194" spans="10:10" x14ac:dyDescent="0.35">
      <c r="J4194" s="1">
        <v>1</v>
      </c>
    </row>
    <row r="4195" spans="10:10" x14ac:dyDescent="0.35">
      <c r="J4195" s="1">
        <v>0</v>
      </c>
    </row>
    <row r="4196" spans="10:10" x14ac:dyDescent="0.35">
      <c r="J4196" s="1">
        <v>1</v>
      </c>
    </row>
    <row r="4197" spans="10:10" x14ac:dyDescent="0.35">
      <c r="J4197" s="1">
        <v>1</v>
      </c>
    </row>
    <row r="4198" spans="10:10" x14ac:dyDescent="0.35">
      <c r="J4198" s="1">
        <v>0</v>
      </c>
    </row>
    <row r="4199" spans="10:10" x14ac:dyDescent="0.35">
      <c r="J4199" s="1">
        <v>1</v>
      </c>
    </row>
    <row r="4200" spans="10:10" x14ac:dyDescent="0.35">
      <c r="J4200" s="1">
        <v>1</v>
      </c>
    </row>
    <row r="4201" spans="10:10" x14ac:dyDescent="0.35">
      <c r="J4201" s="1">
        <v>0</v>
      </c>
    </row>
    <row r="4202" spans="10:10" x14ac:dyDescent="0.35">
      <c r="J4202" s="1">
        <v>0</v>
      </c>
    </row>
    <row r="4203" spans="10:10" x14ac:dyDescent="0.35">
      <c r="J4203" s="1">
        <v>1</v>
      </c>
    </row>
    <row r="4204" spans="10:10" x14ac:dyDescent="0.35">
      <c r="J4204" s="1">
        <v>0</v>
      </c>
    </row>
    <row r="4205" spans="10:10" x14ac:dyDescent="0.35">
      <c r="J4205" s="1">
        <v>0</v>
      </c>
    </row>
    <row r="4206" spans="10:10" x14ac:dyDescent="0.35">
      <c r="J4206" s="1">
        <v>1</v>
      </c>
    </row>
    <row r="4207" spans="10:10" x14ac:dyDescent="0.35">
      <c r="J4207" s="1">
        <v>0</v>
      </c>
    </row>
    <row r="4208" spans="10:10" x14ac:dyDescent="0.35">
      <c r="J4208" s="1">
        <v>1</v>
      </c>
    </row>
    <row r="4209" spans="10:10" x14ac:dyDescent="0.35">
      <c r="J4209" s="1">
        <v>1</v>
      </c>
    </row>
    <row r="4210" spans="10:10" x14ac:dyDescent="0.35">
      <c r="J4210" s="1">
        <v>0</v>
      </c>
    </row>
    <row r="4211" spans="10:10" x14ac:dyDescent="0.35">
      <c r="J4211" s="1">
        <v>0</v>
      </c>
    </row>
    <row r="4212" spans="10:10" x14ac:dyDescent="0.35">
      <c r="J4212" s="1">
        <v>0</v>
      </c>
    </row>
    <row r="4213" spans="10:10" x14ac:dyDescent="0.35">
      <c r="J4213" s="1">
        <v>0</v>
      </c>
    </row>
    <row r="4214" spans="10:10" x14ac:dyDescent="0.35">
      <c r="J4214" s="1">
        <v>1</v>
      </c>
    </row>
    <row r="4215" spans="10:10" x14ac:dyDescent="0.35">
      <c r="J4215" s="1">
        <v>1</v>
      </c>
    </row>
    <row r="4216" spans="10:10" x14ac:dyDescent="0.35">
      <c r="J4216" s="1">
        <v>0</v>
      </c>
    </row>
    <row r="4217" spans="10:10" x14ac:dyDescent="0.35">
      <c r="J4217" s="1">
        <v>1</v>
      </c>
    </row>
    <row r="4218" spans="10:10" x14ac:dyDescent="0.35">
      <c r="J4218" s="1">
        <v>1</v>
      </c>
    </row>
    <row r="4219" spans="10:10" x14ac:dyDescent="0.35">
      <c r="J4219" s="1">
        <v>1</v>
      </c>
    </row>
    <row r="4220" spans="10:10" x14ac:dyDescent="0.35">
      <c r="J4220" s="1">
        <v>0</v>
      </c>
    </row>
    <row r="4221" spans="10:10" x14ac:dyDescent="0.35">
      <c r="J4221" s="1">
        <v>1</v>
      </c>
    </row>
    <row r="4222" spans="10:10" x14ac:dyDescent="0.35">
      <c r="J4222" s="1">
        <v>0</v>
      </c>
    </row>
    <row r="4223" spans="10:10" x14ac:dyDescent="0.35">
      <c r="J4223" s="1">
        <v>1</v>
      </c>
    </row>
    <row r="4224" spans="10:10" x14ac:dyDescent="0.35">
      <c r="J4224" s="1">
        <v>0</v>
      </c>
    </row>
    <row r="4225" spans="10:10" x14ac:dyDescent="0.35">
      <c r="J4225" s="1">
        <v>1</v>
      </c>
    </row>
    <row r="4226" spans="10:10" x14ac:dyDescent="0.35">
      <c r="J4226" s="1">
        <v>1</v>
      </c>
    </row>
    <row r="4227" spans="10:10" x14ac:dyDescent="0.35">
      <c r="J4227" s="1">
        <v>1</v>
      </c>
    </row>
    <row r="4228" spans="10:10" x14ac:dyDescent="0.35">
      <c r="J4228" s="1">
        <v>1</v>
      </c>
    </row>
    <row r="4229" spans="10:10" x14ac:dyDescent="0.35">
      <c r="J4229" s="1">
        <v>1</v>
      </c>
    </row>
    <row r="4230" spans="10:10" x14ac:dyDescent="0.35">
      <c r="J4230" s="1">
        <v>1</v>
      </c>
    </row>
    <row r="4231" spans="10:10" x14ac:dyDescent="0.35">
      <c r="J4231" s="1">
        <v>0</v>
      </c>
    </row>
    <row r="4232" spans="10:10" x14ac:dyDescent="0.35">
      <c r="J4232" s="1">
        <v>1</v>
      </c>
    </row>
    <row r="4233" spans="10:10" x14ac:dyDescent="0.35">
      <c r="J4233" s="1">
        <v>0</v>
      </c>
    </row>
    <row r="4234" spans="10:10" x14ac:dyDescent="0.35">
      <c r="J4234" s="1">
        <v>1</v>
      </c>
    </row>
    <row r="4235" spans="10:10" x14ac:dyDescent="0.35">
      <c r="J4235" s="1">
        <v>0</v>
      </c>
    </row>
    <row r="4236" spans="10:10" x14ac:dyDescent="0.35">
      <c r="J4236" s="1">
        <v>0</v>
      </c>
    </row>
    <row r="4237" spans="10:10" x14ac:dyDescent="0.35">
      <c r="J4237" s="1">
        <v>0</v>
      </c>
    </row>
    <row r="4238" spans="10:10" x14ac:dyDescent="0.35">
      <c r="J4238" s="1">
        <v>0</v>
      </c>
    </row>
    <row r="4239" spans="10:10" x14ac:dyDescent="0.35">
      <c r="J4239" s="1">
        <v>1</v>
      </c>
    </row>
    <row r="4240" spans="10:10" x14ac:dyDescent="0.35">
      <c r="J4240" s="1">
        <v>1</v>
      </c>
    </row>
    <row r="4241" spans="10:10" x14ac:dyDescent="0.35">
      <c r="J4241" s="1">
        <v>1</v>
      </c>
    </row>
    <row r="4242" spans="10:10" x14ac:dyDescent="0.35">
      <c r="J4242" s="1">
        <v>1</v>
      </c>
    </row>
    <row r="4243" spans="10:10" x14ac:dyDescent="0.35">
      <c r="J4243" s="1">
        <v>1</v>
      </c>
    </row>
    <row r="4244" spans="10:10" x14ac:dyDescent="0.35">
      <c r="J4244" s="1">
        <v>1</v>
      </c>
    </row>
    <row r="4245" spans="10:10" x14ac:dyDescent="0.35">
      <c r="J4245" s="1">
        <v>1</v>
      </c>
    </row>
    <row r="4246" spans="10:10" x14ac:dyDescent="0.35">
      <c r="J4246" s="1">
        <v>1</v>
      </c>
    </row>
    <row r="4247" spans="10:10" x14ac:dyDescent="0.35">
      <c r="J4247" s="1">
        <v>1</v>
      </c>
    </row>
    <row r="4248" spans="10:10" x14ac:dyDescent="0.35">
      <c r="J4248" s="1">
        <v>1</v>
      </c>
    </row>
    <row r="4249" spans="10:10" x14ac:dyDescent="0.35">
      <c r="J4249" s="1">
        <v>0</v>
      </c>
    </row>
    <row r="4250" spans="10:10" x14ac:dyDescent="0.35">
      <c r="J4250" s="1">
        <v>1</v>
      </c>
    </row>
    <row r="4251" spans="10:10" x14ac:dyDescent="0.35">
      <c r="J4251" s="1">
        <v>1</v>
      </c>
    </row>
    <row r="4252" spans="10:10" x14ac:dyDescent="0.35">
      <c r="J4252" s="1">
        <v>0</v>
      </c>
    </row>
    <row r="4253" spans="10:10" x14ac:dyDescent="0.35">
      <c r="J4253" s="1">
        <v>1</v>
      </c>
    </row>
    <row r="4254" spans="10:10" x14ac:dyDescent="0.35">
      <c r="J4254" s="1">
        <v>0</v>
      </c>
    </row>
    <row r="4255" spans="10:10" x14ac:dyDescent="0.35">
      <c r="J4255" s="1">
        <v>1</v>
      </c>
    </row>
    <row r="4256" spans="10:10" x14ac:dyDescent="0.35">
      <c r="J4256" s="1">
        <v>1</v>
      </c>
    </row>
    <row r="4257" spans="10:10" x14ac:dyDescent="0.35">
      <c r="J4257" s="1">
        <v>1</v>
      </c>
    </row>
    <row r="4258" spans="10:10" x14ac:dyDescent="0.35">
      <c r="J4258" s="1">
        <v>1</v>
      </c>
    </row>
    <row r="4259" spans="10:10" x14ac:dyDescent="0.35">
      <c r="J4259" s="1">
        <v>1</v>
      </c>
    </row>
    <row r="4260" spans="10:10" x14ac:dyDescent="0.35">
      <c r="J4260" s="1">
        <v>1</v>
      </c>
    </row>
    <row r="4261" spans="10:10" x14ac:dyDescent="0.35">
      <c r="J4261" s="1">
        <v>1</v>
      </c>
    </row>
    <row r="4262" spans="10:10" x14ac:dyDescent="0.35">
      <c r="J4262" s="1">
        <v>1</v>
      </c>
    </row>
    <row r="4263" spans="10:10" x14ac:dyDescent="0.35">
      <c r="J4263" s="1">
        <v>0</v>
      </c>
    </row>
    <row r="4264" spans="10:10" x14ac:dyDescent="0.35">
      <c r="J4264" s="1">
        <v>1</v>
      </c>
    </row>
    <row r="4265" spans="10:10" x14ac:dyDescent="0.35">
      <c r="J4265" s="1">
        <v>0</v>
      </c>
    </row>
    <row r="4266" spans="10:10" x14ac:dyDescent="0.35">
      <c r="J4266" s="1">
        <v>1</v>
      </c>
    </row>
    <row r="4267" spans="10:10" x14ac:dyDescent="0.35">
      <c r="J4267" s="1">
        <v>1</v>
      </c>
    </row>
    <row r="4268" spans="10:10" x14ac:dyDescent="0.35">
      <c r="J4268" s="1">
        <v>1</v>
      </c>
    </row>
    <row r="4269" spans="10:10" x14ac:dyDescent="0.35">
      <c r="J4269" s="1">
        <v>0</v>
      </c>
    </row>
    <row r="4270" spans="10:10" x14ac:dyDescent="0.35">
      <c r="J4270" s="1">
        <v>1</v>
      </c>
    </row>
    <row r="4271" spans="10:10" x14ac:dyDescent="0.35">
      <c r="J4271" s="1">
        <v>0</v>
      </c>
    </row>
    <row r="4272" spans="10:10" x14ac:dyDescent="0.35">
      <c r="J4272" s="1">
        <v>0</v>
      </c>
    </row>
    <row r="4273" spans="10:10" x14ac:dyDescent="0.35">
      <c r="J4273" s="1">
        <v>1</v>
      </c>
    </row>
    <row r="4274" spans="10:10" x14ac:dyDescent="0.35">
      <c r="J4274" s="1">
        <v>1</v>
      </c>
    </row>
    <row r="4275" spans="10:10" x14ac:dyDescent="0.35">
      <c r="J4275" s="1">
        <v>1</v>
      </c>
    </row>
    <row r="4276" spans="10:10" x14ac:dyDescent="0.35">
      <c r="J4276" s="1">
        <v>0</v>
      </c>
    </row>
    <row r="4277" spans="10:10" x14ac:dyDescent="0.35">
      <c r="J4277" s="1">
        <v>0</v>
      </c>
    </row>
    <row r="4278" spans="10:10" x14ac:dyDescent="0.35">
      <c r="J4278" s="1">
        <v>1</v>
      </c>
    </row>
    <row r="4279" spans="10:10" x14ac:dyDescent="0.35">
      <c r="J4279" s="1">
        <v>1</v>
      </c>
    </row>
    <row r="4280" spans="10:10" x14ac:dyDescent="0.35">
      <c r="J4280" s="1">
        <v>1</v>
      </c>
    </row>
    <row r="4281" spans="10:10" x14ac:dyDescent="0.35">
      <c r="J4281" s="1">
        <v>1</v>
      </c>
    </row>
    <row r="4282" spans="10:10" x14ac:dyDescent="0.35">
      <c r="J4282" s="1">
        <v>1</v>
      </c>
    </row>
    <row r="4283" spans="10:10" x14ac:dyDescent="0.35">
      <c r="J4283" s="1">
        <v>1</v>
      </c>
    </row>
    <row r="4284" spans="10:10" x14ac:dyDescent="0.35">
      <c r="J4284" s="1">
        <v>1</v>
      </c>
    </row>
    <row r="4285" spans="10:10" x14ac:dyDescent="0.35">
      <c r="J4285" s="1">
        <v>1</v>
      </c>
    </row>
    <row r="4286" spans="10:10" x14ac:dyDescent="0.35">
      <c r="J4286" s="1">
        <v>0</v>
      </c>
    </row>
    <row r="4287" spans="10:10" x14ac:dyDescent="0.35">
      <c r="J4287" s="1">
        <v>1</v>
      </c>
    </row>
    <row r="4288" spans="10:10" x14ac:dyDescent="0.35">
      <c r="J4288" s="1">
        <v>1</v>
      </c>
    </row>
    <row r="4289" spans="10:10" x14ac:dyDescent="0.35">
      <c r="J4289" s="1">
        <v>0</v>
      </c>
    </row>
    <row r="4290" spans="10:10" x14ac:dyDescent="0.35">
      <c r="J4290" s="1">
        <v>0</v>
      </c>
    </row>
    <row r="4291" spans="10:10" x14ac:dyDescent="0.35">
      <c r="J4291" s="1">
        <v>1</v>
      </c>
    </row>
    <row r="4292" spans="10:10" x14ac:dyDescent="0.35">
      <c r="J4292" s="1">
        <v>1</v>
      </c>
    </row>
    <row r="4293" spans="10:10" x14ac:dyDescent="0.35">
      <c r="J4293" s="1">
        <v>1</v>
      </c>
    </row>
    <row r="4294" spans="10:10" x14ac:dyDescent="0.35">
      <c r="J4294" s="1">
        <v>1</v>
      </c>
    </row>
    <row r="4295" spans="10:10" x14ac:dyDescent="0.35">
      <c r="J4295" s="1">
        <v>0</v>
      </c>
    </row>
    <row r="4296" spans="10:10" x14ac:dyDescent="0.35">
      <c r="J4296" s="1">
        <v>1</v>
      </c>
    </row>
    <row r="4297" spans="10:10" x14ac:dyDescent="0.35">
      <c r="J4297" s="1">
        <v>0</v>
      </c>
    </row>
    <row r="4298" spans="10:10" x14ac:dyDescent="0.35">
      <c r="J4298" s="1">
        <v>1</v>
      </c>
    </row>
    <row r="4299" spans="10:10" x14ac:dyDescent="0.35">
      <c r="J4299" s="1">
        <v>1</v>
      </c>
    </row>
    <row r="4300" spans="10:10" x14ac:dyDescent="0.35">
      <c r="J4300" s="1">
        <v>1</v>
      </c>
    </row>
    <row r="4301" spans="10:10" x14ac:dyDescent="0.35">
      <c r="J4301" s="1">
        <v>0</v>
      </c>
    </row>
    <row r="4302" spans="10:10" x14ac:dyDescent="0.35">
      <c r="J4302" s="1">
        <v>1</v>
      </c>
    </row>
    <row r="4303" spans="10:10" x14ac:dyDescent="0.35">
      <c r="J4303" s="1">
        <v>0</v>
      </c>
    </row>
    <row r="4304" spans="10:10" x14ac:dyDescent="0.35">
      <c r="J4304" s="1">
        <v>0</v>
      </c>
    </row>
    <row r="4305" spans="10:10" x14ac:dyDescent="0.35">
      <c r="J4305" s="1">
        <v>1</v>
      </c>
    </row>
    <row r="4306" spans="10:10" x14ac:dyDescent="0.35">
      <c r="J4306" s="1">
        <v>0</v>
      </c>
    </row>
    <row r="4307" spans="10:10" x14ac:dyDescent="0.35">
      <c r="J4307" s="1">
        <v>1</v>
      </c>
    </row>
    <row r="4308" spans="10:10" x14ac:dyDescent="0.35">
      <c r="J4308" s="1">
        <v>1</v>
      </c>
    </row>
    <row r="4309" spans="10:10" x14ac:dyDescent="0.35">
      <c r="J4309" s="1">
        <v>1</v>
      </c>
    </row>
    <row r="4310" spans="10:10" x14ac:dyDescent="0.35">
      <c r="J4310" s="1">
        <v>0</v>
      </c>
    </row>
    <row r="4311" spans="10:10" x14ac:dyDescent="0.35">
      <c r="J4311" s="1">
        <v>1</v>
      </c>
    </row>
    <row r="4312" spans="10:10" x14ac:dyDescent="0.35">
      <c r="J4312" s="1">
        <v>1</v>
      </c>
    </row>
    <row r="4313" spans="10:10" x14ac:dyDescent="0.35">
      <c r="J4313" s="1">
        <v>1</v>
      </c>
    </row>
    <row r="4314" spans="10:10" x14ac:dyDescent="0.35">
      <c r="J4314" s="1">
        <v>0</v>
      </c>
    </row>
    <row r="4315" spans="10:10" x14ac:dyDescent="0.35">
      <c r="J4315" s="1">
        <v>0</v>
      </c>
    </row>
    <row r="4316" spans="10:10" x14ac:dyDescent="0.35">
      <c r="J4316" s="1">
        <v>1</v>
      </c>
    </row>
    <row r="4317" spans="10:10" x14ac:dyDescent="0.35">
      <c r="J4317" s="1">
        <v>0</v>
      </c>
    </row>
    <row r="4318" spans="10:10" x14ac:dyDescent="0.35">
      <c r="J4318" s="1">
        <v>0</v>
      </c>
    </row>
    <row r="4319" spans="10:10" x14ac:dyDescent="0.35">
      <c r="J4319" s="1">
        <v>0</v>
      </c>
    </row>
    <row r="4320" spans="10:10" x14ac:dyDescent="0.35">
      <c r="J4320" s="1">
        <v>0</v>
      </c>
    </row>
    <row r="4321" spans="10:10" x14ac:dyDescent="0.35">
      <c r="J4321" s="1">
        <v>0</v>
      </c>
    </row>
    <row r="4322" spans="10:10" x14ac:dyDescent="0.35">
      <c r="J4322" s="1">
        <v>1</v>
      </c>
    </row>
    <row r="4323" spans="10:10" x14ac:dyDescent="0.35">
      <c r="J4323" s="1">
        <v>0</v>
      </c>
    </row>
    <row r="4324" spans="10:10" x14ac:dyDescent="0.35">
      <c r="J4324" s="1">
        <v>0</v>
      </c>
    </row>
    <row r="4325" spans="10:10" x14ac:dyDescent="0.35">
      <c r="J4325" s="1">
        <v>0</v>
      </c>
    </row>
    <row r="4326" spans="10:10" x14ac:dyDescent="0.35">
      <c r="J4326" s="1">
        <v>1</v>
      </c>
    </row>
    <row r="4327" spans="10:10" x14ac:dyDescent="0.35">
      <c r="J4327" s="1">
        <v>1</v>
      </c>
    </row>
    <row r="4328" spans="10:10" x14ac:dyDescent="0.35">
      <c r="J4328" s="1">
        <v>1</v>
      </c>
    </row>
    <row r="4329" spans="10:10" x14ac:dyDescent="0.35">
      <c r="J4329" s="1">
        <v>0</v>
      </c>
    </row>
    <row r="4330" spans="10:10" x14ac:dyDescent="0.35">
      <c r="J4330" s="1">
        <v>1</v>
      </c>
    </row>
    <row r="4331" spans="10:10" x14ac:dyDescent="0.35">
      <c r="J4331" s="1">
        <v>1</v>
      </c>
    </row>
    <row r="4332" spans="10:10" x14ac:dyDescent="0.35">
      <c r="J4332" s="1">
        <v>1</v>
      </c>
    </row>
    <row r="4333" spans="10:10" x14ac:dyDescent="0.35">
      <c r="J4333" s="1">
        <v>0</v>
      </c>
    </row>
    <row r="4334" spans="10:10" x14ac:dyDescent="0.35">
      <c r="J4334" s="1">
        <v>0</v>
      </c>
    </row>
    <row r="4335" spans="10:10" x14ac:dyDescent="0.35">
      <c r="J4335" s="1">
        <v>1</v>
      </c>
    </row>
    <row r="4336" spans="10:10" x14ac:dyDescent="0.35">
      <c r="J4336" s="1">
        <v>0</v>
      </c>
    </row>
    <row r="4337" spans="10:10" x14ac:dyDescent="0.35">
      <c r="J4337" s="1">
        <v>1</v>
      </c>
    </row>
    <row r="4338" spans="10:10" x14ac:dyDescent="0.35">
      <c r="J4338" s="1">
        <v>1</v>
      </c>
    </row>
    <row r="4339" spans="10:10" x14ac:dyDescent="0.35">
      <c r="J4339" s="1">
        <v>1</v>
      </c>
    </row>
    <row r="4340" spans="10:10" x14ac:dyDescent="0.35">
      <c r="J4340" s="1">
        <v>1</v>
      </c>
    </row>
    <row r="4341" spans="10:10" x14ac:dyDescent="0.35">
      <c r="J4341" s="1">
        <v>1</v>
      </c>
    </row>
    <row r="4342" spans="10:10" x14ac:dyDescent="0.35">
      <c r="J4342" s="1">
        <v>0</v>
      </c>
    </row>
    <row r="4343" spans="10:10" x14ac:dyDescent="0.35">
      <c r="J4343" s="1">
        <v>1</v>
      </c>
    </row>
    <row r="4344" spans="10:10" x14ac:dyDescent="0.35">
      <c r="J4344" s="1">
        <v>1</v>
      </c>
    </row>
    <row r="4345" spans="10:10" x14ac:dyDescent="0.35">
      <c r="J4345" s="1">
        <v>1</v>
      </c>
    </row>
    <row r="4346" spans="10:10" x14ac:dyDescent="0.35">
      <c r="J4346" s="1">
        <v>1</v>
      </c>
    </row>
    <row r="4347" spans="10:10" x14ac:dyDescent="0.35">
      <c r="J4347" s="1">
        <v>1</v>
      </c>
    </row>
    <row r="4348" spans="10:10" x14ac:dyDescent="0.35">
      <c r="J4348" s="1">
        <v>1</v>
      </c>
    </row>
    <row r="4349" spans="10:10" x14ac:dyDescent="0.35">
      <c r="J4349" s="1">
        <v>0</v>
      </c>
    </row>
    <row r="4350" spans="10:10" x14ac:dyDescent="0.35">
      <c r="J4350" s="1">
        <v>1</v>
      </c>
    </row>
    <row r="4351" spans="10:10" x14ac:dyDescent="0.35">
      <c r="J4351" s="1">
        <v>1</v>
      </c>
    </row>
    <row r="4352" spans="10:10" x14ac:dyDescent="0.35">
      <c r="J4352" s="1">
        <v>1</v>
      </c>
    </row>
    <row r="4353" spans="10:10" x14ac:dyDescent="0.35">
      <c r="J4353" s="1">
        <v>1</v>
      </c>
    </row>
    <row r="4354" spans="10:10" x14ac:dyDescent="0.35">
      <c r="J4354" s="1">
        <v>1</v>
      </c>
    </row>
    <row r="4355" spans="10:10" x14ac:dyDescent="0.35">
      <c r="J4355" s="1">
        <v>1</v>
      </c>
    </row>
    <row r="4356" spans="10:10" x14ac:dyDescent="0.35">
      <c r="J4356" s="1">
        <v>0</v>
      </c>
    </row>
    <row r="4357" spans="10:10" x14ac:dyDescent="0.35">
      <c r="J4357" s="1">
        <v>0</v>
      </c>
    </row>
    <row r="4358" spans="10:10" x14ac:dyDescent="0.35">
      <c r="J4358" s="1">
        <v>0</v>
      </c>
    </row>
    <row r="4359" spans="10:10" x14ac:dyDescent="0.35">
      <c r="J4359" s="1">
        <v>1</v>
      </c>
    </row>
    <row r="4360" spans="10:10" x14ac:dyDescent="0.35">
      <c r="J4360" s="1">
        <v>0</v>
      </c>
    </row>
    <row r="4361" spans="10:10" x14ac:dyDescent="0.35">
      <c r="J4361" s="1">
        <v>1</v>
      </c>
    </row>
    <row r="4362" spans="10:10" x14ac:dyDescent="0.35">
      <c r="J4362" s="1">
        <v>1</v>
      </c>
    </row>
    <row r="4363" spans="10:10" x14ac:dyDescent="0.35">
      <c r="J4363" s="1">
        <v>1</v>
      </c>
    </row>
    <row r="4364" spans="10:10" x14ac:dyDescent="0.35">
      <c r="J4364" s="1">
        <v>1</v>
      </c>
    </row>
    <row r="4365" spans="10:10" x14ac:dyDescent="0.35">
      <c r="J4365" s="1">
        <v>1</v>
      </c>
    </row>
    <row r="4366" spans="10:10" x14ac:dyDescent="0.35">
      <c r="J4366" s="1">
        <v>1</v>
      </c>
    </row>
    <row r="4367" spans="10:10" x14ac:dyDescent="0.35">
      <c r="J4367" s="1">
        <v>1</v>
      </c>
    </row>
    <row r="4368" spans="10:10" x14ac:dyDescent="0.35">
      <c r="J4368" s="1">
        <v>1</v>
      </c>
    </row>
    <row r="4369" spans="10:10" x14ac:dyDescent="0.35">
      <c r="J4369" s="1">
        <v>1</v>
      </c>
    </row>
    <row r="4370" spans="10:10" x14ac:dyDescent="0.35">
      <c r="J4370" s="1">
        <v>0</v>
      </c>
    </row>
    <row r="4371" spans="10:10" x14ac:dyDescent="0.35">
      <c r="J4371" s="1">
        <v>1</v>
      </c>
    </row>
    <row r="4372" spans="10:10" x14ac:dyDescent="0.35">
      <c r="J4372" s="1">
        <v>1</v>
      </c>
    </row>
    <row r="4373" spans="10:10" x14ac:dyDescent="0.35">
      <c r="J4373" s="1">
        <v>1</v>
      </c>
    </row>
    <row r="4374" spans="10:10" x14ac:dyDescent="0.35">
      <c r="J4374" s="1">
        <v>1</v>
      </c>
    </row>
    <row r="4375" spans="10:10" x14ac:dyDescent="0.35">
      <c r="J4375" s="1">
        <v>1</v>
      </c>
    </row>
    <row r="4376" spans="10:10" x14ac:dyDescent="0.35">
      <c r="J4376" s="1">
        <v>1</v>
      </c>
    </row>
    <row r="4377" spans="10:10" x14ac:dyDescent="0.35">
      <c r="J4377" s="1">
        <v>1</v>
      </c>
    </row>
    <row r="4378" spans="10:10" x14ac:dyDescent="0.35">
      <c r="J4378" s="1">
        <v>1</v>
      </c>
    </row>
    <row r="4379" spans="10:10" x14ac:dyDescent="0.35">
      <c r="J4379" s="1">
        <v>1</v>
      </c>
    </row>
    <row r="4380" spans="10:10" x14ac:dyDescent="0.35">
      <c r="J4380" s="1">
        <v>1</v>
      </c>
    </row>
    <row r="4381" spans="10:10" x14ac:dyDescent="0.35">
      <c r="J4381" s="1">
        <v>1</v>
      </c>
    </row>
    <row r="4382" spans="10:10" x14ac:dyDescent="0.35">
      <c r="J4382" s="1">
        <v>1</v>
      </c>
    </row>
    <row r="4383" spans="10:10" x14ac:dyDescent="0.35">
      <c r="J4383" s="1">
        <v>1</v>
      </c>
    </row>
    <row r="4384" spans="10:10" x14ac:dyDescent="0.35">
      <c r="J4384" s="1">
        <v>1</v>
      </c>
    </row>
    <row r="4385" spans="10:10" x14ac:dyDescent="0.35">
      <c r="J4385" s="1">
        <v>0</v>
      </c>
    </row>
    <row r="4386" spans="10:10" x14ac:dyDescent="0.35">
      <c r="J4386" s="1">
        <v>1</v>
      </c>
    </row>
    <row r="4387" spans="10:10" x14ac:dyDescent="0.35">
      <c r="J4387" s="1">
        <v>1</v>
      </c>
    </row>
    <row r="4388" spans="10:10" x14ac:dyDescent="0.35">
      <c r="J4388" s="1">
        <v>1</v>
      </c>
    </row>
    <row r="4389" spans="10:10" x14ac:dyDescent="0.35">
      <c r="J4389" s="1">
        <v>0</v>
      </c>
    </row>
    <row r="4390" spans="10:10" x14ac:dyDescent="0.35">
      <c r="J4390" s="1">
        <v>0</v>
      </c>
    </row>
    <row r="4391" spans="10:10" x14ac:dyDescent="0.35">
      <c r="J4391" s="1">
        <v>1</v>
      </c>
    </row>
    <row r="4392" spans="10:10" x14ac:dyDescent="0.35">
      <c r="J4392" s="1">
        <v>1</v>
      </c>
    </row>
    <row r="4393" spans="10:10" x14ac:dyDescent="0.35">
      <c r="J4393" s="1">
        <v>1</v>
      </c>
    </row>
    <row r="4394" spans="10:10" x14ac:dyDescent="0.35">
      <c r="J4394" s="1">
        <v>1</v>
      </c>
    </row>
    <row r="4395" spans="10:10" x14ac:dyDescent="0.35">
      <c r="J4395" s="1">
        <v>1</v>
      </c>
    </row>
    <row r="4396" spans="10:10" x14ac:dyDescent="0.35">
      <c r="J4396" s="1">
        <v>1</v>
      </c>
    </row>
    <row r="4397" spans="10:10" x14ac:dyDescent="0.35">
      <c r="J4397" s="1">
        <v>1</v>
      </c>
    </row>
    <row r="4398" spans="10:10" x14ac:dyDescent="0.35">
      <c r="J4398" s="1">
        <v>1</v>
      </c>
    </row>
    <row r="4399" spans="10:10" x14ac:dyDescent="0.35">
      <c r="J4399" s="1">
        <v>1</v>
      </c>
    </row>
    <row r="4400" spans="10:10" x14ac:dyDescent="0.35">
      <c r="J4400" s="1">
        <v>1</v>
      </c>
    </row>
    <row r="4401" spans="10:10" x14ac:dyDescent="0.35">
      <c r="J4401" s="1">
        <v>1</v>
      </c>
    </row>
    <row r="4402" spans="10:10" x14ac:dyDescent="0.35">
      <c r="J4402" s="1">
        <v>1</v>
      </c>
    </row>
    <row r="4403" spans="10:10" x14ac:dyDescent="0.35">
      <c r="J4403" s="1">
        <v>0</v>
      </c>
    </row>
    <row r="4404" spans="10:10" x14ac:dyDescent="0.35">
      <c r="J4404" s="1">
        <v>1</v>
      </c>
    </row>
    <row r="4405" spans="10:10" x14ac:dyDescent="0.35">
      <c r="J4405" s="1">
        <v>1</v>
      </c>
    </row>
    <row r="4406" spans="10:10" x14ac:dyDescent="0.35">
      <c r="J4406" s="1">
        <v>1</v>
      </c>
    </row>
    <row r="4407" spans="10:10" x14ac:dyDescent="0.35">
      <c r="J4407" s="1">
        <v>1</v>
      </c>
    </row>
    <row r="4408" spans="10:10" x14ac:dyDescent="0.35">
      <c r="J4408" s="1">
        <v>1</v>
      </c>
    </row>
    <row r="4409" spans="10:10" x14ac:dyDescent="0.35">
      <c r="J4409" s="1">
        <v>1</v>
      </c>
    </row>
    <row r="4410" spans="10:10" x14ac:dyDescent="0.35">
      <c r="J4410" s="1">
        <v>1</v>
      </c>
    </row>
    <row r="4411" spans="10:10" x14ac:dyDescent="0.35">
      <c r="J4411" s="1">
        <v>1</v>
      </c>
    </row>
    <row r="4412" spans="10:10" x14ac:dyDescent="0.35">
      <c r="J4412" s="1">
        <v>1</v>
      </c>
    </row>
    <row r="4413" spans="10:10" x14ac:dyDescent="0.35">
      <c r="J4413" s="1">
        <v>1</v>
      </c>
    </row>
    <row r="4414" spans="10:10" x14ac:dyDescent="0.35">
      <c r="J4414" s="1">
        <v>1</v>
      </c>
    </row>
    <row r="4415" spans="10:10" x14ac:dyDescent="0.35">
      <c r="J4415" s="1">
        <v>1</v>
      </c>
    </row>
    <row r="4416" spans="10:10" x14ac:dyDescent="0.35">
      <c r="J4416" s="1">
        <v>1</v>
      </c>
    </row>
    <row r="4417" spans="10:10" x14ac:dyDescent="0.35">
      <c r="J4417" s="1">
        <v>1</v>
      </c>
    </row>
    <row r="4418" spans="10:10" x14ac:dyDescent="0.35">
      <c r="J4418" s="1">
        <v>1</v>
      </c>
    </row>
    <row r="4419" spans="10:10" x14ac:dyDescent="0.35">
      <c r="J4419" s="1">
        <v>1</v>
      </c>
    </row>
    <row r="4420" spans="10:10" x14ac:dyDescent="0.35">
      <c r="J4420" s="1">
        <v>1</v>
      </c>
    </row>
    <row r="4421" spans="10:10" x14ac:dyDescent="0.35">
      <c r="J4421" s="1">
        <v>1</v>
      </c>
    </row>
    <row r="4422" spans="10:10" x14ac:dyDescent="0.35">
      <c r="J4422" s="1">
        <v>1</v>
      </c>
    </row>
    <row r="4423" spans="10:10" x14ac:dyDescent="0.35">
      <c r="J4423" s="1">
        <v>1</v>
      </c>
    </row>
    <row r="4424" spans="10:10" x14ac:dyDescent="0.35">
      <c r="J4424" s="1">
        <f>SUM(_xlfn.ANCHORARRAY(J2213))</f>
        <v>762</v>
      </c>
    </row>
  </sheetData>
  <phoneticPr fontId="18"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D8382-F693-4C1D-A585-1F0C9EFD4F08}">
  <sheetPr>
    <tabColor rgb="FF0070C0"/>
  </sheetPr>
  <dimension ref="A3:H7"/>
  <sheetViews>
    <sheetView workbookViewId="0">
      <selection activeCell="B4" sqref="B4"/>
    </sheetView>
  </sheetViews>
  <sheetFormatPr defaultRowHeight="14.5" x14ac:dyDescent="0.35"/>
  <cols>
    <col min="1" max="1" width="12.36328125" bestFit="1" customWidth="1"/>
    <col min="2" max="2" width="13.54296875" bestFit="1" customWidth="1"/>
    <col min="5" max="5" width="13.54296875" bestFit="1" customWidth="1"/>
  </cols>
  <sheetData>
    <row r="3" spans="1:8" x14ac:dyDescent="0.35">
      <c r="A3" s="6" t="s">
        <v>4278</v>
      </c>
      <c r="B3" t="s">
        <v>4283</v>
      </c>
      <c r="D3" s="6" t="s">
        <v>4278</v>
      </c>
      <c r="E3" t="s">
        <v>4283</v>
      </c>
      <c r="G3" s="6" t="s">
        <v>4278</v>
      </c>
      <c r="H3" t="s">
        <v>4283</v>
      </c>
    </row>
    <row r="4" spans="1:8" x14ac:dyDescent="0.35">
      <c r="A4" s="7" t="s">
        <v>4279</v>
      </c>
      <c r="B4">
        <v>1404</v>
      </c>
      <c r="D4" s="7" t="s">
        <v>4279</v>
      </c>
      <c r="E4">
        <v>1404</v>
      </c>
      <c r="G4" s="7" t="s">
        <v>4279</v>
      </c>
      <c r="H4">
        <v>1404</v>
      </c>
    </row>
    <row r="5" spans="1:8" x14ac:dyDescent="0.35">
      <c r="A5" s="7" t="s">
        <v>4280</v>
      </c>
      <c r="B5">
        <v>614</v>
      </c>
      <c r="D5" s="7" t="s">
        <v>4280</v>
      </c>
      <c r="E5">
        <v>614</v>
      </c>
      <c r="G5" s="7" t="s">
        <v>4280</v>
      </c>
      <c r="H5">
        <v>614</v>
      </c>
    </row>
    <row r="6" spans="1:8" x14ac:dyDescent="0.35">
      <c r="A6" s="7" t="s">
        <v>4281</v>
      </c>
      <c r="B6">
        <v>192</v>
      </c>
      <c r="D6" s="7" t="s">
        <v>4281</v>
      </c>
      <c r="E6">
        <v>192</v>
      </c>
      <c r="G6" s="7" t="s">
        <v>4281</v>
      </c>
      <c r="H6">
        <v>192</v>
      </c>
    </row>
    <row r="7" spans="1:8" x14ac:dyDescent="0.35">
      <c r="A7" s="7" t="s">
        <v>4282</v>
      </c>
      <c r="B7">
        <v>2210</v>
      </c>
      <c r="D7" s="7" t="s">
        <v>4282</v>
      </c>
      <c r="E7">
        <v>2210</v>
      </c>
      <c r="G7" s="7" t="s">
        <v>4282</v>
      </c>
      <c r="H7">
        <v>2210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4E9B-6CAE-423C-AF58-D802D5A9EA82}">
  <sheetPr>
    <tabColor rgb="FFFF0000"/>
  </sheetPr>
  <dimension ref="M14"/>
  <sheetViews>
    <sheetView showGridLines="0" zoomScale="75" zoomScaleNormal="70" workbookViewId="0">
      <selection activeCell="A8" sqref="A8"/>
    </sheetView>
  </sheetViews>
  <sheetFormatPr defaultRowHeight="14.5" x14ac:dyDescent="0.35"/>
  <cols>
    <col min="8" max="8" width="14.7265625" bestFit="1" customWidth="1"/>
    <col min="17" max="17" width="8.54296875" customWidth="1"/>
  </cols>
  <sheetData>
    <row r="14" spans="13:13" x14ac:dyDescent="0.35">
      <c r="M14" t="s">
        <v>4300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Indian Airlane </vt:lpstr>
      <vt:lpstr>Pivot table</vt:lpstr>
      <vt:lpstr>Visual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Manoranjithkumar</dc:creator>
  <cp:lastModifiedBy>Manoranjith kumar</cp:lastModifiedBy>
  <dcterms:created xsi:type="dcterms:W3CDTF">2025-06-26T16:15:12Z</dcterms:created>
  <dcterms:modified xsi:type="dcterms:W3CDTF">2025-07-02T14:04:59Z</dcterms:modified>
</cp:coreProperties>
</file>